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Downloads\"/>
    </mc:Choice>
  </mc:AlternateContent>
  <bookViews>
    <workbookView xWindow="-105" yWindow="-105" windowWidth="23250" windowHeight="12450" activeTab="3"/>
  </bookViews>
  <sheets>
    <sheet name="Data Sales Adidas" sheetId="1" r:id="rId1"/>
    <sheet name="Pivot Table Analyses" sheetId="3" r:id="rId2"/>
    <sheet name="Pivot Table Analyses 2" sheetId="9" r:id="rId3"/>
    <sheet name="Dashboard" sheetId="10" r:id="rId4"/>
  </sheets>
  <definedNames>
    <definedName name="Slicer_Invoice_Date">#N/A</definedName>
    <definedName name="Slicer_Product">#N/A</definedName>
    <definedName name="Slicer_Region">#N/A</definedName>
    <definedName name="Slicer_Retailer">#N/A</definedName>
    <definedName name="Slicer_Sales_Method">#N/A</definedName>
    <definedName name="Slicer_Years">#N/A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 i="3" l="1"/>
  <c r="H10" i="9" l="1"/>
  <c r="H9" i="9"/>
  <c r="H8" i="9"/>
  <c r="H7" i="9"/>
  <c r="H6" i="9"/>
  <c r="H5" i="9"/>
  <c r="H4" i="9"/>
  <c r="B1" i="3"/>
</calcChain>
</file>

<file path=xl/sharedStrings.xml><?xml version="1.0" encoding="utf-8"?>
<sst xmlns="http://schemas.openxmlformats.org/spreadsheetml/2006/main" count="58106" uniqueCount="171">
  <si>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</si>
  <si>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</si>
  <si>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</si>
  <si>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</si>
  <si>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</si>
  <si>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</si>
  <si>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</si>
  <si>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</si>
  <si>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</si>
  <si>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</si>
  <si>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</si>
  <si>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</si>
  <si>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</si>
  <si>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</si>
  <si>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</si>
  <si>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</si>
  <si>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</si>
  <si>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</si>
  <si>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</si>
  <si>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</si>
  <si>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</si>
  <si>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</si>
  <si>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</si>
  <si>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</si>
  <si>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</si>
  <si>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</si>
  <si>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</si>
  <si>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</si>
  <si>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</si>
  <si>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</si>
  <si>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</si>
  <si>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</si>
  <si>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</si>
  <si>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</si>
  <si>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</si>
  <si>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</si>
  <si>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</si>
  <si>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</si>
  <si>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</si>
  <si>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</si>
  <si>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</si>
  <si>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</si>
  <si>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</si>
  <si>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</si>
  <si>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</si>
  <si>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</si>
  <si>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</si>
  <si>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</si>
  <si>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</si>
  <si>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</si>
  <si>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</si>
  <si>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</si>
  <si>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</si>
  <si>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</si>
  <si>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</si>
  <si>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</si>
  <si>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</si>
  <si>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</si>
  <si>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</si>
  <si>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</si>
  <si>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</si>
  <si>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</si>
  <si>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</si>
  <si>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</si>
  <si>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</si>
  <si>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</si>
  <si>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</si>
  <si>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</si>
  <si>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</si>
  <si>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</si>
  <si>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</si>
  <si>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</si>
  <si>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</si>
  <si>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</si>
  <si>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</si>
  <si>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</si>
  <si>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</si>
  <si>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</si>
  <si>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</si>
  <si>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</si>
  <si>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</si>
  <si>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</si>
  <si>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</si>
  <si>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</si>
  <si>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</si>
  <si>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</si>
  <si>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</si>
  <si>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</si>
  <si>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</si>
  <si>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</si>
  <si>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</si>
  <si>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</si>
  <si>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</si>
  <si>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</si>
  <si>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</si>
  <si>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</si>
  <si>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</si>
  <si>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</si>
  <si>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</si>
  <si>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</si>
  <si>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</si>
  <si>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</si>
  <si>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</si>
  <si>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</si>
  <si>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</si>
  <si>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</si>
  <si>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</si>
  <si>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</si>
  <si>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</si>
  <si>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</si>
  <si>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</si>
  <si>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</si>
  <si>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</si>
  <si>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</si>
  <si>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</si>
  <si>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</si>
  <si>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</si>
  <si>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</si>
  <si>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</si>
  <si>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</si>
  <si>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</si>
  <si>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</si>
  <si>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</si>
  <si>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</si>
  <si>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</si>
  <si>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</si>
  <si>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</si>
  <si>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</si>
  <si>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</si>
  <si>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</si>
  <si>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</si>
  <si>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</si>
  <si>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</si>
  <si>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</si>
  <si>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</si>
  <si>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</si>
  <si>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</si>
  <si>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</si>
  <si>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2020</t>
  </si>
  <si>
    <t>2021</t>
  </si>
  <si>
    <t>Jan</t>
  </si>
  <si>
    <t>Feb</t>
  </si>
  <si>
    <t>Mar</t>
  </si>
  <si>
    <t>Apr</t>
  </si>
  <si>
    <t>May</t>
  </si>
  <si>
    <t>Jun</t>
  </si>
  <si>
    <t>Jul</t>
  </si>
  <si>
    <t>Aug</t>
  </si>
  <si>
    <t>Sep</t>
  </si>
  <si>
    <t>Oct</t>
  </si>
  <si>
    <t>Nov</t>
  </si>
  <si>
    <t>Dec</t>
  </si>
  <si>
    <t>Total Profit</t>
  </si>
  <si>
    <t>Column Labels</t>
  </si>
  <si>
    <t>Growth%</t>
  </si>
  <si>
    <t>Product revenue across regions</t>
  </si>
  <si>
    <t>Top performing retailers across Regions</t>
  </si>
  <si>
    <t>Midwest Total</t>
  </si>
  <si>
    <t>Northeast Total</t>
  </si>
  <si>
    <t>South Total</t>
  </si>
  <si>
    <t>Southeast Total</t>
  </si>
  <si>
    <t>West Total</t>
  </si>
  <si>
    <t>Sales methods across Regions</t>
  </si>
  <si>
    <t>Growth Potential</t>
  </si>
  <si>
    <t>BenchMarkTarget (250%)</t>
  </si>
  <si>
    <t xml:space="preserve">Total growth </t>
  </si>
  <si>
    <t>Revenue by Product Category</t>
  </si>
  <si>
    <t>Revenue by Region</t>
  </si>
  <si>
    <t>Revenue by Sales Method</t>
  </si>
  <si>
    <t>Sales Trends over time</t>
  </si>
  <si>
    <t>Revene by Retailers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</si>
</sst>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6" formatCode="&quot;$&quot;#,##0_);[Red]\(&quot;$&quot;#,##0\)"/>
    <numFmt numFmtId="7" formatCode="&quot;$&quot;#,##0.00_);\(&quot;$&quot;#,##0.00\)"/>
    <numFmt numFmtId="8" formatCode="&quot;$&quot;#,##0.00_);[Red]\(&quot;$&quot;#,##0.00\)"/>
    <numFmt numFmtId="44" formatCode="_(&quot;$&quot;* #,##0.00_);_(&quot;$&quot;* \(#,##0.00\);_(&quot;$&quot;* &quot;-&quot;??_);_(@_)"/>
    <numFmt numFmtId="164" formatCode="&quot;$&quot;#,##0.00"/>
  </numFmts>
  <fonts count="8"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013693"/>
        <bgColor rgb="FF013693"/>
      </patternFill>
    </fill>
  </fills>
  <borders count="11">
    <border>
      <left/>
      <right/>
      <top/>
      <bottom/>
      <diagonal/>
    </border>
    <border>
      <left/>
      <right/>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44" fontId="7" fillId="0" borderId="0" applyFont="0" applyFill="0" applyBorder="0" applyAlignment="0" applyProtection="0"/>
    <xf numFmtId="9" fontId="7" fillId="0" borderId="0" applyFont="0" applyFill="0" applyBorder="0" applyAlignment="0" applyProtection="0"/>
  </cellStyleXfs>
  <cellXfs count="38">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6" fillId="0" borderId="0" xfId="0" applyFont="1"/>
    <xf numFmtId="10" fontId="0" fillId="0" borderId="0" xfId="0" applyNumberFormat="1"/>
    <xf numFmtId="164" fontId="0" fillId="0" borderId="0" xfId="0" applyNumberFormat="1"/>
    <xf numFmtId="14" fontId="0" fillId="0" borderId="0" xfId="0" applyNumberFormat="1" applyAlignment="1">
      <alignment horizontal="left" indent="1"/>
    </xf>
    <xf numFmtId="7" fontId="0" fillId="0" borderId="0" xfId="0" applyNumberFormat="1"/>
    <xf numFmtId="9" fontId="0" fillId="0" borderId="0" xfId="2" applyFont="1"/>
    <xf numFmtId="44" fontId="0" fillId="0" borderId="0" xfId="1" applyFont="1"/>
    <xf numFmtId="9" fontId="6" fillId="0" borderId="0" xfId="0" applyNumberFormat="1" applyFont="1"/>
    <xf numFmtId="44" fontId="6" fillId="0" borderId="0" xfId="1" applyFont="1"/>
    <xf numFmtId="0" fontId="0" fillId="0" borderId="0" xfId="0"/>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0" borderId="0" xfId="0" applyFont="1" applyAlignment="1">
      <alignment horizontal="left" vertical="center"/>
    </xf>
    <xf numFmtId="0" fontId="0" fillId="0" borderId="0" xfId="0"/>
    <xf numFmtId="0" fontId="3" fillId="0" borderId="1" xfId="0" applyFont="1" applyBorder="1"/>
  </cellXfs>
  <cellStyles count="3">
    <cellStyle name="Currency" xfId="1" builtinId="4"/>
    <cellStyle name="Normal" xfId="0" builtinId="0"/>
    <cellStyle name="Percent" xfId="2" builtinId="5"/>
  </cellStyles>
  <dxfs count="23">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solid">
          <fgColor rgb="FF013693"/>
          <bgColor rgb="FF013693"/>
        </patternFill>
      </fill>
      <alignment horizontal="center" vertical="bottom" textRotation="0" wrapText="0" indent="0" justifyLastLine="0" shrinkToFit="0" readingOrder="0"/>
    </dxf>
    <dxf>
      <font>
        <b/>
        <i val="0"/>
        <sz val="11"/>
        <color theme="1"/>
        <name val="Clarendon BT"/>
        <scheme val="none"/>
      </font>
    </dxf>
    <dxf>
      <font>
        <color theme="1"/>
        <name val="Clarendon BT"/>
        <scheme val="none"/>
      </font>
      <fill>
        <patternFill>
          <bgColor theme="4" tint="-0.24994659260841701"/>
        </patternFill>
      </fill>
      <border diagonalUp="0" diagonalDown="0">
        <left/>
        <right/>
        <top/>
        <bottom/>
        <vertical/>
        <horizontal/>
      </border>
    </dxf>
    <dxf>
      <font>
        <name val="Clarendon BT"/>
        <scheme val="none"/>
      </font>
      <border diagonalUp="0" diagonalDown="0">
        <left/>
        <right/>
        <top/>
        <bottom/>
        <vertical/>
        <horizontal/>
      </border>
    </dxf>
    <dxf>
      <fill>
        <patternFill patternType="solid">
          <bgColor theme="4" tint="0.39994506668294322"/>
        </patternFill>
      </fill>
      <border diagonalUp="0" diagonalDown="0">
        <left/>
        <right/>
        <top/>
        <bottom/>
        <vertical/>
        <horizontal/>
      </border>
    </dxf>
    <dxf>
      <font>
        <b/>
        <i val="0"/>
        <name val="Clarendon BT"/>
        <scheme val="none"/>
      </font>
      <fill>
        <patternFill>
          <bgColor theme="4" tint="0.39994506668294322"/>
        </patternFill>
      </fill>
      <border diagonalUp="0" diagonalDown="0">
        <left/>
        <right/>
        <top/>
        <bottom/>
        <vertical/>
        <horizontal/>
      </border>
    </dxf>
    <dxf>
      <fill>
        <patternFill>
          <bgColor theme="4" tint="-0.24994659260841701"/>
        </patternFill>
      </fill>
    </dxf>
    <dxf>
      <fill>
        <gradientFill type="path" left="1" right="1" top="1" bottom="1">
          <stop position="0">
            <color theme="0"/>
          </stop>
          <stop position="1">
            <color theme="4"/>
          </stop>
        </gradientFill>
      </fill>
    </dxf>
    <dxf>
      <fill>
        <patternFill>
          <bgColor theme="8" tint="-0.499984740745262"/>
        </patternFill>
      </fill>
      <border diagonalUp="0" diagonalDown="0">
        <left/>
        <right/>
        <top/>
        <bottom/>
        <vertical/>
        <horizontal/>
      </border>
    </dxf>
  </dxfs>
  <tableStyles count="8" defaultTableStyle="TableStyleMedium2" defaultPivotStyle="PivotStyleLight16">
    <tableStyle name="Slicer Style 1" pivot="0" table="0" count="0"/>
    <tableStyle name="Slicer Style 2" pivot="0" table="0" count="1">
      <tableStyleElement type="wholeTable" dxfId="22"/>
    </tableStyle>
    <tableStyle name="Slicer Style 3" pivot="0" table="0" count="1"/>
    <tableStyle name="Slicer Style 4" pivot="0" table="0" count="1">
      <tableStyleElement type="wholeTable" dxfId="21"/>
    </tableStyle>
    <tableStyle name="Slicer Style 5" pivot="0" table="0" count="1">
      <tableStyleElement type="wholeTable" dxfId="20"/>
    </tableStyle>
    <tableStyle name="Slicer Style 6" pivot="0" table="0" count="1">
      <tableStyleElement type="wholeTable" dxfId="19"/>
    </tableStyle>
    <tableStyle name="Slicer Style 7" pivot="0" table="0" count="4">
      <tableStyleElement type="wholeTable" dxfId="18"/>
      <tableStyleElement type="headerRow" dxfId="17"/>
    </tableStyle>
    <tableStyle name="Slicer Style 8" pivot="0" table="0" count="10">
      <tableStyleElement type="wholeTable" dxfId="16"/>
      <tableStyleElement type="headerRow" dxfId="15"/>
    </tableStyle>
  </tableStyles>
  <colors>
    <mruColors>
      <color rgb="FF000000"/>
      <color rgb="FF9CBFE6"/>
      <color rgb="FF3F3FA5"/>
      <color rgb="FFECB2F8"/>
    </mruColors>
  </colors>
  <extLst>
    <ext xmlns:x14="http://schemas.microsoft.com/office/spreadsheetml/2009/9/main" uri="{46F421CA-312F-682f-3DD2-61675219B42D}">
      <x14:dxfs count="11">
        <dxf>
          <font>
            <b/>
            <i val="0"/>
            <sz val="11"/>
            <color theme="1"/>
            <name val="Clarendon BT"/>
            <scheme val="none"/>
          </font>
          <fill>
            <patternFill>
              <bgColor theme="4" tint="-0.24994659260841701"/>
            </patternFill>
          </fill>
        </dxf>
        <dxf>
          <font>
            <b/>
            <i val="0"/>
            <sz val="11"/>
            <name val="Clarendon BT"/>
            <scheme val="none"/>
          </font>
          <fill>
            <patternFill>
              <bgColor theme="4" tint="-0.24994659260841701"/>
            </patternFill>
          </fill>
        </dxf>
        <dxf>
          <font>
            <b/>
            <i val="0"/>
            <sz val="11"/>
            <color theme="1"/>
            <name val="Clarendon BT"/>
            <scheme val="none"/>
          </font>
          <fill>
            <patternFill>
              <bgColor theme="4" tint="-0.24994659260841701"/>
            </patternFill>
          </fill>
        </dxf>
        <dxf>
          <font>
            <b/>
            <i val="0"/>
            <sz val="11"/>
            <color theme="1"/>
            <name val="Clarendon BT"/>
            <scheme val="none"/>
          </font>
          <fill>
            <patternFill>
              <bgColor theme="4" tint="-0.24994659260841701"/>
            </patternFill>
          </fill>
        </dxf>
        <dxf>
          <font>
            <b/>
            <i val="0"/>
            <sz val="11"/>
            <color theme="1"/>
            <name val="Clarendon BT"/>
            <scheme val="none"/>
          </font>
          <fill>
            <patternFill>
              <bgColor theme="4" tint="-0.24994659260841701"/>
            </patternFill>
          </fill>
        </dxf>
        <dxf>
          <font>
            <b val="0"/>
            <i/>
            <sz val="11"/>
            <color theme="1"/>
            <name val="Clarendon BT"/>
            <scheme val="none"/>
          </font>
          <fill>
            <patternFill>
              <bgColor theme="4" tint="-0.24994659260841701"/>
            </patternFill>
          </fill>
          <border>
            <left style="thin">
              <color auto="1"/>
            </left>
            <right style="thin">
              <color auto="1"/>
            </right>
            <top style="thin">
              <color auto="1"/>
            </top>
            <bottom style="thin">
              <color auto="1"/>
            </bottom>
            <vertical style="thin">
              <color auto="1"/>
            </vertical>
            <horizontal style="thin">
              <color auto="1"/>
            </horizontal>
          </border>
        </dxf>
        <dxf>
          <font>
            <b/>
            <i val="0"/>
            <sz val="11"/>
            <color theme="1"/>
            <name val="Clarendon BT"/>
            <scheme val="none"/>
          </font>
          <fill>
            <patternFill>
              <bgColor theme="4" tint="-0.24994659260841701"/>
            </patternFill>
          </fill>
        </dxf>
        <dxf>
          <font>
            <b/>
            <i val="0"/>
            <sz val="11"/>
            <color theme="1"/>
            <name val="Clarendon BT"/>
            <scheme val="none"/>
          </font>
          <fill>
            <patternFill>
              <bgColor theme="4" tint="-0.24994659260841701"/>
            </patternFill>
          </fill>
        </dxf>
        <dxf>
          <font>
            <b/>
            <i val="0"/>
            <sz val="11"/>
            <name val="Clarendon BT"/>
            <scheme val="none"/>
          </font>
        </dxf>
        <dxf>
          <font>
            <b/>
            <i val="0"/>
            <sz val="11"/>
            <color theme="0"/>
            <name val="Clarendon BT"/>
            <scheme val="none"/>
          </font>
          <fill>
            <patternFill>
              <bgColor theme="4" tint="-0.24994659260841701"/>
            </patternFill>
          </fill>
        </dxf>
        <dxf>
          <fill>
            <gradientFill type="path">
              <stop position="0">
                <color theme="0"/>
              </stop>
              <stop position="1">
                <color theme="4"/>
              </stop>
            </gradient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10"/>
          </x14:slicerStyleElements>
        </x14:slicerStyle>
        <x14:slicerStyle name="Slicer Style 4"/>
        <x14:slicerStyle name="Slicer Style 5"/>
        <x14:slicerStyle name="Slicer Style 6"/>
        <x14:slicerStyle name="Slicer Style 7">
          <x14:slicerStyleElements>
            <x14:slicerStyleElement type="unselectedItemWithNoData" dxfId="9"/>
            <x14:slicerStyleElement type="selectedItemWithData" dxfId="8"/>
          </x14:slicerStyleElements>
        </x14:slicerStyle>
        <x14:slicerStyle name="Slicer Style 8">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B.NM.xlsx]Pivot Table Analyses!PivotTable4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Retailers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Analyses'!$K$3</c:f>
              <c:strCache>
                <c:ptCount val="1"/>
                <c:pt idx="0">
                  <c:v>Total</c:v>
                </c:pt>
              </c:strCache>
            </c:strRef>
          </c:tx>
          <c:spPr>
            <a:solidFill>
              <a:schemeClr val="accent1"/>
            </a:solidFill>
            <a:ln>
              <a:noFill/>
            </a:ln>
            <a:effectLst/>
            <a:sp3d/>
          </c:spPr>
          <c:invertIfNegative val="0"/>
          <c:cat>
            <c:strRef>
              <c:f>'Pivot Table Analyses'!$J$4:$J$10</c:f>
              <c:strCache>
                <c:ptCount val="6"/>
                <c:pt idx="0">
                  <c:v>Amazon</c:v>
                </c:pt>
                <c:pt idx="1">
                  <c:v>Foot Locker</c:v>
                </c:pt>
                <c:pt idx="2">
                  <c:v>Kohl's</c:v>
                </c:pt>
                <c:pt idx="3">
                  <c:v>Sports Direct</c:v>
                </c:pt>
                <c:pt idx="4">
                  <c:v>Walmart</c:v>
                </c:pt>
                <c:pt idx="5">
                  <c:v>West Gear</c:v>
                </c:pt>
              </c:strCache>
            </c:strRef>
          </c:cat>
          <c:val>
            <c:numRef>
              <c:f>'Pivot Table Analyses'!$K$4:$K$10</c:f>
              <c:numCache>
                <c:formatCode>"$"#,##0.00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F0AD-4A01-925C-5EF108A095CD}"/>
            </c:ext>
          </c:extLst>
        </c:ser>
        <c:dLbls>
          <c:showLegendKey val="0"/>
          <c:showVal val="0"/>
          <c:showCatName val="0"/>
          <c:showSerName val="0"/>
          <c:showPercent val="0"/>
          <c:showBubbleSize val="0"/>
        </c:dLbls>
        <c:gapWidth val="150"/>
        <c:shape val="box"/>
        <c:axId val="487147160"/>
        <c:axId val="479498800"/>
        <c:axId val="0"/>
      </c:bar3DChart>
      <c:catAx>
        <c:axId val="487147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79498800"/>
        <c:crosses val="autoZero"/>
        <c:auto val="1"/>
        <c:lblAlgn val="ctr"/>
        <c:lblOffset val="100"/>
        <c:noMultiLvlLbl val="0"/>
      </c:catAx>
      <c:valAx>
        <c:axId val="479498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714716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B.NM.xlsx]Pivot Table Analyses!PivotTable1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Product Category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Analyses'!$B$3</c:f>
              <c:strCache>
                <c:ptCount val="1"/>
                <c:pt idx="0">
                  <c:v>Total</c:v>
                </c:pt>
              </c:strCache>
            </c:strRef>
          </c:tx>
          <c:spPr>
            <a:solidFill>
              <a:schemeClr val="accent1"/>
            </a:solidFill>
            <a:ln>
              <a:noFill/>
            </a:ln>
            <a:effectLst/>
            <a:sp3d/>
          </c:spPr>
          <c:invertIfNegative val="0"/>
          <c:cat>
            <c:strRef>
              <c:f>'Pivot Table Analyses'!$A$4:$A$10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Analyses'!$B$4:$B$10</c:f>
              <c:numCache>
                <c:formatCode>"$"#,##0.00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E167-42C1-AD4C-B9A34E2C1363}"/>
            </c:ext>
          </c:extLst>
        </c:ser>
        <c:dLbls>
          <c:showLegendKey val="0"/>
          <c:showVal val="0"/>
          <c:showCatName val="0"/>
          <c:showSerName val="0"/>
          <c:showPercent val="0"/>
          <c:showBubbleSize val="0"/>
        </c:dLbls>
        <c:gapWidth val="150"/>
        <c:shape val="box"/>
        <c:axId val="568075040"/>
        <c:axId val="568074384"/>
        <c:axId val="0"/>
      </c:bar3DChart>
      <c:catAx>
        <c:axId val="568075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8074384"/>
        <c:crosses val="autoZero"/>
        <c:auto val="1"/>
        <c:lblAlgn val="ctr"/>
        <c:lblOffset val="100"/>
        <c:noMultiLvlLbl val="0"/>
      </c:catAx>
      <c:valAx>
        <c:axId val="568074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6807504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B.NM.xlsx]Pivot Table Analyses!PivotTable2</c:name>
    <c:fmtId val="6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Regions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Analyses'!$B$15</c:f>
              <c:strCache>
                <c:ptCount val="1"/>
                <c:pt idx="0">
                  <c:v>Total</c:v>
                </c:pt>
              </c:strCache>
            </c:strRef>
          </c:tx>
          <c:spPr>
            <a:solidFill>
              <a:schemeClr val="accent1"/>
            </a:solidFill>
            <a:ln>
              <a:noFill/>
            </a:ln>
            <a:effectLst/>
            <a:sp3d/>
          </c:spPr>
          <c:invertIfNegative val="0"/>
          <c:cat>
            <c:strRef>
              <c:f>'Pivot Table Analyses'!$A$16:$A$21</c:f>
              <c:strCache>
                <c:ptCount val="5"/>
                <c:pt idx="0">
                  <c:v>Midwest</c:v>
                </c:pt>
                <c:pt idx="1">
                  <c:v>Northeast</c:v>
                </c:pt>
                <c:pt idx="2">
                  <c:v>South</c:v>
                </c:pt>
                <c:pt idx="3">
                  <c:v>Southeast</c:v>
                </c:pt>
                <c:pt idx="4">
                  <c:v>West</c:v>
                </c:pt>
              </c:strCache>
            </c:strRef>
          </c:cat>
          <c:val>
            <c:numRef>
              <c:f>'Pivot Table Analyses'!$B$16:$B$21</c:f>
              <c:numCache>
                <c:formatCode>"$"#,##0.00</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5B69-493B-9B3F-D1D12AAAE87D}"/>
            </c:ext>
          </c:extLst>
        </c:ser>
        <c:dLbls>
          <c:showLegendKey val="0"/>
          <c:showVal val="0"/>
          <c:showCatName val="0"/>
          <c:showSerName val="0"/>
          <c:showPercent val="0"/>
          <c:showBubbleSize val="0"/>
        </c:dLbls>
        <c:gapWidth val="150"/>
        <c:shape val="box"/>
        <c:axId val="415056048"/>
        <c:axId val="415056376"/>
        <c:axId val="0"/>
      </c:bar3DChart>
      <c:catAx>
        <c:axId val="415056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5056376"/>
        <c:crosses val="autoZero"/>
        <c:auto val="1"/>
        <c:lblAlgn val="ctr"/>
        <c:lblOffset val="100"/>
        <c:noMultiLvlLbl val="0"/>
      </c:catAx>
      <c:valAx>
        <c:axId val="415056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50560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B.NM.xlsx]Pivot Table Analyses!PivotTable3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Trends over</a:t>
            </a:r>
            <a:r>
              <a:rPr lang="en-US" b="1" baseline="0"/>
              <a:t> time</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 Analyses'!$G$3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 Analyses'!$F$4:$F$30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Analyses'!$G$4:$G$30</c:f>
              <c:numCache>
                <c:formatCode>General</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7430-41F6-9D94-38B51098382C}"/>
            </c:ext>
          </c:extLst>
        </c:ser>
        <c:dLbls>
          <c:showLegendKey val="0"/>
          <c:showVal val="0"/>
          <c:showCatName val="0"/>
          <c:showSerName val="0"/>
          <c:showPercent val="0"/>
          <c:showBubbleSize val="0"/>
        </c:dLbls>
        <c:marker val="1"/>
        <c:smooth val="0"/>
        <c:axId val="485586360"/>
        <c:axId val="485584392"/>
      </c:lineChart>
      <c:catAx>
        <c:axId val="485586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584392"/>
        <c:crosses val="autoZero"/>
        <c:auto val="1"/>
        <c:lblAlgn val="ctr"/>
        <c:lblOffset val="100"/>
        <c:noMultiLvlLbl val="0"/>
      </c:catAx>
      <c:valAx>
        <c:axId val="485584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586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B.NM.xlsx]Pivot Table Analyses!PivotTable5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Sales Method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 Analyses'!$K$14</c:f>
              <c:strCache>
                <c:ptCount val="1"/>
                <c:pt idx="0">
                  <c:v>Total</c:v>
                </c:pt>
              </c:strCache>
            </c:strRef>
          </c:tx>
          <c:spPr>
            <a:solidFill>
              <a:schemeClr val="accent1"/>
            </a:solidFill>
            <a:ln>
              <a:noFill/>
            </a:ln>
            <a:effectLst/>
          </c:spPr>
          <c:invertIfNegative val="0"/>
          <c:cat>
            <c:strRef>
              <c:f>'Pivot Table Analyses'!$J$15:$J$18</c:f>
              <c:strCache>
                <c:ptCount val="3"/>
                <c:pt idx="0">
                  <c:v>In-store</c:v>
                </c:pt>
                <c:pt idx="1">
                  <c:v>Online</c:v>
                </c:pt>
                <c:pt idx="2">
                  <c:v>Outlet</c:v>
                </c:pt>
              </c:strCache>
            </c:strRef>
          </c:cat>
          <c:val>
            <c:numRef>
              <c:f>'Pivot Table Analyses'!$K$15:$K$18</c:f>
              <c:numCache>
                <c:formatCode>"$"#,##0.00_);\("$"#,##0.00\)</c:formatCode>
                <c:ptCount val="3"/>
                <c:pt idx="0">
                  <c:v>356643750</c:v>
                </c:pt>
                <c:pt idx="1">
                  <c:v>247672882</c:v>
                </c:pt>
                <c:pt idx="2">
                  <c:v>295585493</c:v>
                </c:pt>
              </c:numCache>
            </c:numRef>
          </c:val>
          <c:extLst>
            <c:ext xmlns:c16="http://schemas.microsoft.com/office/drawing/2014/chart" uri="{C3380CC4-5D6E-409C-BE32-E72D297353CC}">
              <c16:uniqueId val="{00000000-9B1E-4AF8-A11B-0D21F77F6FF9}"/>
            </c:ext>
          </c:extLst>
        </c:ser>
        <c:dLbls>
          <c:showLegendKey val="0"/>
          <c:showVal val="0"/>
          <c:showCatName val="0"/>
          <c:showSerName val="0"/>
          <c:showPercent val="0"/>
          <c:showBubbleSize val="0"/>
        </c:dLbls>
        <c:gapWidth val="219"/>
        <c:overlap val="-27"/>
        <c:axId val="485489928"/>
        <c:axId val="485490584"/>
      </c:barChart>
      <c:catAx>
        <c:axId val="485489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490584"/>
        <c:crosses val="autoZero"/>
        <c:auto val="1"/>
        <c:lblAlgn val="ctr"/>
        <c:lblOffset val="100"/>
        <c:noMultiLvlLbl val="0"/>
      </c:catAx>
      <c:valAx>
        <c:axId val="4854905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48992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B.NM.xlsx]Pivot Table Analyses 2!PivotTable13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growth</a:t>
            </a:r>
            <a:r>
              <a:rPr lang="en-US" b="1" baseline="0"/>
              <a:t> Performance</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pivotFmt>
      <c:pivotFmt>
        <c:idx val="16"/>
        <c:spPr>
          <a:solidFill>
            <a:schemeClr val="accent1"/>
          </a:solidFill>
          <a:ln>
            <a:noFill/>
          </a:ln>
          <a:effectLst/>
          <a:sp3d/>
        </c:spPr>
        <c:marker>
          <c:symbol val="none"/>
        </c:marker>
      </c:pivotFmt>
      <c:pivotFmt>
        <c:idx val="17"/>
        <c:spPr>
          <a:solidFill>
            <a:schemeClr val="accent1"/>
          </a:solidFill>
          <a:ln>
            <a:noFill/>
          </a:ln>
          <a:effectLst/>
          <a:sp3d/>
        </c:spPr>
        <c:marker>
          <c:symbol val="none"/>
        </c:marker>
      </c:pivotFmt>
      <c:pivotFmt>
        <c:idx val="18"/>
        <c:spPr>
          <a:solidFill>
            <a:schemeClr val="accent1"/>
          </a:solidFill>
          <a:ln>
            <a:noFill/>
          </a:ln>
          <a:effectLst/>
          <a:sp3d/>
        </c:spPr>
        <c:marker>
          <c:symbol val="none"/>
        </c:marker>
      </c:pivotFmt>
      <c:pivotFmt>
        <c:idx val="19"/>
        <c:spPr>
          <a:solidFill>
            <a:schemeClr val="accent1"/>
          </a:solidFill>
          <a:ln>
            <a:noFill/>
          </a:ln>
          <a:effectLst/>
          <a:sp3d/>
        </c:spPr>
        <c:marker>
          <c:symbol val="none"/>
        </c:marker>
      </c:pivotFmt>
      <c:pivotFmt>
        <c:idx val="20"/>
        <c:spPr>
          <a:solidFill>
            <a:schemeClr val="accent1"/>
          </a:solidFill>
          <a:ln>
            <a:noFill/>
          </a:ln>
          <a:effectLst/>
          <a:sp3d/>
        </c:spPr>
        <c:marker>
          <c:symbol val="none"/>
        </c:marker>
      </c:pivotFmt>
      <c:pivotFmt>
        <c:idx val="21"/>
        <c:spPr>
          <a:solidFill>
            <a:schemeClr val="accent1"/>
          </a:solidFill>
          <a:ln>
            <a:noFill/>
          </a:ln>
          <a:effectLst/>
          <a:sp3d/>
        </c:spPr>
        <c:marker>
          <c:symbol val="none"/>
        </c:marker>
      </c:pivotFmt>
      <c:pivotFmt>
        <c:idx val="22"/>
        <c:spPr>
          <a:solidFill>
            <a:schemeClr val="accent1"/>
          </a:solidFill>
          <a:ln>
            <a:noFill/>
          </a:ln>
          <a:effectLst/>
          <a:sp3d/>
        </c:spPr>
        <c:marker>
          <c:symbol val="none"/>
        </c:marker>
      </c:pivotFmt>
      <c:pivotFmt>
        <c:idx val="23"/>
        <c:spPr>
          <a:solidFill>
            <a:schemeClr val="accent1"/>
          </a:solidFill>
          <a:ln>
            <a:noFill/>
          </a:ln>
          <a:effectLst/>
          <a:sp3d/>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w="28575" cap="rnd">
            <a:solidFill>
              <a:schemeClr val="accent1"/>
            </a:solidFill>
            <a:round/>
          </a:ln>
          <a:effectLst/>
        </c:spPr>
      </c:pivotFmt>
      <c:pivotFmt>
        <c:idx val="37"/>
        <c:spPr>
          <a:solidFill>
            <a:schemeClr val="accent1"/>
          </a:solidFill>
          <a:ln w="28575" cap="rnd">
            <a:solidFill>
              <a:schemeClr val="accent1"/>
            </a:solidFill>
            <a:round/>
          </a:ln>
          <a:effectLst/>
        </c:spPr>
      </c:pivotFmt>
      <c:pivotFmt>
        <c:idx val="38"/>
        <c:spPr>
          <a:solidFill>
            <a:schemeClr val="accent1"/>
          </a:solidFill>
          <a:ln w="28575" cap="rnd">
            <a:solidFill>
              <a:schemeClr val="accent1"/>
            </a:solidFill>
            <a:round/>
          </a:ln>
          <a:effectLst/>
        </c:spPr>
      </c:pivotFmt>
      <c:pivotFmt>
        <c:idx val="39"/>
      </c:pivotFmt>
      <c:pivotFmt>
        <c:idx val="40"/>
      </c:pivotFmt>
      <c:pivotFmt>
        <c:idx val="41"/>
      </c:pivotFmt>
      <c:pivotFmt>
        <c:idx val="42"/>
      </c:pivotFmt>
      <c:pivotFmt>
        <c:idx val="43"/>
      </c:pivotFmt>
      <c:pivotFmt>
        <c:idx val="44"/>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pivotFmt>
      <c:pivotFmt>
        <c:idx val="52"/>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pivotFmt>
      <c:pivotFmt>
        <c:idx val="53"/>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pivotFmt>
      <c:pivotFmt>
        <c:idx val="54"/>
        <c:spPr>
          <a:solidFill>
            <a:schemeClr val="accent1"/>
          </a:solidFill>
          <a:ln>
            <a:noFill/>
          </a:ln>
          <a:effectLst/>
        </c:spPr>
        <c:marker>
          <c:symbol val="none"/>
        </c:marker>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1"/>
          </a:solidFill>
          <a:ln>
            <a:noFill/>
          </a:ln>
          <a:effectLst/>
        </c:spPr>
        <c:marker>
          <c:symbol val="none"/>
        </c:marker>
      </c:pivotFmt>
    </c:pivotFmts>
    <c:plotArea>
      <c:layout/>
      <c:barChart>
        <c:barDir val="col"/>
        <c:grouping val="clustered"/>
        <c:varyColors val="0"/>
        <c:ser>
          <c:idx val="0"/>
          <c:order val="0"/>
          <c:tx>
            <c:strRef>
              <c:f>'Pivot Table Analyses 2'!$B$1:$B$3</c:f>
              <c:strCache>
                <c:ptCount val="1"/>
                <c:pt idx="0">
                  <c:v>2020 - Sum of Total Sales</c:v>
                </c:pt>
              </c:strCache>
            </c:strRef>
          </c:tx>
          <c:spPr>
            <a:solidFill>
              <a:schemeClr val="accent1"/>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2'!$B$4:$B$10</c:f>
              <c:numCache>
                <c:formatCode>"$"#,##0.00</c:formatCode>
                <c:ptCount val="6"/>
                <c:pt idx="0">
                  <c:v>26216964</c:v>
                </c:pt>
                <c:pt idx="1">
                  <c:v>31794462</c:v>
                </c:pt>
                <c:pt idx="2">
                  <c:v>37823020</c:v>
                </c:pt>
                <c:pt idx="3">
                  <c:v>35190332</c:v>
                </c:pt>
                <c:pt idx="4">
                  <c:v>23629892</c:v>
                </c:pt>
                <c:pt idx="5">
                  <c:v>27426005</c:v>
                </c:pt>
              </c:numCache>
            </c:numRef>
          </c:val>
          <c:extLst>
            <c:ext xmlns:c16="http://schemas.microsoft.com/office/drawing/2014/chart" uri="{C3380CC4-5D6E-409C-BE32-E72D297353CC}">
              <c16:uniqueId val="{00000006-63B2-4CE3-B819-C197F70763B3}"/>
            </c:ext>
          </c:extLst>
        </c:ser>
        <c:ser>
          <c:idx val="1"/>
          <c:order val="1"/>
          <c:tx>
            <c:strRef>
              <c:f>'Pivot Table Analyses 2'!$C$1:$C$3</c:f>
              <c:strCache>
                <c:ptCount val="1"/>
                <c:pt idx="0">
                  <c:v>2020 - Growth Potential</c:v>
                </c:pt>
              </c:strCache>
            </c:strRef>
          </c:tx>
          <c:spPr>
            <a:solidFill>
              <a:schemeClr val="accent3"/>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2'!$C$4:$C$10</c:f>
              <c:numCache>
                <c:formatCode>"$"#,##0.00</c:formatCode>
                <c:ptCount val="6"/>
              </c:numCache>
            </c:numRef>
          </c:val>
          <c:extLst>
            <c:ext xmlns:c16="http://schemas.microsoft.com/office/drawing/2014/chart" uri="{C3380CC4-5D6E-409C-BE32-E72D297353CC}">
              <c16:uniqueId val="{00000007-63B2-4CE3-B819-C197F70763B3}"/>
            </c:ext>
          </c:extLst>
        </c:ser>
        <c:ser>
          <c:idx val="2"/>
          <c:order val="2"/>
          <c:tx>
            <c:strRef>
              <c:f>'Pivot Table Analyses 2'!$D$1:$D$3</c:f>
              <c:strCache>
                <c:ptCount val="1"/>
                <c:pt idx="0">
                  <c:v>2020 - Growth%</c:v>
                </c:pt>
              </c:strCache>
            </c:strRef>
          </c:tx>
          <c:spPr>
            <a:solidFill>
              <a:schemeClr val="accent5"/>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2'!$D$4:$D$10</c:f>
              <c:numCache>
                <c:formatCode>0.00%</c:formatCode>
                <c:ptCount val="6"/>
              </c:numCache>
            </c:numRef>
          </c:val>
          <c:extLst>
            <c:ext xmlns:c16="http://schemas.microsoft.com/office/drawing/2014/chart" uri="{C3380CC4-5D6E-409C-BE32-E72D297353CC}">
              <c16:uniqueId val="{00000008-63B2-4CE3-B819-C197F70763B3}"/>
            </c:ext>
          </c:extLst>
        </c:ser>
        <c:ser>
          <c:idx val="3"/>
          <c:order val="3"/>
          <c:tx>
            <c:strRef>
              <c:f>'Pivot Table Analyses 2'!$E$1:$E$3</c:f>
              <c:strCache>
                <c:ptCount val="1"/>
                <c:pt idx="0">
                  <c:v>2021 - Sum of Total Sales</c:v>
                </c:pt>
              </c:strCache>
            </c:strRef>
          </c:tx>
          <c:spPr>
            <a:solidFill>
              <a:schemeClr val="accent1">
                <a:lumMod val="60000"/>
              </a:schemeClr>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2'!$E$4:$E$10</c:f>
              <c:numCache>
                <c:formatCode>"$"#,##0.00</c:formatCode>
                <c:ptCount val="6"/>
                <c:pt idx="0">
                  <c:v>97511668</c:v>
                </c:pt>
                <c:pt idx="1">
                  <c:v>121879218</c:v>
                </c:pt>
                <c:pt idx="2">
                  <c:v>171003224</c:v>
                </c:pt>
                <c:pt idx="3">
                  <c:v>143848528</c:v>
                </c:pt>
                <c:pt idx="4">
                  <c:v>83002004</c:v>
                </c:pt>
                <c:pt idx="5">
                  <c:v>100576808</c:v>
                </c:pt>
              </c:numCache>
            </c:numRef>
          </c:val>
          <c:extLst>
            <c:ext xmlns:c16="http://schemas.microsoft.com/office/drawing/2014/chart" uri="{C3380CC4-5D6E-409C-BE32-E72D297353CC}">
              <c16:uniqueId val="{00000009-63B2-4CE3-B819-C197F70763B3}"/>
            </c:ext>
          </c:extLst>
        </c:ser>
        <c:ser>
          <c:idx val="4"/>
          <c:order val="4"/>
          <c:tx>
            <c:strRef>
              <c:f>'Pivot Table Analyses 2'!$F$1:$F$3</c:f>
              <c:strCache>
                <c:ptCount val="1"/>
                <c:pt idx="0">
                  <c:v>2021 - Growth Potential</c:v>
                </c:pt>
              </c:strCache>
            </c:strRef>
          </c:tx>
          <c:spPr>
            <a:solidFill>
              <a:schemeClr val="accent3">
                <a:lumMod val="60000"/>
              </a:schemeClr>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2'!$F$4:$F$10</c:f>
              <c:numCache>
                <c:formatCode>"$"#,##0.00</c:formatCode>
                <c:ptCount val="6"/>
                <c:pt idx="0">
                  <c:v>71294704</c:v>
                </c:pt>
                <c:pt idx="1">
                  <c:v>90084756</c:v>
                </c:pt>
                <c:pt idx="2">
                  <c:v>133180204</c:v>
                </c:pt>
                <c:pt idx="3">
                  <c:v>108658196</c:v>
                </c:pt>
                <c:pt idx="4">
                  <c:v>59372112</c:v>
                </c:pt>
                <c:pt idx="5">
                  <c:v>73150803</c:v>
                </c:pt>
              </c:numCache>
            </c:numRef>
          </c:val>
          <c:extLst>
            <c:ext xmlns:c16="http://schemas.microsoft.com/office/drawing/2014/chart" uri="{C3380CC4-5D6E-409C-BE32-E72D297353CC}">
              <c16:uniqueId val="{0000000A-63B2-4CE3-B819-C197F70763B3}"/>
            </c:ext>
          </c:extLst>
        </c:ser>
        <c:ser>
          <c:idx val="5"/>
          <c:order val="5"/>
          <c:tx>
            <c:strRef>
              <c:f>'Pivot Table Analyses 2'!$G$1:$G$3</c:f>
              <c:strCache>
                <c:ptCount val="1"/>
                <c:pt idx="0">
                  <c:v>2021 - Growth%</c:v>
                </c:pt>
              </c:strCache>
            </c:strRef>
          </c:tx>
          <c:spPr>
            <a:solidFill>
              <a:schemeClr val="accent5">
                <a:lumMod val="60000"/>
              </a:schemeClr>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2'!$G$4:$G$10</c:f>
              <c:numCache>
                <c:formatCode>0.00%</c:formatCode>
                <c:ptCount val="6"/>
                <c:pt idx="0">
                  <c:v>2.7194111415799327</c:v>
                </c:pt>
                <c:pt idx="1">
                  <c:v>2.8333473923855039</c:v>
                </c:pt>
                <c:pt idx="2">
                  <c:v>3.521141463584875</c:v>
                </c:pt>
                <c:pt idx="3">
                  <c:v>3.087728640923308</c:v>
                </c:pt>
                <c:pt idx="4">
                  <c:v>2.5125849919246352</c:v>
                </c:pt>
                <c:pt idx="5">
                  <c:v>2.6672059237209358</c:v>
                </c:pt>
              </c:numCache>
            </c:numRef>
          </c:val>
          <c:extLst>
            <c:ext xmlns:c16="http://schemas.microsoft.com/office/drawing/2014/chart" uri="{C3380CC4-5D6E-409C-BE32-E72D297353CC}">
              <c16:uniqueId val="{0000000B-63B2-4CE3-B819-C197F70763B3}"/>
            </c:ext>
          </c:extLst>
        </c:ser>
        <c:dLbls>
          <c:showLegendKey val="0"/>
          <c:showVal val="0"/>
          <c:showCatName val="0"/>
          <c:showSerName val="0"/>
          <c:showPercent val="0"/>
          <c:showBubbleSize val="0"/>
        </c:dLbls>
        <c:gapWidth val="150"/>
        <c:axId val="485497144"/>
        <c:axId val="485497472"/>
      </c:barChart>
      <c:catAx>
        <c:axId val="485497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85497472"/>
        <c:crosses val="autoZero"/>
        <c:auto val="1"/>
        <c:lblAlgn val="ctr"/>
        <c:lblOffset val="100"/>
        <c:noMultiLvlLbl val="0"/>
      </c:catAx>
      <c:valAx>
        <c:axId val="4854974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4971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B.NM.xlsx]Pivot Table Analyses 2!PivotTable13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growth</a:t>
            </a:r>
            <a:r>
              <a:rPr lang="en-US" b="1" baseline="0"/>
              <a:t> Performance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
        <c:idx val="12"/>
        <c:spPr>
          <a:solidFill>
            <a:schemeClr val="accent1"/>
          </a:solidFill>
          <a:ln>
            <a:noFill/>
          </a:ln>
          <a:effectLst/>
          <a:sp3d/>
        </c:spPr>
        <c:marker>
          <c:symbol val="none"/>
        </c:marker>
      </c:pivotFmt>
      <c:pivotFmt>
        <c:idx val="13"/>
        <c:spPr>
          <a:solidFill>
            <a:schemeClr val="accent1"/>
          </a:solidFill>
          <a:ln>
            <a:noFill/>
          </a:ln>
          <a:effectLst/>
          <a:sp3d/>
        </c:spPr>
        <c:marker>
          <c:symbol val="none"/>
        </c:marker>
      </c:pivotFmt>
      <c:pivotFmt>
        <c:idx val="14"/>
        <c:spPr>
          <a:solidFill>
            <a:schemeClr val="accent1"/>
          </a:solidFill>
          <a:ln>
            <a:noFill/>
          </a:ln>
          <a:effectLst/>
          <a:sp3d/>
        </c:spPr>
        <c:marker>
          <c:symbol val="none"/>
        </c:marker>
      </c:pivotFmt>
      <c:pivotFmt>
        <c:idx val="15"/>
        <c:spPr>
          <a:solidFill>
            <a:schemeClr val="accent1"/>
          </a:solidFill>
          <a:ln>
            <a:noFill/>
          </a:ln>
          <a:effectLst/>
          <a:sp3d/>
        </c:spPr>
        <c:marker>
          <c:symbol val="none"/>
        </c:marker>
      </c:pivotFmt>
      <c:pivotFmt>
        <c:idx val="16"/>
        <c:spPr>
          <a:solidFill>
            <a:schemeClr val="accent1"/>
          </a:solidFill>
          <a:ln>
            <a:noFill/>
          </a:ln>
          <a:effectLst/>
          <a:sp3d/>
        </c:spPr>
        <c:marker>
          <c:symbol val="none"/>
        </c:marker>
      </c:pivotFmt>
      <c:pivotFmt>
        <c:idx val="17"/>
        <c:spPr>
          <a:solidFill>
            <a:schemeClr val="accent1"/>
          </a:solidFill>
          <a:ln>
            <a:noFill/>
          </a:ln>
          <a:effectLst/>
          <a:sp3d/>
        </c:spPr>
        <c:marker>
          <c:symbol val="none"/>
        </c:marker>
      </c:pivotFmt>
      <c:pivotFmt>
        <c:idx val="18"/>
        <c:spPr>
          <a:solidFill>
            <a:schemeClr val="accent1"/>
          </a:solidFill>
          <a:ln>
            <a:noFill/>
          </a:ln>
          <a:effectLst/>
          <a:sp3d/>
        </c:spPr>
        <c:marker>
          <c:symbol val="none"/>
        </c:marker>
      </c:pivotFmt>
      <c:pivotFmt>
        <c:idx val="19"/>
        <c:spPr>
          <a:solidFill>
            <a:schemeClr val="accent1"/>
          </a:solidFill>
          <a:ln>
            <a:noFill/>
          </a:ln>
          <a:effectLst/>
          <a:sp3d/>
        </c:spPr>
        <c:marker>
          <c:symbol val="none"/>
        </c:marker>
      </c:pivotFmt>
      <c:pivotFmt>
        <c:idx val="20"/>
        <c:spPr>
          <a:solidFill>
            <a:schemeClr val="accent1"/>
          </a:solidFill>
          <a:ln>
            <a:noFill/>
          </a:ln>
          <a:effectLst/>
          <a:sp3d/>
        </c:spPr>
        <c:marker>
          <c:symbol val="none"/>
        </c:marker>
      </c:pivotFmt>
      <c:pivotFmt>
        <c:idx val="21"/>
        <c:spPr>
          <a:solidFill>
            <a:schemeClr val="accent1"/>
          </a:solidFill>
          <a:ln>
            <a:noFill/>
          </a:ln>
          <a:effectLst/>
          <a:sp3d/>
        </c:spPr>
        <c:marker>
          <c:symbol val="none"/>
        </c:marker>
      </c:pivotFmt>
      <c:pivotFmt>
        <c:idx val="22"/>
        <c:spPr>
          <a:solidFill>
            <a:schemeClr val="accent1"/>
          </a:solidFill>
          <a:ln>
            <a:noFill/>
          </a:ln>
          <a:effectLst/>
          <a:sp3d/>
        </c:spPr>
        <c:marker>
          <c:symbol val="none"/>
        </c:marker>
      </c:pivotFmt>
      <c:pivotFmt>
        <c:idx val="23"/>
        <c:spPr>
          <a:solidFill>
            <a:schemeClr val="accent1"/>
          </a:solidFill>
          <a:ln>
            <a:noFill/>
          </a:ln>
          <a:effectLst/>
          <a:sp3d/>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w="28575" cap="rnd">
            <a:solidFill>
              <a:schemeClr val="accent1"/>
            </a:solidFill>
            <a:round/>
          </a:ln>
          <a:effectLst/>
        </c:spPr>
      </c:pivotFmt>
      <c:pivotFmt>
        <c:idx val="37"/>
        <c:spPr>
          <a:solidFill>
            <a:schemeClr val="accent1"/>
          </a:solidFill>
          <a:ln w="28575" cap="rnd">
            <a:solidFill>
              <a:schemeClr val="accent1"/>
            </a:solidFill>
            <a:round/>
          </a:ln>
          <a:effectLst/>
        </c:spPr>
      </c:pivotFmt>
      <c:pivotFmt>
        <c:idx val="38"/>
        <c:spPr>
          <a:solidFill>
            <a:schemeClr val="accent1"/>
          </a:solidFill>
          <a:ln w="28575" cap="rnd">
            <a:solidFill>
              <a:schemeClr val="accent1"/>
            </a:solidFill>
            <a:round/>
          </a:ln>
          <a:effectLst/>
        </c:spPr>
      </c:pivotFmt>
      <c:pivotFmt>
        <c:idx val="39"/>
      </c:pivotFmt>
      <c:pivotFmt>
        <c:idx val="40"/>
      </c:pivotFmt>
      <c:pivotFmt>
        <c:idx val="41"/>
      </c:pivotFmt>
      <c:pivotFmt>
        <c:idx val="42"/>
      </c:pivotFmt>
      <c:pivotFmt>
        <c:idx val="43"/>
      </c:pivotFmt>
      <c:pivotFmt>
        <c:idx val="44"/>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s>
    <c:plotArea>
      <c:layout/>
      <c:barChart>
        <c:barDir val="col"/>
        <c:grouping val="clustered"/>
        <c:varyColors val="0"/>
        <c:ser>
          <c:idx val="0"/>
          <c:order val="0"/>
          <c:tx>
            <c:strRef>
              <c:f>'Pivot Table Analyses 2'!$B$1:$B$3</c:f>
              <c:strCache>
                <c:ptCount val="1"/>
                <c:pt idx="0">
                  <c:v>2020 - Sum of Total Sales</c:v>
                </c:pt>
              </c:strCache>
            </c:strRef>
          </c:tx>
          <c:spPr>
            <a:solidFill>
              <a:schemeClr val="accent1"/>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2'!$B$4:$B$10</c:f>
              <c:numCache>
                <c:formatCode>"$"#,##0.00</c:formatCode>
                <c:ptCount val="6"/>
                <c:pt idx="0">
                  <c:v>26216964</c:v>
                </c:pt>
                <c:pt idx="1">
                  <c:v>31794462</c:v>
                </c:pt>
                <c:pt idx="2">
                  <c:v>37823020</c:v>
                </c:pt>
                <c:pt idx="3">
                  <c:v>35190332</c:v>
                </c:pt>
                <c:pt idx="4">
                  <c:v>23629892</c:v>
                </c:pt>
                <c:pt idx="5">
                  <c:v>27426005</c:v>
                </c:pt>
              </c:numCache>
            </c:numRef>
          </c:val>
          <c:extLst>
            <c:ext xmlns:c16="http://schemas.microsoft.com/office/drawing/2014/chart" uri="{C3380CC4-5D6E-409C-BE32-E72D297353CC}">
              <c16:uniqueId val="{00000006-4439-43EC-A7A6-610FDDFFBE2B}"/>
            </c:ext>
          </c:extLst>
        </c:ser>
        <c:ser>
          <c:idx val="1"/>
          <c:order val="1"/>
          <c:tx>
            <c:strRef>
              <c:f>'Pivot Table Analyses 2'!$C$1:$C$3</c:f>
              <c:strCache>
                <c:ptCount val="1"/>
                <c:pt idx="0">
                  <c:v>2020 - Growth Potential</c:v>
                </c:pt>
              </c:strCache>
            </c:strRef>
          </c:tx>
          <c:spPr>
            <a:solidFill>
              <a:schemeClr val="accent3"/>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2'!$C$4:$C$10</c:f>
              <c:numCache>
                <c:formatCode>"$"#,##0.00</c:formatCode>
                <c:ptCount val="6"/>
              </c:numCache>
            </c:numRef>
          </c:val>
          <c:extLst>
            <c:ext xmlns:c16="http://schemas.microsoft.com/office/drawing/2014/chart" uri="{C3380CC4-5D6E-409C-BE32-E72D297353CC}">
              <c16:uniqueId val="{00000007-4439-43EC-A7A6-610FDDFFBE2B}"/>
            </c:ext>
          </c:extLst>
        </c:ser>
        <c:ser>
          <c:idx val="2"/>
          <c:order val="2"/>
          <c:tx>
            <c:strRef>
              <c:f>'Pivot Table Analyses 2'!$D$1:$D$3</c:f>
              <c:strCache>
                <c:ptCount val="1"/>
                <c:pt idx="0">
                  <c:v>2020 - Growth%</c:v>
                </c:pt>
              </c:strCache>
            </c:strRef>
          </c:tx>
          <c:spPr>
            <a:solidFill>
              <a:schemeClr val="accent5"/>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2'!$D$4:$D$10</c:f>
              <c:numCache>
                <c:formatCode>0.00%</c:formatCode>
                <c:ptCount val="6"/>
              </c:numCache>
            </c:numRef>
          </c:val>
          <c:extLst>
            <c:ext xmlns:c16="http://schemas.microsoft.com/office/drawing/2014/chart" uri="{C3380CC4-5D6E-409C-BE32-E72D297353CC}">
              <c16:uniqueId val="{00000008-4439-43EC-A7A6-610FDDFFBE2B}"/>
            </c:ext>
          </c:extLst>
        </c:ser>
        <c:ser>
          <c:idx val="3"/>
          <c:order val="3"/>
          <c:tx>
            <c:strRef>
              <c:f>'Pivot Table Analyses 2'!$E$1:$E$3</c:f>
              <c:strCache>
                <c:ptCount val="1"/>
                <c:pt idx="0">
                  <c:v>2021 - Sum of Total Sales</c:v>
                </c:pt>
              </c:strCache>
            </c:strRef>
          </c:tx>
          <c:spPr>
            <a:solidFill>
              <a:schemeClr val="accent1">
                <a:lumMod val="60000"/>
              </a:schemeClr>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2'!$E$4:$E$10</c:f>
              <c:numCache>
                <c:formatCode>"$"#,##0.00</c:formatCode>
                <c:ptCount val="6"/>
                <c:pt idx="0">
                  <c:v>97511668</c:v>
                </c:pt>
                <c:pt idx="1">
                  <c:v>121879218</c:v>
                </c:pt>
                <c:pt idx="2">
                  <c:v>171003224</c:v>
                </c:pt>
                <c:pt idx="3">
                  <c:v>143848528</c:v>
                </c:pt>
                <c:pt idx="4">
                  <c:v>83002004</c:v>
                </c:pt>
                <c:pt idx="5">
                  <c:v>100576808</c:v>
                </c:pt>
              </c:numCache>
            </c:numRef>
          </c:val>
          <c:extLst>
            <c:ext xmlns:c16="http://schemas.microsoft.com/office/drawing/2014/chart" uri="{C3380CC4-5D6E-409C-BE32-E72D297353CC}">
              <c16:uniqueId val="{00000009-4439-43EC-A7A6-610FDDFFBE2B}"/>
            </c:ext>
          </c:extLst>
        </c:ser>
        <c:ser>
          <c:idx val="4"/>
          <c:order val="4"/>
          <c:tx>
            <c:strRef>
              <c:f>'Pivot Table Analyses 2'!$F$1:$F$3</c:f>
              <c:strCache>
                <c:ptCount val="1"/>
                <c:pt idx="0">
                  <c:v>2021 - Growth Potential</c:v>
                </c:pt>
              </c:strCache>
            </c:strRef>
          </c:tx>
          <c:spPr>
            <a:solidFill>
              <a:schemeClr val="accent3">
                <a:lumMod val="60000"/>
              </a:schemeClr>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2'!$F$4:$F$10</c:f>
              <c:numCache>
                <c:formatCode>"$"#,##0.00</c:formatCode>
                <c:ptCount val="6"/>
                <c:pt idx="0">
                  <c:v>71294704</c:v>
                </c:pt>
                <c:pt idx="1">
                  <c:v>90084756</c:v>
                </c:pt>
                <c:pt idx="2">
                  <c:v>133180204</c:v>
                </c:pt>
                <c:pt idx="3">
                  <c:v>108658196</c:v>
                </c:pt>
                <c:pt idx="4">
                  <c:v>59372112</c:v>
                </c:pt>
                <c:pt idx="5">
                  <c:v>73150803</c:v>
                </c:pt>
              </c:numCache>
            </c:numRef>
          </c:val>
          <c:extLst>
            <c:ext xmlns:c16="http://schemas.microsoft.com/office/drawing/2014/chart" uri="{C3380CC4-5D6E-409C-BE32-E72D297353CC}">
              <c16:uniqueId val="{0000000A-4439-43EC-A7A6-610FDDFFBE2B}"/>
            </c:ext>
          </c:extLst>
        </c:ser>
        <c:ser>
          <c:idx val="5"/>
          <c:order val="5"/>
          <c:tx>
            <c:strRef>
              <c:f>'Pivot Table Analyses 2'!$G$1:$G$3</c:f>
              <c:strCache>
                <c:ptCount val="1"/>
                <c:pt idx="0">
                  <c:v>2021 - Growth%</c:v>
                </c:pt>
              </c:strCache>
            </c:strRef>
          </c:tx>
          <c:spPr>
            <a:solidFill>
              <a:schemeClr val="accent5">
                <a:lumMod val="60000"/>
              </a:schemeClr>
            </a:solidFill>
            <a:ln>
              <a:noFill/>
            </a:ln>
            <a:effectLst/>
          </c:spPr>
          <c:invertIfNegative val="0"/>
          <c:cat>
            <c:strRef>
              <c:f>'Pivot Table Analyses 2'!$A$4:$A$10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 2'!$G$4:$G$10</c:f>
              <c:numCache>
                <c:formatCode>0.00%</c:formatCode>
                <c:ptCount val="6"/>
                <c:pt idx="0">
                  <c:v>2.7194111415799327</c:v>
                </c:pt>
                <c:pt idx="1">
                  <c:v>2.8333473923855039</c:v>
                </c:pt>
                <c:pt idx="2">
                  <c:v>3.521141463584875</c:v>
                </c:pt>
                <c:pt idx="3">
                  <c:v>3.087728640923308</c:v>
                </c:pt>
                <c:pt idx="4">
                  <c:v>2.5125849919246352</c:v>
                </c:pt>
                <c:pt idx="5">
                  <c:v>2.6672059237209358</c:v>
                </c:pt>
              </c:numCache>
            </c:numRef>
          </c:val>
          <c:extLst>
            <c:ext xmlns:c16="http://schemas.microsoft.com/office/drawing/2014/chart" uri="{C3380CC4-5D6E-409C-BE32-E72D297353CC}">
              <c16:uniqueId val="{0000000B-4439-43EC-A7A6-610FDDFFBE2B}"/>
            </c:ext>
          </c:extLst>
        </c:ser>
        <c:dLbls>
          <c:showLegendKey val="0"/>
          <c:showVal val="0"/>
          <c:showCatName val="0"/>
          <c:showSerName val="0"/>
          <c:showPercent val="0"/>
          <c:showBubbleSize val="0"/>
        </c:dLbls>
        <c:gapWidth val="150"/>
        <c:axId val="485497144"/>
        <c:axId val="485497472"/>
      </c:barChart>
      <c:catAx>
        <c:axId val="485497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85497472"/>
        <c:crosses val="autoZero"/>
        <c:auto val="1"/>
        <c:lblAlgn val="ctr"/>
        <c:lblOffset val="100"/>
        <c:noMultiLvlLbl val="0"/>
      </c:catAx>
      <c:valAx>
        <c:axId val="4854974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5497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[Beginner_capstone_dataset Group B.NM.xlsx]Pivot Table Analyses!PivotTable1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larendon BT" panose="02040704040505020204" pitchFamily="18" charset="0"/>
                <a:ea typeface="+mn-ea"/>
                <a:cs typeface="+mn-cs"/>
              </a:defRPr>
            </a:pPr>
            <a:r>
              <a:rPr lang="en-US" b="1">
                <a:latin typeface="Clarendon BT" panose="02040704040505020204" pitchFamily="18" charset="0"/>
              </a:rPr>
              <a:t>Revenue by Products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larendon BT" panose="02040704040505020204" pitchFamily="18" charset="0"/>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pivotFmt>
      <c:pivotFmt>
        <c:idx val="3"/>
        <c:spPr>
          <a:solidFill>
            <a:schemeClr val="accent5"/>
          </a:solidFill>
          <a:ln>
            <a:noFill/>
          </a:ln>
          <a:effectLst/>
          <a:sp3d/>
        </c:spPr>
        <c:marker>
          <c:symbol val="none"/>
        </c:marker>
      </c:pivotFmt>
      <c:pivotFmt>
        <c:idx val="4"/>
        <c:spPr>
          <a:solidFill>
            <a:schemeClr val="accent5"/>
          </a:solidFill>
          <a:ln>
            <a:noFill/>
          </a:ln>
          <a:effectLst/>
          <a:sp3d/>
        </c:spPr>
        <c:marker>
          <c:symbol val="none"/>
        </c:marker>
      </c:pivotFmt>
      <c:pivotFmt>
        <c:idx val="5"/>
        <c:spPr>
          <a:solidFill>
            <a:schemeClr val="accent5"/>
          </a:solidFill>
          <a:ln>
            <a:noFill/>
          </a:ln>
          <a:effectLst/>
          <a:sp3d/>
        </c:spPr>
        <c:marker>
          <c:symbol val="none"/>
        </c:marker>
      </c:pivotFmt>
      <c:pivotFmt>
        <c:idx val="6"/>
        <c:spPr>
          <a:solidFill>
            <a:schemeClr val="accent5"/>
          </a:solidFill>
          <a:ln>
            <a:noFill/>
          </a:ln>
          <a:effectLst/>
          <a:sp3d/>
        </c:spPr>
        <c:marker>
          <c:symbol val="none"/>
        </c:marker>
      </c:pivotFmt>
      <c:pivotFmt>
        <c:idx val="7"/>
        <c:spPr>
          <a:solidFill>
            <a:schemeClr val="accent5"/>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Analyses'!$B$3</c:f>
              <c:strCache>
                <c:ptCount val="1"/>
                <c:pt idx="0">
                  <c:v>Total</c:v>
                </c:pt>
              </c:strCache>
            </c:strRef>
          </c:tx>
          <c:spPr>
            <a:solidFill>
              <a:schemeClr val="accent5"/>
            </a:solidFill>
            <a:ln>
              <a:noFill/>
            </a:ln>
            <a:effectLst/>
            <a:sp3d/>
          </c:spPr>
          <c:invertIfNegative val="0"/>
          <c:cat>
            <c:strRef>
              <c:f>'Pivot Table Analyses'!$A$4:$A$10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 Analyses'!$B$4:$B$10</c:f>
              <c:numCache>
                <c:formatCode>"$"#,##0.00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54DD-4C88-8B39-C0613F5AFA9E}"/>
            </c:ext>
          </c:extLst>
        </c:ser>
        <c:dLbls>
          <c:showLegendKey val="0"/>
          <c:showVal val="0"/>
          <c:showCatName val="0"/>
          <c:showSerName val="0"/>
          <c:showPercent val="0"/>
          <c:showBubbleSize val="0"/>
        </c:dLbls>
        <c:gapWidth val="150"/>
        <c:shape val="box"/>
        <c:axId val="568075040"/>
        <c:axId val="568074384"/>
        <c:axId val="0"/>
      </c:bar3DChart>
      <c:catAx>
        <c:axId val="5680750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larendon BT" panose="02040704040505020204" pitchFamily="18" charset="0"/>
                <a:ea typeface="+mn-ea"/>
                <a:cs typeface="+mn-cs"/>
              </a:defRPr>
            </a:pPr>
            <a:endParaRPr lang="en-US"/>
          </a:p>
        </c:txPr>
        <c:crossAx val="568074384"/>
        <c:crosses val="autoZero"/>
        <c:auto val="1"/>
        <c:lblAlgn val="ctr"/>
        <c:lblOffset val="100"/>
        <c:noMultiLvlLbl val="0"/>
      </c:catAx>
      <c:valAx>
        <c:axId val="568074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larendon BT" panose="02040704040505020204" pitchFamily="18" charset="0"/>
                <a:ea typeface="+mn-ea"/>
                <a:cs typeface="+mn-cs"/>
              </a:defRPr>
            </a:pPr>
            <a:endParaRPr lang="en-US"/>
          </a:p>
        </c:txPr>
        <c:crossAx val="5680750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[Beginner_capstone_dataset Group B.NM.xlsx]Pivot Table Analyses!PivotTable2</c:name>
    <c:fmtId val="6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larendon BT" panose="02040704040505020204" pitchFamily="18" charset="0"/>
                <a:ea typeface="+mn-ea"/>
                <a:cs typeface="+mn-cs"/>
              </a:defRPr>
            </a:pPr>
            <a:r>
              <a:rPr lang="en-US" b="1">
                <a:latin typeface="Clarendon BT" panose="02040704040505020204" pitchFamily="18" charset="0"/>
              </a:rPr>
              <a:t>Revenue</a:t>
            </a:r>
            <a:r>
              <a:rPr lang="en-US" b="1" baseline="0">
                <a:latin typeface="Clarendon BT" panose="02040704040505020204" pitchFamily="18" charset="0"/>
              </a:rPr>
              <a:t> by Regions</a:t>
            </a:r>
            <a:endParaRPr lang="en-US" b="1">
              <a:latin typeface="Clarendon BT" panose="020407040405050202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larendon BT" panose="02040704040505020204" pitchFamily="18" charset="0"/>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pivotFmt>
      <c:pivotFmt>
        <c:idx val="3"/>
        <c:spPr>
          <a:solidFill>
            <a:schemeClr val="accent5"/>
          </a:solidFill>
          <a:ln>
            <a:noFill/>
          </a:ln>
          <a:effectLst/>
          <a:sp3d/>
        </c:spPr>
        <c:marker>
          <c:symbol val="none"/>
        </c:marker>
      </c:pivotFmt>
      <c:pivotFmt>
        <c:idx val="4"/>
        <c:spPr>
          <a:solidFill>
            <a:schemeClr val="accent5"/>
          </a:solidFill>
          <a:ln>
            <a:noFill/>
          </a:ln>
          <a:effectLst/>
          <a:sp3d/>
        </c:spPr>
        <c:marker>
          <c:symbol val="none"/>
        </c:marker>
      </c:pivotFmt>
      <c:pivotFmt>
        <c:idx val="5"/>
        <c:spPr>
          <a:solidFill>
            <a:schemeClr val="accent5"/>
          </a:solidFill>
          <a:ln>
            <a:noFill/>
          </a:ln>
          <a:effectLst/>
          <a:sp3d/>
        </c:spPr>
        <c:marker>
          <c:symbol val="none"/>
        </c:marker>
      </c:pivotFmt>
      <c:pivotFmt>
        <c:idx val="6"/>
        <c:spPr>
          <a:solidFill>
            <a:schemeClr val="accent5"/>
          </a:solidFill>
          <a:ln>
            <a:noFill/>
          </a:ln>
          <a:effectLst/>
          <a:sp3d/>
        </c:spPr>
        <c:marker>
          <c:symbol val="none"/>
        </c:marker>
      </c:pivotFmt>
      <c:pivotFmt>
        <c:idx val="7"/>
        <c:spPr>
          <a:solidFill>
            <a:schemeClr val="accent5"/>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Analyses'!$B$15</c:f>
              <c:strCache>
                <c:ptCount val="1"/>
                <c:pt idx="0">
                  <c:v>Total</c:v>
                </c:pt>
              </c:strCache>
            </c:strRef>
          </c:tx>
          <c:spPr>
            <a:solidFill>
              <a:schemeClr val="accent5"/>
            </a:solidFill>
            <a:ln>
              <a:noFill/>
            </a:ln>
            <a:effectLst/>
            <a:sp3d/>
          </c:spPr>
          <c:invertIfNegative val="0"/>
          <c:cat>
            <c:strRef>
              <c:f>'Pivot Table Analyses'!$A$16:$A$21</c:f>
              <c:strCache>
                <c:ptCount val="5"/>
                <c:pt idx="0">
                  <c:v>Midwest</c:v>
                </c:pt>
                <c:pt idx="1">
                  <c:v>Northeast</c:v>
                </c:pt>
                <c:pt idx="2">
                  <c:v>South</c:v>
                </c:pt>
                <c:pt idx="3">
                  <c:v>Southeast</c:v>
                </c:pt>
                <c:pt idx="4">
                  <c:v>West</c:v>
                </c:pt>
              </c:strCache>
            </c:strRef>
          </c:cat>
          <c:val>
            <c:numRef>
              <c:f>'Pivot Table Analyses'!$B$16:$B$21</c:f>
              <c:numCache>
                <c:formatCode>"$"#,##0.00</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1E9E-46DB-818C-0920BB81CB80}"/>
            </c:ext>
          </c:extLst>
        </c:ser>
        <c:dLbls>
          <c:showLegendKey val="0"/>
          <c:showVal val="0"/>
          <c:showCatName val="0"/>
          <c:showSerName val="0"/>
          <c:showPercent val="0"/>
          <c:showBubbleSize val="0"/>
        </c:dLbls>
        <c:gapWidth val="150"/>
        <c:shape val="box"/>
        <c:axId val="415056048"/>
        <c:axId val="415056376"/>
        <c:axId val="0"/>
      </c:bar3DChart>
      <c:catAx>
        <c:axId val="415056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larendon BT" panose="02040704040505020204" pitchFamily="18" charset="0"/>
                <a:ea typeface="+mn-ea"/>
                <a:cs typeface="+mn-cs"/>
              </a:defRPr>
            </a:pPr>
            <a:endParaRPr lang="en-US"/>
          </a:p>
        </c:txPr>
        <c:crossAx val="415056376"/>
        <c:crosses val="autoZero"/>
        <c:auto val="1"/>
        <c:lblAlgn val="ctr"/>
        <c:lblOffset val="100"/>
        <c:noMultiLvlLbl val="0"/>
      </c:catAx>
      <c:valAx>
        <c:axId val="415056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Clarendon BT" panose="02040704040505020204" pitchFamily="18" charset="0"/>
                <a:ea typeface="+mn-ea"/>
                <a:cs typeface="+mn-cs"/>
              </a:defRPr>
            </a:pPr>
            <a:endParaRPr lang="en-US"/>
          </a:p>
        </c:txPr>
        <c:crossAx val="4150560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[Beginner_capstone_dataset Group B.NM.xlsx]Pivot Table Analyses!PivotTable3</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larendon BT" panose="02040704040505020204" pitchFamily="18" charset="0"/>
                <a:ea typeface="+mn-ea"/>
                <a:cs typeface="+mn-cs"/>
              </a:defRPr>
            </a:pPr>
            <a:r>
              <a:rPr lang="en-US" b="1">
                <a:latin typeface="Clarendon BT" panose="02040704040505020204" pitchFamily="18" charset="0"/>
              </a:rPr>
              <a:t>Sales Trends over</a:t>
            </a:r>
            <a:r>
              <a:rPr lang="en-US" b="1" baseline="0">
                <a:latin typeface="Clarendon BT" panose="02040704040505020204" pitchFamily="18" charset="0"/>
              </a:rPr>
              <a:t> time</a:t>
            </a:r>
            <a:endParaRPr lang="en-US" b="1">
              <a:latin typeface="Clarendon BT" panose="02040704040505020204" pitchFamily="18"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larendon BT" panose="02040704040505020204" pitchFamily="18" charset="0"/>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pivotFmt>
      <c:pivotFmt>
        <c:idx val="3"/>
        <c:spPr>
          <a:solidFill>
            <a:schemeClr val="accent5"/>
          </a:solidFill>
          <a:ln>
            <a:noFill/>
          </a:ln>
          <a:effectLst/>
        </c:spPr>
        <c:marker>
          <c:symbol val="circle"/>
          <c:size val="5"/>
          <c:spPr>
            <a:solidFill>
              <a:schemeClr val="accent5"/>
            </a:solidFill>
            <a:ln w="9525">
              <a:solidFill>
                <a:schemeClr val="accent5"/>
              </a:solidFill>
            </a:ln>
            <a:effectLst/>
          </c:spPr>
        </c:marker>
      </c:pivotFmt>
      <c:pivotFmt>
        <c:idx val="4"/>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pivotFmt>
      <c:pivotFmt>
        <c:idx val="5"/>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pivotFmt>
      <c:pivotFmt>
        <c:idx val="6"/>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pivotFmt>
      <c:pivotFmt>
        <c:idx val="7"/>
        <c:spPr>
          <a:solidFill>
            <a:schemeClr val="accent5"/>
          </a:solidFill>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pivotFmt>
    </c:pivotFmts>
    <c:plotArea>
      <c:layout/>
      <c:lineChart>
        <c:grouping val="standard"/>
        <c:varyColors val="0"/>
        <c:ser>
          <c:idx val="0"/>
          <c:order val="0"/>
          <c:tx>
            <c:strRef>
              <c:f>'Pivot Table Analyses'!$G$3</c:f>
              <c:strCache>
                <c:ptCount val="1"/>
                <c:pt idx="0">
                  <c:v>Total</c:v>
                </c:pt>
              </c:strCache>
            </c:strRef>
          </c:tx>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cat>
            <c:multiLvlStrRef>
              <c:f>'Pivot Table Analyses'!$F$4:$F$30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 Analyses'!$G$4:$G$30</c:f>
              <c:numCache>
                <c:formatCode>General</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9C40-4BF6-BDE0-CA8D8F74589E}"/>
            </c:ext>
          </c:extLst>
        </c:ser>
        <c:dLbls>
          <c:showLegendKey val="0"/>
          <c:showVal val="0"/>
          <c:showCatName val="0"/>
          <c:showSerName val="0"/>
          <c:showPercent val="0"/>
          <c:showBubbleSize val="0"/>
        </c:dLbls>
        <c:marker val="1"/>
        <c:smooth val="0"/>
        <c:axId val="485586360"/>
        <c:axId val="485584392"/>
      </c:lineChart>
      <c:catAx>
        <c:axId val="485586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Clarendon BT" panose="02040704040505020204" pitchFamily="18" charset="0"/>
                <a:ea typeface="+mn-ea"/>
                <a:cs typeface="+mn-cs"/>
              </a:defRPr>
            </a:pPr>
            <a:endParaRPr lang="en-US"/>
          </a:p>
        </c:txPr>
        <c:crossAx val="485584392"/>
        <c:crosses val="autoZero"/>
        <c:auto val="1"/>
        <c:lblAlgn val="ctr"/>
        <c:lblOffset val="100"/>
        <c:noMultiLvlLbl val="0"/>
      </c:catAx>
      <c:valAx>
        <c:axId val="485584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larendon BT" panose="02040704040505020204" pitchFamily="18" charset="0"/>
                <a:ea typeface="+mn-ea"/>
                <a:cs typeface="+mn-cs"/>
              </a:defRPr>
            </a:pPr>
            <a:endParaRPr lang="en-US"/>
          </a:p>
        </c:txPr>
        <c:crossAx val="485586360"/>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[Beginner_capstone_dataset Group B.NM.xlsx]Pivot Table Analyses!PivotTable4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larendon BT" panose="02040704040505020204" pitchFamily="18" charset="0"/>
                <a:ea typeface="+mn-ea"/>
                <a:cs typeface="+mn-cs"/>
              </a:defRPr>
            </a:pPr>
            <a:r>
              <a:rPr lang="en-US" b="1">
                <a:latin typeface="Clarendon BT" panose="02040704040505020204" pitchFamily="18" charset="0"/>
              </a:rPr>
              <a:t>Revenue</a:t>
            </a:r>
            <a:r>
              <a:rPr lang="en-US" b="1" baseline="0">
                <a:latin typeface="Clarendon BT" panose="02040704040505020204" pitchFamily="18" charset="0"/>
              </a:rPr>
              <a:t> by Retailer</a:t>
            </a:r>
            <a:endParaRPr lang="en-US" b="1">
              <a:latin typeface="Clarendon BT" panose="020407040405050202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larendon BT" panose="02040704040505020204" pitchFamily="18" charset="0"/>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pivotFmt>
      <c:pivotFmt>
        <c:idx val="4"/>
        <c:spPr>
          <a:solidFill>
            <a:schemeClr val="accent5"/>
          </a:solidFill>
          <a:ln>
            <a:noFill/>
          </a:ln>
          <a:effectLst/>
          <a:sp3d/>
        </c:spPr>
        <c:marker>
          <c:symbol val="none"/>
        </c:marker>
      </c:pivotFmt>
      <c:pivotFmt>
        <c:idx val="5"/>
        <c:spPr>
          <a:solidFill>
            <a:schemeClr val="accent5"/>
          </a:solidFill>
          <a:ln>
            <a:noFill/>
          </a:ln>
          <a:effectLst/>
          <a:sp3d/>
        </c:spPr>
        <c:marker>
          <c:symbol val="none"/>
        </c:marker>
      </c:pivotFmt>
      <c:pivotFmt>
        <c:idx val="6"/>
        <c:spPr>
          <a:solidFill>
            <a:schemeClr val="accent5"/>
          </a:solidFill>
          <a:ln>
            <a:noFill/>
          </a:ln>
          <a:effectLst/>
          <a:sp3d/>
        </c:spPr>
        <c:marker>
          <c:symbol val="none"/>
        </c:marker>
      </c:pivotFmt>
      <c:pivotFmt>
        <c:idx val="7"/>
        <c:spPr>
          <a:solidFill>
            <a:schemeClr val="accent5"/>
          </a:solidFill>
          <a:ln>
            <a:noFill/>
          </a:ln>
          <a:effectLst/>
          <a:sp3d/>
        </c:spPr>
        <c:marker>
          <c:symbol val="none"/>
        </c:marker>
      </c:pivotFmt>
      <c:pivotFmt>
        <c:idx val="8"/>
        <c:spPr>
          <a:solidFill>
            <a:schemeClr val="accent5"/>
          </a:solidFill>
          <a:ln>
            <a:noFill/>
          </a:ln>
          <a:effectLst/>
          <a:sp3d/>
        </c:spPr>
        <c:marker>
          <c:symbol val="none"/>
        </c:marker>
      </c:pivotFmt>
      <c:pivotFmt>
        <c:idx val="9"/>
        <c:spPr>
          <a:solidFill>
            <a:schemeClr val="accent5"/>
          </a:solidFill>
          <a:ln>
            <a:noFill/>
          </a:ln>
          <a:effectLst/>
          <a:sp3d/>
        </c:spPr>
        <c:marker>
          <c:symbol val="none"/>
        </c:marker>
      </c:pivotFmt>
      <c:pivotFmt>
        <c:idx val="10"/>
        <c:spPr>
          <a:solidFill>
            <a:schemeClr val="accent5"/>
          </a:solidFill>
          <a:ln>
            <a:noFill/>
          </a:ln>
          <a:effectLst/>
          <a:sp3d/>
        </c:spPr>
        <c:marker>
          <c:symbol val="none"/>
        </c:marker>
      </c:pivotFmt>
      <c:pivotFmt>
        <c:idx val="11"/>
        <c:spPr>
          <a:solidFill>
            <a:schemeClr val="accent5"/>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Analyses'!$K$3</c:f>
              <c:strCache>
                <c:ptCount val="1"/>
                <c:pt idx="0">
                  <c:v>Total</c:v>
                </c:pt>
              </c:strCache>
            </c:strRef>
          </c:tx>
          <c:spPr>
            <a:solidFill>
              <a:schemeClr val="accent5"/>
            </a:solidFill>
            <a:ln>
              <a:noFill/>
            </a:ln>
            <a:effectLst/>
            <a:sp3d/>
          </c:spPr>
          <c:invertIfNegative val="0"/>
          <c:cat>
            <c:strRef>
              <c:f>'Pivot Table Analyses'!$J$4:$J$10</c:f>
              <c:strCache>
                <c:ptCount val="6"/>
                <c:pt idx="0">
                  <c:v>Amazon</c:v>
                </c:pt>
                <c:pt idx="1">
                  <c:v>Foot Locker</c:v>
                </c:pt>
                <c:pt idx="2">
                  <c:v>Kohl's</c:v>
                </c:pt>
                <c:pt idx="3">
                  <c:v>Sports Direct</c:v>
                </c:pt>
                <c:pt idx="4">
                  <c:v>Walmart</c:v>
                </c:pt>
                <c:pt idx="5">
                  <c:v>West Gear</c:v>
                </c:pt>
              </c:strCache>
            </c:strRef>
          </c:cat>
          <c:val>
            <c:numRef>
              <c:f>'Pivot Table Analyses'!$K$4:$K$10</c:f>
              <c:numCache>
                <c:formatCode>"$"#,##0.00</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B811-4143-9175-343BCF68B558}"/>
            </c:ext>
          </c:extLst>
        </c:ser>
        <c:dLbls>
          <c:showLegendKey val="0"/>
          <c:showVal val="0"/>
          <c:showCatName val="0"/>
          <c:showSerName val="0"/>
          <c:showPercent val="0"/>
          <c:showBubbleSize val="0"/>
        </c:dLbls>
        <c:gapWidth val="150"/>
        <c:shape val="box"/>
        <c:axId val="487147160"/>
        <c:axId val="479498800"/>
        <c:axId val="0"/>
      </c:bar3DChart>
      <c:catAx>
        <c:axId val="487147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79498800"/>
        <c:crosses val="autoZero"/>
        <c:auto val="1"/>
        <c:lblAlgn val="ctr"/>
        <c:lblOffset val="100"/>
        <c:noMultiLvlLbl val="0"/>
      </c:catAx>
      <c:valAx>
        <c:axId val="479498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600" b="1" i="0" u="none" strike="noStrike" kern="1200" baseline="0">
                <a:solidFill>
                  <a:schemeClr val="tx1">
                    <a:lumMod val="65000"/>
                    <a:lumOff val="35000"/>
                  </a:schemeClr>
                </a:solidFill>
                <a:latin typeface="Clarendon BT" panose="02040704040505020204" pitchFamily="18" charset="0"/>
                <a:ea typeface="+mn-ea"/>
                <a:cs typeface="+mn-cs"/>
              </a:defRPr>
            </a:pPr>
            <a:endParaRPr lang="en-US"/>
          </a:p>
        </c:txPr>
        <c:crossAx val="4871471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[Beginner_capstone_dataset Group B.NM.xlsx]Pivot Table Analyses!PivotTable5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larendon BT" panose="02040704040505020204" pitchFamily="18" charset="0"/>
                <a:ea typeface="+mn-ea"/>
                <a:cs typeface="+mn-cs"/>
              </a:defRPr>
            </a:pPr>
            <a:r>
              <a:rPr lang="en-US" b="1">
                <a:latin typeface="Clarendon BT" panose="02040704040505020204" pitchFamily="18" charset="0"/>
              </a:rPr>
              <a:t>Revenue</a:t>
            </a:r>
            <a:r>
              <a:rPr lang="en-US" b="1" baseline="0">
                <a:latin typeface="Clarendon BT" panose="02040704040505020204" pitchFamily="18" charset="0"/>
              </a:rPr>
              <a:t> by Sales Method</a:t>
            </a:r>
            <a:endParaRPr lang="en-US" b="1">
              <a:latin typeface="Clarendon BT" panose="020407040405050202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larendon BT" panose="02040704040505020204" pitchFamily="18" charset="0"/>
              <a:ea typeface="+mn-ea"/>
              <a:cs typeface="+mn-cs"/>
            </a:defRPr>
          </a:pPr>
          <a:endParaRPr lang="en-US"/>
        </a:p>
      </c:txPr>
    </c:title>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pivotFmt>
      <c:pivotFmt>
        <c:idx val="5"/>
        <c:spPr>
          <a:solidFill>
            <a:schemeClr val="accent5"/>
          </a:solidFill>
          <a:ln>
            <a:noFill/>
          </a:ln>
          <a:effectLst/>
        </c:spPr>
        <c:marker>
          <c:symbol val="none"/>
        </c:marker>
      </c:pivotFmt>
      <c:pivotFmt>
        <c:idx val="6"/>
        <c:spPr>
          <a:solidFill>
            <a:schemeClr val="accent5"/>
          </a:solidFill>
          <a:ln>
            <a:noFill/>
          </a:ln>
          <a:effectLst/>
        </c:spPr>
        <c:marker>
          <c:symbol val="none"/>
        </c:marker>
      </c:pivotFmt>
      <c:pivotFmt>
        <c:idx val="7"/>
        <c:spPr>
          <a:solidFill>
            <a:schemeClr val="accent5"/>
          </a:solidFill>
          <a:ln>
            <a:noFill/>
          </a:ln>
          <a:effectLst/>
        </c:spPr>
        <c:marker>
          <c:symbol val="none"/>
        </c:marker>
      </c:pivotFmt>
    </c:pivotFmts>
    <c:plotArea>
      <c:layout/>
      <c:barChart>
        <c:barDir val="col"/>
        <c:grouping val="clustered"/>
        <c:varyColors val="0"/>
        <c:ser>
          <c:idx val="0"/>
          <c:order val="0"/>
          <c:tx>
            <c:strRef>
              <c:f>'Pivot Table Analyses'!$K$14</c:f>
              <c:strCache>
                <c:ptCount val="1"/>
                <c:pt idx="0">
                  <c:v>Total</c:v>
                </c:pt>
              </c:strCache>
            </c:strRef>
          </c:tx>
          <c:spPr>
            <a:solidFill>
              <a:schemeClr val="accent5"/>
            </a:solidFill>
            <a:ln>
              <a:noFill/>
            </a:ln>
            <a:effectLst/>
          </c:spPr>
          <c:invertIfNegative val="0"/>
          <c:cat>
            <c:strRef>
              <c:f>'Pivot Table Analyses'!$J$15:$J$18</c:f>
              <c:strCache>
                <c:ptCount val="3"/>
                <c:pt idx="0">
                  <c:v>In-store</c:v>
                </c:pt>
                <c:pt idx="1">
                  <c:v>Online</c:v>
                </c:pt>
                <c:pt idx="2">
                  <c:v>Outlet</c:v>
                </c:pt>
              </c:strCache>
            </c:strRef>
          </c:cat>
          <c:val>
            <c:numRef>
              <c:f>'Pivot Table Analyses'!$K$15:$K$18</c:f>
              <c:numCache>
                <c:formatCode>"$"#,##0.00_);\("$"#,##0.00\)</c:formatCode>
                <c:ptCount val="3"/>
                <c:pt idx="0">
                  <c:v>356643750</c:v>
                </c:pt>
                <c:pt idx="1">
                  <c:v>247672882</c:v>
                </c:pt>
                <c:pt idx="2">
                  <c:v>295585493</c:v>
                </c:pt>
              </c:numCache>
            </c:numRef>
          </c:val>
          <c:extLst>
            <c:ext xmlns:c16="http://schemas.microsoft.com/office/drawing/2014/chart" uri="{C3380CC4-5D6E-409C-BE32-E72D297353CC}">
              <c16:uniqueId val="{00000000-924B-472C-B795-9982789A8D06}"/>
            </c:ext>
          </c:extLst>
        </c:ser>
        <c:dLbls>
          <c:showLegendKey val="0"/>
          <c:showVal val="0"/>
          <c:showCatName val="0"/>
          <c:showSerName val="0"/>
          <c:showPercent val="0"/>
          <c:showBubbleSize val="0"/>
        </c:dLbls>
        <c:gapWidth val="219"/>
        <c:overlap val="-27"/>
        <c:axId val="485489928"/>
        <c:axId val="485490584"/>
      </c:barChart>
      <c:catAx>
        <c:axId val="485489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larendon BT" panose="02040704040505020204" pitchFamily="18" charset="0"/>
                <a:ea typeface="+mn-ea"/>
                <a:cs typeface="+mn-cs"/>
              </a:defRPr>
            </a:pPr>
            <a:endParaRPr lang="en-US"/>
          </a:p>
        </c:txPr>
        <c:crossAx val="485490584"/>
        <c:crosses val="autoZero"/>
        <c:auto val="1"/>
        <c:lblAlgn val="ctr"/>
        <c:lblOffset val="100"/>
        <c:noMultiLvlLbl val="0"/>
      </c:catAx>
      <c:valAx>
        <c:axId val="4854905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Clarendon BT" panose="02040704040505020204" pitchFamily="18" charset="0"/>
                <a:ea typeface="+mn-ea"/>
                <a:cs typeface="+mn-cs"/>
              </a:defRPr>
            </a:pPr>
            <a:endParaRPr lang="en-US"/>
          </a:p>
        </c:txPr>
        <c:crossAx val="4854899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16</xdr:col>
      <xdr:colOff>147637</xdr:colOff>
      <xdr:row>0</xdr:row>
      <xdr:rowOff>47625</xdr:rowOff>
    </xdr:from>
    <xdr:to>
      <xdr:col>18</xdr:col>
      <xdr:colOff>1738312</xdr:colOff>
      <xdr:row>14</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186927</xdr:colOff>
      <xdr:row>16</xdr:row>
      <xdr:rowOff>42465</xdr:rowOff>
    </xdr:from>
    <xdr:to>
      <xdr:col>18</xdr:col>
      <xdr:colOff>1777602</xdr:colOff>
      <xdr:row>30</xdr:row>
      <xdr:rowOff>116681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2005012</xdr:colOff>
      <xdr:row>0</xdr:row>
      <xdr:rowOff>133350</xdr:rowOff>
    </xdr:from>
    <xdr:to>
      <xdr:col>26</xdr:col>
      <xdr:colOff>138112</xdr:colOff>
      <xdr:row>15</xdr:row>
      <xdr:rowOff>19050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30757</xdr:colOff>
      <xdr:row>16</xdr:row>
      <xdr:rowOff>47228</xdr:rowOff>
    </xdr:from>
    <xdr:to>
      <xdr:col>26</xdr:col>
      <xdr:colOff>247054</xdr:colOff>
      <xdr:row>30</xdr:row>
      <xdr:rowOff>151209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199429</xdr:colOff>
      <xdr:row>31</xdr:row>
      <xdr:rowOff>96839</xdr:rowOff>
    </xdr:from>
    <xdr:to>
      <xdr:col>18</xdr:col>
      <xdr:colOff>1784944</xdr:colOff>
      <xdr:row>46</xdr:row>
      <xdr:rowOff>12304</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0</xdr:colOff>
      <xdr:row>48</xdr:row>
      <xdr:rowOff>0</xdr:rowOff>
    </xdr:from>
    <xdr:to>
      <xdr:col>19</xdr:col>
      <xdr:colOff>1010047</xdr:colOff>
      <xdr:row>62</xdr:row>
      <xdr:rowOff>103981</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585787</xdr:colOff>
      <xdr:row>0</xdr:row>
      <xdr:rowOff>104775</xdr:rowOff>
    </xdr:from>
    <xdr:to>
      <xdr:col>16</xdr:col>
      <xdr:colOff>280987</xdr:colOff>
      <xdr:row>14</xdr:row>
      <xdr:rowOff>180975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xdr:row>
      <xdr:rowOff>75229</xdr:rowOff>
    </xdr:from>
    <xdr:to>
      <xdr:col>22</xdr:col>
      <xdr:colOff>152400</xdr:colOff>
      <xdr:row>47</xdr:row>
      <xdr:rowOff>65704</xdr:rowOff>
    </xdr:to>
    <xdr:sp macro="" textlink="">
      <xdr:nvSpPr>
        <xdr:cNvPr id="2" name="Rectangle 1"/>
        <xdr:cNvSpPr/>
      </xdr:nvSpPr>
      <xdr:spPr>
        <a:xfrm>
          <a:off x="0" y="658392"/>
          <a:ext cx="13623471" cy="8543536"/>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0</xdr:row>
      <xdr:rowOff>85725</xdr:rowOff>
    </xdr:from>
    <xdr:to>
      <xdr:col>2</xdr:col>
      <xdr:colOff>28575</xdr:colOff>
      <xdr:row>4</xdr:row>
      <xdr:rowOff>133350</xdr:rowOff>
    </xdr:to>
    <xdr:sp macro="" textlink="">
      <xdr:nvSpPr>
        <xdr:cNvPr id="3" name="Rounded Rectangle 2"/>
        <xdr:cNvSpPr/>
      </xdr:nvSpPr>
      <xdr:spPr>
        <a:xfrm>
          <a:off x="85725" y="85725"/>
          <a:ext cx="1162050" cy="809625"/>
        </a:xfrm>
        <a:prstGeom prst="roundRect">
          <a:avLst/>
        </a:prstGeom>
        <a:gradFill flip="none" rotWithShape="1">
          <a:gsLst>
            <a:gs pos="8000">
              <a:srgbClr val="002060"/>
            </a:gs>
            <a:gs pos="74000">
              <a:schemeClr val="accent1">
                <a:lumMod val="45000"/>
                <a:lumOff val="55000"/>
              </a:schemeClr>
            </a:gs>
            <a:gs pos="99000">
              <a:schemeClr val="accent1">
                <a:lumMod val="30000"/>
                <a:lumOff val="70000"/>
              </a:schemeClr>
            </a:gs>
          </a:gsLst>
          <a:lin ang="27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5</xdr:row>
      <xdr:rowOff>9525</xdr:rowOff>
    </xdr:from>
    <xdr:to>
      <xdr:col>2</xdr:col>
      <xdr:colOff>38100</xdr:colOff>
      <xdr:row>43</xdr:row>
      <xdr:rowOff>180975</xdr:rowOff>
    </xdr:to>
    <xdr:sp macro="" textlink="">
      <xdr:nvSpPr>
        <xdr:cNvPr id="6" name="Rounded Rectangle 5"/>
        <xdr:cNvSpPr/>
      </xdr:nvSpPr>
      <xdr:spPr>
        <a:xfrm>
          <a:off x="95250" y="962025"/>
          <a:ext cx="1162050" cy="7410450"/>
        </a:xfrm>
        <a:prstGeom prst="roundRect">
          <a:avLst>
            <a:gd name="adj" fmla="val 17487"/>
          </a:avLst>
        </a:prstGeom>
        <a:gradFill flip="none" rotWithShape="1">
          <a:gsLst>
            <a:gs pos="30000">
              <a:srgbClr val="002060"/>
            </a:gs>
            <a:gs pos="74000">
              <a:schemeClr val="accent1">
                <a:lumMod val="45000"/>
                <a:lumOff val="55000"/>
              </a:schemeClr>
            </a:gs>
            <a:gs pos="99000">
              <a:schemeClr val="accent1">
                <a:lumMod val="30000"/>
                <a:lumOff val="70000"/>
              </a:schemeClr>
            </a:gs>
          </a:gsLst>
          <a:lin ang="189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76199</xdr:colOff>
      <xdr:row>0</xdr:row>
      <xdr:rowOff>104775</xdr:rowOff>
    </xdr:from>
    <xdr:to>
      <xdr:col>22</xdr:col>
      <xdr:colOff>142874</xdr:colOff>
      <xdr:row>4</xdr:row>
      <xdr:rowOff>152400</xdr:rowOff>
    </xdr:to>
    <xdr:sp macro="" textlink="">
      <xdr:nvSpPr>
        <xdr:cNvPr id="7" name="Rounded Rectangle 6"/>
        <xdr:cNvSpPr/>
      </xdr:nvSpPr>
      <xdr:spPr>
        <a:xfrm>
          <a:off x="1295399" y="104775"/>
          <a:ext cx="12258675" cy="809625"/>
        </a:xfrm>
        <a:prstGeom prst="roundRect">
          <a:avLst/>
        </a:prstGeom>
        <a:gradFill flip="none" rotWithShape="1">
          <a:gsLst>
            <a:gs pos="8000">
              <a:srgbClr val="002060"/>
            </a:gs>
            <a:gs pos="74000">
              <a:schemeClr val="accent1">
                <a:lumMod val="45000"/>
                <a:lumOff val="55000"/>
              </a:schemeClr>
            </a:gs>
            <a:gs pos="99000">
              <a:schemeClr val="accent1">
                <a:lumMod val="30000"/>
                <a:lumOff val="70000"/>
              </a:schemeClr>
            </a:gs>
          </a:gsLst>
          <a:lin ang="13500000" scaled="1"/>
          <a:tileRect/>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85724</xdr:colOff>
      <xdr:row>9</xdr:row>
      <xdr:rowOff>152401</xdr:rowOff>
    </xdr:from>
    <xdr:to>
      <xdr:col>9</xdr:col>
      <xdr:colOff>38100</xdr:colOff>
      <xdr:row>25</xdr:row>
      <xdr:rowOff>114301</xdr:rowOff>
    </xdr:to>
    <xdr:sp macro="" textlink="">
      <xdr:nvSpPr>
        <xdr:cNvPr id="8" name="Rounded Rectangle 7"/>
        <xdr:cNvSpPr/>
      </xdr:nvSpPr>
      <xdr:spPr>
        <a:xfrm>
          <a:off x="1304924" y="1866901"/>
          <a:ext cx="4219576" cy="3009900"/>
        </a:xfrm>
        <a:prstGeom prst="roundRect">
          <a:avLst>
            <a:gd name="adj" fmla="val 3376"/>
          </a:avLst>
        </a:prstGeom>
        <a:gradFill>
          <a:gsLst>
            <a:gs pos="88000">
              <a:srgbClr val="C3DAEF">
                <a:lumMod val="97000"/>
                <a:lumOff val="3000"/>
              </a:srgbClr>
            </a:gs>
            <a:gs pos="23000">
              <a:schemeClr val="accent1">
                <a:lumMod val="45000"/>
                <a:lumOff val="55000"/>
              </a:schemeClr>
            </a:gs>
            <a:gs pos="99000">
              <a:schemeClr val="accent1">
                <a:lumMod val="30000"/>
                <a:lumOff val="70000"/>
              </a:schemeClr>
            </a:gs>
          </a:gsLst>
          <a:lin ang="18900000" scaled="1"/>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200025</xdr:colOff>
      <xdr:row>5</xdr:row>
      <xdr:rowOff>19050</xdr:rowOff>
    </xdr:from>
    <xdr:to>
      <xdr:col>22</xdr:col>
      <xdr:colOff>142875</xdr:colOff>
      <xdr:row>9</xdr:row>
      <xdr:rowOff>66675</xdr:rowOff>
    </xdr:to>
    <xdr:sp macro="" textlink="">
      <xdr:nvSpPr>
        <xdr:cNvPr id="10" name="Rounded Rectangle 9"/>
        <xdr:cNvSpPr/>
      </xdr:nvSpPr>
      <xdr:spPr>
        <a:xfrm>
          <a:off x="9344025" y="971550"/>
          <a:ext cx="4210050" cy="809625"/>
        </a:xfrm>
        <a:prstGeom prst="roundRect">
          <a:avLst/>
        </a:prstGeom>
        <a:gradFill>
          <a:gsLst>
            <a:gs pos="88000">
              <a:srgbClr val="C3DAEF">
                <a:lumMod val="97000"/>
                <a:lumOff val="3000"/>
              </a:srgbClr>
            </a:gs>
            <a:gs pos="23000">
              <a:schemeClr val="accent1">
                <a:lumMod val="45000"/>
                <a:lumOff val="55000"/>
              </a:schemeClr>
            </a:gs>
            <a:gs pos="99000">
              <a:schemeClr val="accent1">
                <a:lumMod val="30000"/>
                <a:lumOff val="70000"/>
              </a:schemeClr>
            </a:gs>
          </a:gsLst>
          <a:lin ang="18900000" scaled="1"/>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104774</xdr:colOff>
      <xdr:row>5</xdr:row>
      <xdr:rowOff>38100</xdr:rowOff>
    </xdr:from>
    <xdr:to>
      <xdr:col>9</xdr:col>
      <xdr:colOff>57149</xdr:colOff>
      <xdr:row>9</xdr:row>
      <xdr:rowOff>85725</xdr:rowOff>
    </xdr:to>
    <xdr:sp macro="" textlink="">
      <xdr:nvSpPr>
        <xdr:cNvPr id="11" name="Rounded Rectangle 10"/>
        <xdr:cNvSpPr/>
      </xdr:nvSpPr>
      <xdr:spPr>
        <a:xfrm>
          <a:off x="1323974" y="990600"/>
          <a:ext cx="4219575" cy="809625"/>
        </a:xfrm>
        <a:prstGeom prst="roundRect">
          <a:avLst/>
        </a:prstGeom>
        <a:gradFill>
          <a:gsLst>
            <a:gs pos="88000">
              <a:srgbClr val="C3DAEF">
                <a:lumMod val="97000"/>
                <a:lumOff val="3000"/>
              </a:srgbClr>
            </a:gs>
            <a:gs pos="23000">
              <a:schemeClr val="accent1">
                <a:lumMod val="45000"/>
                <a:lumOff val="55000"/>
              </a:schemeClr>
            </a:gs>
            <a:gs pos="99000">
              <a:schemeClr val="accent1">
                <a:lumMod val="30000"/>
                <a:lumOff val="70000"/>
              </a:schemeClr>
            </a:gs>
          </a:gsLst>
          <a:lin ang="18900000" scaled="1"/>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123826</xdr:colOff>
      <xdr:row>5</xdr:row>
      <xdr:rowOff>28575</xdr:rowOff>
    </xdr:from>
    <xdr:to>
      <xdr:col>15</xdr:col>
      <xdr:colOff>142876</xdr:colOff>
      <xdr:row>9</xdr:row>
      <xdr:rowOff>76200</xdr:rowOff>
    </xdr:to>
    <xdr:sp macro="" textlink="">
      <xdr:nvSpPr>
        <xdr:cNvPr id="12" name="Rounded Rectangle 11"/>
        <xdr:cNvSpPr/>
      </xdr:nvSpPr>
      <xdr:spPr>
        <a:xfrm>
          <a:off x="5610226" y="981075"/>
          <a:ext cx="3676650" cy="809625"/>
        </a:xfrm>
        <a:prstGeom prst="roundRect">
          <a:avLst/>
        </a:prstGeom>
        <a:gradFill>
          <a:gsLst>
            <a:gs pos="88000">
              <a:srgbClr val="C3DAEF">
                <a:lumMod val="97000"/>
                <a:lumOff val="3000"/>
              </a:srgbClr>
            </a:gs>
            <a:gs pos="23000">
              <a:schemeClr val="accent1">
                <a:lumMod val="45000"/>
                <a:lumOff val="55000"/>
              </a:schemeClr>
            </a:gs>
            <a:gs pos="99000">
              <a:schemeClr val="accent1">
                <a:lumMod val="30000"/>
                <a:lumOff val="70000"/>
              </a:schemeClr>
            </a:gs>
          </a:gsLst>
          <a:lin ang="18900000" scaled="1"/>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219074</xdr:colOff>
      <xdr:row>9</xdr:row>
      <xdr:rowOff>152400</xdr:rowOff>
    </xdr:from>
    <xdr:to>
      <xdr:col>22</xdr:col>
      <xdr:colOff>171450</xdr:colOff>
      <xdr:row>25</xdr:row>
      <xdr:rowOff>152401</xdr:rowOff>
    </xdr:to>
    <xdr:sp macro="" textlink="">
      <xdr:nvSpPr>
        <xdr:cNvPr id="13" name="Rounded Rectangle 12"/>
        <xdr:cNvSpPr/>
      </xdr:nvSpPr>
      <xdr:spPr>
        <a:xfrm>
          <a:off x="9403895" y="1901890"/>
          <a:ext cx="4238626" cy="3110205"/>
        </a:xfrm>
        <a:prstGeom prst="roundRect">
          <a:avLst>
            <a:gd name="adj" fmla="val 3376"/>
          </a:avLst>
        </a:prstGeom>
        <a:gradFill>
          <a:gsLst>
            <a:gs pos="88000">
              <a:srgbClr val="C3DAEF">
                <a:lumMod val="97000"/>
                <a:lumOff val="3000"/>
              </a:srgbClr>
            </a:gs>
            <a:gs pos="23000">
              <a:schemeClr val="accent1">
                <a:lumMod val="45000"/>
                <a:lumOff val="55000"/>
              </a:schemeClr>
            </a:gs>
            <a:gs pos="99000">
              <a:schemeClr val="accent1">
                <a:lumMod val="30000"/>
                <a:lumOff val="70000"/>
              </a:schemeClr>
            </a:gs>
          </a:gsLst>
          <a:lin ang="18900000" scaled="1"/>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95250</xdr:colOff>
      <xdr:row>9</xdr:row>
      <xdr:rowOff>152401</xdr:rowOff>
    </xdr:from>
    <xdr:to>
      <xdr:col>15</xdr:col>
      <xdr:colOff>161925</xdr:colOff>
      <xdr:row>25</xdr:row>
      <xdr:rowOff>114301</xdr:rowOff>
    </xdr:to>
    <xdr:sp macro="" textlink="">
      <xdr:nvSpPr>
        <xdr:cNvPr id="14" name="Rounded Rectangle 13"/>
        <xdr:cNvSpPr/>
      </xdr:nvSpPr>
      <xdr:spPr>
        <a:xfrm>
          <a:off x="5581650" y="1866901"/>
          <a:ext cx="3724275" cy="3009900"/>
        </a:xfrm>
        <a:prstGeom prst="roundRect">
          <a:avLst>
            <a:gd name="adj" fmla="val 3376"/>
          </a:avLst>
        </a:prstGeom>
        <a:gradFill>
          <a:gsLst>
            <a:gs pos="88000">
              <a:srgbClr val="C3DAEF">
                <a:lumMod val="97000"/>
                <a:lumOff val="3000"/>
              </a:srgbClr>
            </a:gs>
            <a:gs pos="23000">
              <a:schemeClr val="accent1">
                <a:lumMod val="45000"/>
                <a:lumOff val="55000"/>
              </a:schemeClr>
            </a:gs>
            <a:gs pos="99000">
              <a:schemeClr val="accent1">
                <a:lumMod val="30000"/>
                <a:lumOff val="70000"/>
              </a:schemeClr>
            </a:gs>
          </a:gsLst>
          <a:lin ang="18900000" scaled="1"/>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55985</xdr:colOff>
      <xdr:row>25</xdr:row>
      <xdr:rowOff>142488</xdr:rowOff>
    </xdr:from>
    <xdr:to>
      <xdr:col>12</xdr:col>
      <xdr:colOff>223546</xdr:colOff>
      <xdr:row>43</xdr:row>
      <xdr:rowOff>132962</xdr:rowOff>
    </xdr:to>
    <xdr:sp macro="" textlink="">
      <xdr:nvSpPr>
        <xdr:cNvPr id="15" name="Rounded Rectangle 14"/>
        <xdr:cNvSpPr/>
      </xdr:nvSpPr>
      <xdr:spPr>
        <a:xfrm>
          <a:off x="1280628" y="5002182"/>
          <a:ext cx="6290775" cy="3489453"/>
        </a:xfrm>
        <a:prstGeom prst="roundRect">
          <a:avLst>
            <a:gd name="adj" fmla="val 3376"/>
          </a:avLst>
        </a:prstGeom>
        <a:gradFill>
          <a:gsLst>
            <a:gs pos="88000">
              <a:srgbClr val="C3DAEF">
                <a:lumMod val="97000"/>
                <a:lumOff val="3000"/>
              </a:srgbClr>
            </a:gs>
            <a:gs pos="23000">
              <a:schemeClr val="accent1">
                <a:lumMod val="45000"/>
                <a:lumOff val="55000"/>
              </a:schemeClr>
            </a:gs>
            <a:gs pos="99000">
              <a:schemeClr val="accent1">
                <a:lumMod val="30000"/>
                <a:lumOff val="70000"/>
              </a:schemeClr>
            </a:gs>
          </a:gsLst>
          <a:lin ang="18900000" scaled="1"/>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272143</xdr:colOff>
      <xdr:row>25</xdr:row>
      <xdr:rowOff>171647</xdr:rowOff>
    </xdr:from>
    <xdr:to>
      <xdr:col>22</xdr:col>
      <xdr:colOff>182143</xdr:colOff>
      <xdr:row>43</xdr:row>
      <xdr:rowOff>162121</xdr:rowOff>
    </xdr:to>
    <xdr:sp macro="" textlink="">
      <xdr:nvSpPr>
        <xdr:cNvPr id="26" name="Rounded Rectangle 25"/>
        <xdr:cNvSpPr/>
      </xdr:nvSpPr>
      <xdr:spPr>
        <a:xfrm>
          <a:off x="7620000" y="5031341"/>
          <a:ext cx="6033214" cy="3489453"/>
        </a:xfrm>
        <a:prstGeom prst="roundRect">
          <a:avLst>
            <a:gd name="adj" fmla="val 3376"/>
          </a:avLst>
        </a:prstGeom>
        <a:gradFill>
          <a:gsLst>
            <a:gs pos="88000">
              <a:srgbClr val="C3DAEF">
                <a:lumMod val="97000"/>
                <a:lumOff val="3000"/>
              </a:srgbClr>
            </a:gs>
            <a:gs pos="23000">
              <a:schemeClr val="accent1">
                <a:lumMod val="45000"/>
                <a:lumOff val="55000"/>
              </a:schemeClr>
            </a:gs>
            <a:gs pos="99000">
              <a:schemeClr val="accent1">
                <a:lumMod val="30000"/>
                <a:lumOff val="70000"/>
              </a:schemeClr>
            </a:gs>
          </a:gsLst>
          <a:lin ang="18900000" scaled="1"/>
        </a:gra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200025</xdr:colOff>
      <xdr:row>0</xdr:row>
      <xdr:rowOff>180975</xdr:rowOff>
    </xdr:from>
    <xdr:ext cx="923925" cy="533400"/>
    <xdr:pic>
      <xdr:nvPicPr>
        <xdr:cNvPr id="29"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00025" y="180975"/>
          <a:ext cx="923925" cy="533400"/>
        </a:xfrm>
        <a:prstGeom prst="rect">
          <a:avLst/>
        </a:prstGeom>
        <a:noFill/>
      </xdr:spPr>
    </xdr:pic>
    <xdr:clientData fLocksWithSheet="0"/>
  </xdr:oneCellAnchor>
  <xdr:twoCellAnchor>
    <xdr:from>
      <xdr:col>6</xdr:col>
      <xdr:colOff>209550</xdr:colOff>
      <xdr:row>1</xdr:row>
      <xdr:rowOff>47625</xdr:rowOff>
    </xdr:from>
    <xdr:to>
      <xdr:col>15</xdr:col>
      <xdr:colOff>514350</xdr:colOff>
      <xdr:row>3</xdr:row>
      <xdr:rowOff>142875</xdr:rowOff>
    </xdr:to>
    <xdr:sp macro="" textlink="">
      <xdr:nvSpPr>
        <xdr:cNvPr id="30" name="TextBox 29"/>
        <xdr:cNvSpPr txBox="1"/>
      </xdr:nvSpPr>
      <xdr:spPr>
        <a:xfrm>
          <a:off x="3867150" y="238125"/>
          <a:ext cx="57912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tx1"/>
              </a:solidFill>
              <a:latin typeface="Clarendon BT" panose="02040704040505020204" pitchFamily="18" charset="0"/>
            </a:rPr>
            <a:t>Adidas Sales and Profit Dashboard</a:t>
          </a:r>
        </a:p>
      </xdr:txBody>
    </xdr:sp>
    <xdr:clientData/>
  </xdr:twoCellAnchor>
  <xdr:twoCellAnchor>
    <xdr:from>
      <xdr:col>3</xdr:col>
      <xdr:colOff>428626</xdr:colOff>
      <xdr:row>5</xdr:row>
      <xdr:rowOff>66675</xdr:rowOff>
    </xdr:from>
    <xdr:to>
      <xdr:col>6</xdr:col>
      <xdr:colOff>552450</xdr:colOff>
      <xdr:row>7</xdr:row>
      <xdr:rowOff>66675</xdr:rowOff>
    </xdr:to>
    <xdr:sp macro="" textlink="">
      <xdr:nvSpPr>
        <xdr:cNvPr id="33" name="TextBox 32"/>
        <xdr:cNvSpPr txBox="1"/>
      </xdr:nvSpPr>
      <xdr:spPr>
        <a:xfrm>
          <a:off x="2257426" y="1019175"/>
          <a:ext cx="195262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tx1"/>
              </a:solidFill>
              <a:latin typeface="Clarendon BT" panose="02040704040505020204" pitchFamily="18" charset="0"/>
            </a:rPr>
            <a:t>Total</a:t>
          </a:r>
          <a:r>
            <a:rPr lang="en-US" sz="2000" b="1" baseline="0">
              <a:solidFill>
                <a:schemeClr val="tx1"/>
              </a:solidFill>
              <a:latin typeface="Clarendon BT" panose="02040704040505020204" pitchFamily="18" charset="0"/>
            </a:rPr>
            <a:t> Sales</a:t>
          </a:r>
          <a:endParaRPr lang="en-US" sz="2000" b="1">
            <a:solidFill>
              <a:schemeClr val="tx1"/>
            </a:solidFill>
            <a:latin typeface="Clarendon BT" panose="02040704040505020204" pitchFamily="18" charset="0"/>
          </a:endParaRPr>
        </a:p>
      </xdr:txBody>
    </xdr:sp>
    <xdr:clientData/>
  </xdr:twoCellAnchor>
  <xdr:twoCellAnchor>
    <xdr:from>
      <xdr:col>3</xdr:col>
      <xdr:colOff>428624</xdr:colOff>
      <xdr:row>7</xdr:row>
      <xdr:rowOff>38100</xdr:rowOff>
    </xdr:from>
    <xdr:to>
      <xdr:col>6</xdr:col>
      <xdr:colOff>590550</xdr:colOff>
      <xdr:row>8</xdr:row>
      <xdr:rowOff>180975</xdr:rowOff>
    </xdr:to>
    <xdr:sp macro="" textlink="'Pivot Table Analyses'!B1">
      <xdr:nvSpPr>
        <xdr:cNvPr id="35" name="TextBox 34"/>
        <xdr:cNvSpPr txBox="1"/>
      </xdr:nvSpPr>
      <xdr:spPr>
        <a:xfrm>
          <a:off x="2257424" y="1371600"/>
          <a:ext cx="199072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C79FCA-8C88-4DCB-9A0B-4B4938E21410}" type="TxLink">
            <a:rPr lang="en-US" sz="1400" b="1" i="0" u="none" strike="noStrike">
              <a:solidFill>
                <a:srgbClr val="000000"/>
              </a:solidFill>
              <a:latin typeface="Clarendon BT" panose="02040704040505020204" pitchFamily="18" charset="0"/>
              <a:cs typeface="Calibri"/>
            </a:rPr>
            <a:pPr algn="ctr"/>
            <a:t> $899,902,125.00 </a:t>
          </a:fld>
          <a:endParaRPr lang="en-US" sz="2800" b="1">
            <a:solidFill>
              <a:schemeClr val="tx1"/>
            </a:solidFill>
            <a:latin typeface="Clarendon BT" panose="02040704040505020204" pitchFamily="18" charset="0"/>
          </a:endParaRPr>
        </a:p>
      </xdr:txBody>
    </xdr:sp>
    <xdr:clientData/>
  </xdr:twoCellAnchor>
  <xdr:twoCellAnchor>
    <xdr:from>
      <xdr:col>10</xdr:col>
      <xdr:colOff>295276</xdr:colOff>
      <xdr:row>5</xdr:row>
      <xdr:rowOff>47625</xdr:rowOff>
    </xdr:from>
    <xdr:to>
      <xdr:col>13</xdr:col>
      <xdr:colOff>419100</xdr:colOff>
      <xdr:row>7</xdr:row>
      <xdr:rowOff>47625</xdr:rowOff>
    </xdr:to>
    <xdr:sp macro="" textlink="">
      <xdr:nvSpPr>
        <xdr:cNvPr id="36" name="TextBox 35"/>
        <xdr:cNvSpPr txBox="1"/>
      </xdr:nvSpPr>
      <xdr:spPr>
        <a:xfrm>
          <a:off x="6391276" y="1000125"/>
          <a:ext cx="195262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tx1"/>
              </a:solidFill>
              <a:latin typeface="Clarendon BT" panose="02040704040505020204" pitchFamily="18" charset="0"/>
            </a:rPr>
            <a:t>Total</a:t>
          </a:r>
          <a:r>
            <a:rPr lang="en-US" sz="2000" b="1" baseline="0">
              <a:solidFill>
                <a:schemeClr val="tx1"/>
              </a:solidFill>
              <a:latin typeface="Clarendon BT" panose="02040704040505020204" pitchFamily="18" charset="0"/>
            </a:rPr>
            <a:t> Profits</a:t>
          </a:r>
          <a:endParaRPr lang="en-US" sz="2000" b="1">
            <a:solidFill>
              <a:schemeClr val="tx1"/>
            </a:solidFill>
            <a:latin typeface="Clarendon BT" panose="02040704040505020204" pitchFamily="18" charset="0"/>
          </a:endParaRPr>
        </a:p>
      </xdr:txBody>
    </xdr:sp>
    <xdr:clientData/>
  </xdr:twoCellAnchor>
  <xdr:twoCellAnchor>
    <xdr:from>
      <xdr:col>10</xdr:col>
      <xdr:colOff>257176</xdr:colOff>
      <xdr:row>7</xdr:row>
      <xdr:rowOff>9525</xdr:rowOff>
    </xdr:from>
    <xdr:to>
      <xdr:col>13</xdr:col>
      <xdr:colOff>419102</xdr:colOff>
      <xdr:row>8</xdr:row>
      <xdr:rowOff>152400</xdr:rowOff>
    </xdr:to>
    <xdr:sp macro="" textlink="'Pivot Table Analyses'!D1">
      <xdr:nvSpPr>
        <xdr:cNvPr id="37" name="TextBox 36"/>
        <xdr:cNvSpPr txBox="1"/>
      </xdr:nvSpPr>
      <xdr:spPr>
        <a:xfrm>
          <a:off x="6353176" y="1343025"/>
          <a:ext cx="199072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D0228C0-D45F-4E3A-84FB-FCF929E5B102}" type="TxLink">
            <a:rPr lang="en-US" sz="1600" b="1" i="0" u="none" strike="noStrike">
              <a:solidFill>
                <a:srgbClr val="000000"/>
              </a:solidFill>
              <a:latin typeface="Clarendon BT" panose="02040704040505020204" pitchFamily="18" charset="0"/>
              <a:cs typeface="Calibri"/>
            </a:rPr>
            <a:pPr algn="ctr"/>
            <a:t> $332,134,761.45 </a:t>
          </a:fld>
          <a:endParaRPr lang="en-US" sz="4000" b="1">
            <a:solidFill>
              <a:schemeClr val="tx1"/>
            </a:solidFill>
            <a:latin typeface="Clarendon BT" panose="02040704040505020204" pitchFamily="18" charset="0"/>
          </a:endParaRPr>
        </a:p>
      </xdr:txBody>
    </xdr:sp>
    <xdr:clientData/>
  </xdr:twoCellAnchor>
  <xdr:twoCellAnchor>
    <xdr:from>
      <xdr:col>17</xdr:col>
      <xdr:colOff>85725</xdr:colOff>
      <xdr:row>5</xdr:row>
      <xdr:rowOff>104775</xdr:rowOff>
    </xdr:from>
    <xdr:to>
      <xdr:col>20</xdr:col>
      <xdr:colOff>209549</xdr:colOff>
      <xdr:row>7</xdr:row>
      <xdr:rowOff>104775</xdr:rowOff>
    </xdr:to>
    <xdr:sp macro="" textlink="">
      <xdr:nvSpPr>
        <xdr:cNvPr id="38" name="TextBox 37"/>
        <xdr:cNvSpPr txBox="1"/>
      </xdr:nvSpPr>
      <xdr:spPr>
        <a:xfrm>
          <a:off x="10448925" y="1057275"/>
          <a:ext cx="195262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tx1"/>
              </a:solidFill>
              <a:latin typeface="Clarendon BT" panose="02040704040505020204" pitchFamily="18" charset="0"/>
            </a:rPr>
            <a:t>Total</a:t>
          </a:r>
          <a:r>
            <a:rPr lang="en-US" sz="2000" b="1" baseline="0">
              <a:solidFill>
                <a:schemeClr val="tx1"/>
              </a:solidFill>
              <a:latin typeface="Clarendon BT" panose="02040704040505020204" pitchFamily="18" charset="0"/>
            </a:rPr>
            <a:t> Growth</a:t>
          </a:r>
          <a:endParaRPr lang="en-US" sz="2000" b="1">
            <a:solidFill>
              <a:schemeClr val="tx1"/>
            </a:solidFill>
            <a:latin typeface="Clarendon BT" panose="02040704040505020204" pitchFamily="18" charset="0"/>
          </a:endParaRPr>
        </a:p>
      </xdr:txBody>
    </xdr:sp>
    <xdr:clientData/>
  </xdr:twoCellAnchor>
  <xdr:twoCellAnchor>
    <xdr:from>
      <xdr:col>16</xdr:col>
      <xdr:colOff>581025</xdr:colOff>
      <xdr:row>7</xdr:row>
      <xdr:rowOff>19050</xdr:rowOff>
    </xdr:from>
    <xdr:to>
      <xdr:col>20</xdr:col>
      <xdr:colOff>133351</xdr:colOff>
      <xdr:row>8</xdr:row>
      <xdr:rowOff>161925</xdr:rowOff>
    </xdr:to>
    <xdr:sp macro="" textlink="'Pivot Table Analyses'!G1">
      <xdr:nvSpPr>
        <xdr:cNvPr id="39" name="TextBox 38"/>
        <xdr:cNvSpPr txBox="1"/>
      </xdr:nvSpPr>
      <xdr:spPr>
        <a:xfrm>
          <a:off x="10334625" y="1352550"/>
          <a:ext cx="199072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030CEF-03EB-4F45-8538-EF62A1EF4908}" type="TxLink">
            <a:rPr lang="en-US" sz="1400" b="1" i="0" u="none" strike="noStrike">
              <a:solidFill>
                <a:srgbClr val="000000"/>
              </a:solidFill>
              <a:latin typeface="Clarendon BT" panose="02040704040505020204" pitchFamily="18" charset="0"/>
              <a:cs typeface="Calibri"/>
            </a:rPr>
            <a:pPr algn="ctr"/>
            <a:t>294%</a:t>
          </a:fld>
          <a:endParaRPr lang="en-US" sz="4800" b="1">
            <a:solidFill>
              <a:schemeClr val="tx1"/>
            </a:solidFill>
            <a:latin typeface="Clarendon BT" panose="02040704040505020204" pitchFamily="18" charset="0"/>
          </a:endParaRPr>
        </a:p>
      </xdr:txBody>
    </xdr:sp>
    <xdr:clientData/>
  </xdr:twoCellAnchor>
  <xdr:twoCellAnchor>
    <xdr:from>
      <xdr:col>2</xdr:col>
      <xdr:colOff>66674</xdr:colOff>
      <xdr:row>10</xdr:row>
      <xdr:rowOff>19051</xdr:rowOff>
    </xdr:from>
    <xdr:to>
      <xdr:col>9</xdr:col>
      <xdr:colOff>38100</xdr:colOff>
      <xdr:row>25</xdr:row>
      <xdr:rowOff>76201</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95250</xdr:colOff>
      <xdr:row>10</xdr:row>
      <xdr:rowOff>9525</xdr:rowOff>
    </xdr:from>
    <xdr:to>
      <xdr:col>15</xdr:col>
      <xdr:colOff>142875</xdr:colOff>
      <xdr:row>25</xdr:row>
      <xdr:rowOff>95250</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219074</xdr:colOff>
      <xdr:row>10</xdr:row>
      <xdr:rowOff>0</xdr:rowOff>
    </xdr:from>
    <xdr:to>
      <xdr:col>22</xdr:col>
      <xdr:colOff>190500</xdr:colOff>
      <xdr:row>25</xdr:row>
      <xdr:rowOff>133350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136071</xdr:colOff>
      <xdr:row>25</xdr:row>
      <xdr:rowOff>164841</xdr:rowOff>
    </xdr:from>
    <xdr:to>
      <xdr:col>12</xdr:col>
      <xdr:colOff>165230</xdr:colOff>
      <xdr:row>43</xdr:row>
      <xdr:rowOff>94278</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320740</xdr:colOff>
      <xdr:row>26</xdr:row>
      <xdr:rowOff>29158</xdr:rowOff>
    </xdr:from>
    <xdr:to>
      <xdr:col>22</xdr:col>
      <xdr:colOff>145791</xdr:colOff>
      <xdr:row>43</xdr:row>
      <xdr:rowOff>87475</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95250</xdr:colOff>
      <xdr:row>4</xdr:row>
      <xdr:rowOff>180976</xdr:rowOff>
    </xdr:from>
    <xdr:to>
      <xdr:col>2</xdr:col>
      <xdr:colOff>38100</xdr:colOff>
      <xdr:row>9</xdr:row>
      <xdr:rowOff>66676</xdr:rowOff>
    </xdr:to>
    <mc:AlternateContent xmlns:mc="http://schemas.openxmlformats.org/markup-compatibility/2006" xmlns:a14="http://schemas.microsoft.com/office/drawing/2010/main">
      <mc:Choice Requires="a14">
        <xdr:graphicFrame macro="">
          <xdr:nvGraphicFramePr>
            <xdr:cNvPr id="52" name="Years 1"/>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95250" y="958527"/>
              <a:ext cx="1167493" cy="8576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9</xdr:row>
      <xdr:rowOff>66675</xdr:rowOff>
    </xdr:from>
    <xdr:to>
      <xdr:col>2</xdr:col>
      <xdr:colOff>47625</xdr:colOff>
      <xdr:row>15</xdr:row>
      <xdr:rowOff>133350</xdr:rowOff>
    </xdr:to>
    <mc:AlternateContent xmlns:mc="http://schemas.openxmlformats.org/markup-compatibility/2006" xmlns:a14="http://schemas.microsoft.com/office/drawing/2010/main">
      <mc:Choice Requires="a14">
        <xdr:graphicFrame macro="">
          <xdr:nvGraphicFramePr>
            <xdr:cNvPr id="55" name="Months 1"/>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85725" y="1816165"/>
              <a:ext cx="1186543" cy="1233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15</xdr:row>
      <xdr:rowOff>133350</xdr:rowOff>
    </xdr:from>
    <xdr:to>
      <xdr:col>2</xdr:col>
      <xdr:colOff>38100</xdr:colOff>
      <xdr:row>23</xdr:row>
      <xdr:rowOff>111919</xdr:rowOff>
    </xdr:to>
    <mc:AlternateContent xmlns:mc="http://schemas.openxmlformats.org/markup-compatibility/2006" xmlns:a14="http://schemas.microsoft.com/office/drawing/2010/main">
      <mc:Choice Requires="a14">
        <xdr:graphicFrame macro="">
          <xdr:nvGraphicFramePr>
            <xdr:cNvPr id="56"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95250" y="3049166"/>
              <a:ext cx="1167493" cy="15336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23</xdr:row>
      <xdr:rowOff>114300</xdr:rowOff>
    </xdr:from>
    <xdr:to>
      <xdr:col>2</xdr:col>
      <xdr:colOff>47625</xdr:colOff>
      <xdr:row>30</xdr:row>
      <xdr:rowOff>182960</xdr:rowOff>
    </xdr:to>
    <mc:AlternateContent xmlns:mc="http://schemas.openxmlformats.org/markup-compatibility/2006" xmlns:a14="http://schemas.microsoft.com/office/drawing/2010/main">
      <mc:Choice Requires="a14">
        <xdr:graphicFrame macro="">
          <xdr:nvGraphicFramePr>
            <xdr:cNvPr id="57"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200" y="4585218"/>
              <a:ext cx="1196068" cy="1429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31</xdr:row>
      <xdr:rowOff>9524</xdr:rowOff>
    </xdr:from>
    <xdr:to>
      <xdr:col>2</xdr:col>
      <xdr:colOff>38100</xdr:colOff>
      <xdr:row>38</xdr:row>
      <xdr:rowOff>57149</xdr:rowOff>
    </xdr:to>
    <mc:AlternateContent xmlns:mc="http://schemas.openxmlformats.org/markup-compatibility/2006" xmlns:a14="http://schemas.microsoft.com/office/drawing/2010/main">
      <mc:Choice Requires="a14">
        <xdr:graphicFrame macro="">
          <xdr:nvGraphicFramePr>
            <xdr:cNvPr id="58" name="Retailer 1"/>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95250" y="6035544"/>
              <a:ext cx="1167493" cy="1408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116633</xdr:colOff>
      <xdr:row>38</xdr:row>
      <xdr:rowOff>87475</xdr:rowOff>
    </xdr:from>
    <xdr:to>
      <xdr:col>2</xdr:col>
      <xdr:colOff>9719</xdr:colOff>
      <xdr:row>43</xdr:row>
      <xdr:rowOff>97195</xdr:rowOff>
    </xdr:to>
    <mc:AlternateContent xmlns:mc="http://schemas.openxmlformats.org/markup-compatibility/2006" xmlns:a14="http://schemas.microsoft.com/office/drawing/2010/main">
      <mc:Choice Requires="a14">
        <xdr:graphicFrame macro="">
          <xdr:nvGraphicFramePr>
            <xdr:cNvPr id="59" name="Sales Method 1"/>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116633" y="7474210"/>
              <a:ext cx="1117729" cy="9816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09.228358912034" createdVersion="6" refreshedVersion="6" minRefreshableVersion="3" recordCount="9648">
  <cacheSource type="worksheet">
    <worksheetSource name="Table1"/>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3" base="2">
        <rangePr groupBy="months" startDate="2020-01-01T00:00:00" endDate="2022-01-01T00:00:00"/>
        <groupItems count="14">
          <s v="&lt;1/1/2020"/>
          <s v="Jan"/>
          <s v="Feb"/>
          <s v="Mar"/>
          <s v="Apr"/>
          <s v="May"/>
          <s v="Jun"/>
          <s v="Jul"/>
          <s v="Aug"/>
          <s v="Sep"/>
          <s v="Oct"/>
          <s v="Nov"/>
          <s v="Dec"/>
          <s v="&gt;1/1/2022"/>
        </groupItems>
      </fieldGroup>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Years" numFmtId="0" databaseField="0">
      <fieldGroup base="2">
        <rangePr groupBy="years" startDate="2020-01-01T00:00:00" endDate="2022-01-01T00:00:00"/>
        <groupItems count="5">
          <s v="&lt;1/1/2020"/>
          <s v="2020"/>
          <s v="2021"/>
          <s v="2022"/>
          <s v="&gt;1/1/2022"/>
        </groupItems>
      </fieldGroup>
    </cacheField>
    <cacheField name="Field1" numFmtId="0" formula=" 0"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n v="1185732"/>
    <x v="0"/>
    <x v="0"/>
    <s v="New York"/>
    <s v="New York"/>
    <x v="0"/>
    <n v="50"/>
    <n v="1200"/>
    <n v="600000"/>
    <n v="300000"/>
    <n v="0.5"/>
    <x v="0"/>
  </r>
  <r>
    <x v="0"/>
    <n v="1185732"/>
    <x v="1"/>
    <x v="0"/>
    <s v="New York"/>
    <s v="New York"/>
    <x v="1"/>
    <n v="50"/>
    <n v="1000"/>
    <n v="500000"/>
    <n v="150000"/>
    <n v="0.3"/>
    <x v="0"/>
  </r>
  <r>
    <x v="0"/>
    <n v="1185732"/>
    <x v="2"/>
    <x v="0"/>
    <s v="New York"/>
    <s v="New York"/>
    <x v="2"/>
    <n v="40"/>
    <n v="1000"/>
    <n v="400000"/>
    <n v="140000"/>
    <n v="0.35"/>
    <x v="0"/>
  </r>
  <r>
    <x v="0"/>
    <n v="1185732"/>
    <x v="3"/>
    <x v="0"/>
    <s v="New York"/>
    <s v="New York"/>
    <x v="3"/>
    <n v="45"/>
    <n v="850"/>
    <n v="382500"/>
    <n v="133875"/>
    <n v="0.35"/>
    <x v="0"/>
  </r>
  <r>
    <x v="0"/>
    <n v="1185732"/>
    <x v="4"/>
    <x v="0"/>
    <s v="New York"/>
    <s v="New York"/>
    <x v="4"/>
    <n v="60"/>
    <n v="900"/>
    <n v="540000"/>
    <n v="162000"/>
    <n v="0.3"/>
    <x v="0"/>
  </r>
  <r>
    <x v="0"/>
    <n v="1185732"/>
    <x v="5"/>
    <x v="0"/>
    <s v="New York"/>
    <s v="New York"/>
    <x v="5"/>
    <n v="50"/>
    <n v="1000"/>
    <n v="500000"/>
    <n v="125000"/>
    <n v="0.25"/>
    <x v="0"/>
  </r>
  <r>
    <x v="0"/>
    <n v="1185732"/>
    <x v="6"/>
    <x v="0"/>
    <s v="New York"/>
    <s v="New York"/>
    <x v="0"/>
    <n v="50"/>
    <n v="1250"/>
    <n v="625000"/>
    <n v="312500"/>
    <n v="0.5"/>
    <x v="0"/>
  </r>
  <r>
    <x v="0"/>
    <n v="1185732"/>
    <x v="7"/>
    <x v="0"/>
    <s v="New York"/>
    <s v="New York"/>
    <x v="1"/>
    <n v="50"/>
    <n v="900"/>
    <n v="450000"/>
    <n v="135000"/>
    <n v="0.3"/>
    <x v="1"/>
  </r>
  <r>
    <x v="0"/>
    <n v="1185732"/>
    <x v="8"/>
    <x v="0"/>
    <s v="New York"/>
    <s v="New York"/>
    <x v="2"/>
    <n v="40"/>
    <n v="950"/>
    <n v="380000"/>
    <n v="133000"/>
    <n v="0.35"/>
    <x v="1"/>
  </r>
  <r>
    <x v="0"/>
    <n v="1185732"/>
    <x v="9"/>
    <x v="0"/>
    <s v="New York"/>
    <s v="New York"/>
    <x v="3"/>
    <n v="45"/>
    <n v="825"/>
    <n v="371250"/>
    <n v="129937.49999999999"/>
    <n v="0.35"/>
    <x v="1"/>
  </r>
  <r>
    <x v="0"/>
    <n v="1185732"/>
    <x v="10"/>
    <x v="0"/>
    <s v="New York"/>
    <s v="New York"/>
    <x v="4"/>
    <n v="60"/>
    <n v="900"/>
    <n v="540000"/>
    <n v="162000"/>
    <n v="0.3"/>
    <x v="1"/>
  </r>
  <r>
    <x v="0"/>
    <n v="1185732"/>
    <x v="11"/>
    <x v="0"/>
    <s v="New York"/>
    <s v="New York"/>
    <x v="5"/>
    <n v="50"/>
    <n v="1000"/>
    <n v="500000"/>
    <n v="125000"/>
    <n v="0.25"/>
    <x v="1"/>
  </r>
  <r>
    <x v="0"/>
    <n v="1185732"/>
    <x v="12"/>
    <x v="0"/>
    <s v="New York"/>
    <s v="New York"/>
    <x v="0"/>
    <n v="50"/>
    <n v="1220"/>
    <n v="610000"/>
    <n v="305000"/>
    <n v="0.5"/>
    <x v="1"/>
  </r>
  <r>
    <x v="0"/>
    <n v="1185732"/>
    <x v="13"/>
    <x v="0"/>
    <s v="New York"/>
    <s v="New York"/>
    <x v="1"/>
    <n v="50"/>
    <n v="925"/>
    <n v="462500"/>
    <n v="138750"/>
    <n v="0.3"/>
    <x v="1"/>
  </r>
  <r>
    <x v="0"/>
    <n v="1185732"/>
    <x v="14"/>
    <x v="0"/>
    <s v="New York"/>
    <s v="New York"/>
    <x v="2"/>
    <n v="40"/>
    <n v="950"/>
    <n v="380000"/>
    <n v="133000"/>
    <n v="0.35"/>
    <x v="1"/>
  </r>
  <r>
    <x v="0"/>
    <n v="1185732"/>
    <x v="15"/>
    <x v="0"/>
    <s v="New York"/>
    <s v="New York"/>
    <x v="3"/>
    <n v="45"/>
    <n v="800"/>
    <n v="360000"/>
    <n v="125999.99999999999"/>
    <n v="0.35"/>
    <x v="1"/>
  </r>
  <r>
    <x v="0"/>
    <n v="1185732"/>
    <x v="16"/>
    <x v="0"/>
    <s v="New York"/>
    <s v="New York"/>
    <x v="4"/>
    <n v="60"/>
    <n v="850"/>
    <n v="510000"/>
    <n v="153000"/>
    <n v="0.3"/>
    <x v="1"/>
  </r>
  <r>
    <x v="0"/>
    <n v="1185732"/>
    <x v="17"/>
    <x v="0"/>
    <s v="New York"/>
    <s v="New York"/>
    <x v="5"/>
    <n v="50"/>
    <n v="950"/>
    <n v="475000"/>
    <n v="118750"/>
    <n v="0.25"/>
    <x v="1"/>
  </r>
  <r>
    <x v="0"/>
    <n v="1185732"/>
    <x v="18"/>
    <x v="0"/>
    <s v="New York"/>
    <s v="New York"/>
    <x v="0"/>
    <n v="50"/>
    <n v="1200"/>
    <n v="600000"/>
    <n v="300000"/>
    <n v="0.5"/>
    <x v="1"/>
  </r>
  <r>
    <x v="0"/>
    <n v="1185732"/>
    <x v="19"/>
    <x v="0"/>
    <s v="New York"/>
    <s v="New York"/>
    <x v="1"/>
    <n v="50"/>
    <n v="900"/>
    <n v="450000"/>
    <n v="135000"/>
    <n v="0.3"/>
    <x v="1"/>
  </r>
  <r>
    <x v="0"/>
    <n v="1185732"/>
    <x v="20"/>
    <x v="0"/>
    <s v="New York"/>
    <s v="New York"/>
    <x v="2"/>
    <n v="40"/>
    <n v="900"/>
    <n v="360000"/>
    <n v="125999.99999999999"/>
    <n v="0.35"/>
    <x v="1"/>
  </r>
  <r>
    <x v="0"/>
    <n v="1185732"/>
    <x v="21"/>
    <x v="0"/>
    <s v="New York"/>
    <s v="New York"/>
    <x v="3"/>
    <n v="45"/>
    <n v="825"/>
    <n v="371250"/>
    <n v="129937.49999999999"/>
    <n v="0.35"/>
    <x v="1"/>
  </r>
  <r>
    <x v="0"/>
    <n v="1185732"/>
    <x v="22"/>
    <x v="0"/>
    <s v="New York"/>
    <s v="New York"/>
    <x v="4"/>
    <n v="60"/>
    <n v="825"/>
    <n v="495000"/>
    <n v="148500"/>
    <n v="0.3"/>
    <x v="1"/>
  </r>
  <r>
    <x v="0"/>
    <n v="1185732"/>
    <x v="23"/>
    <x v="0"/>
    <s v="New York"/>
    <s v="New York"/>
    <x v="5"/>
    <n v="50"/>
    <n v="950"/>
    <n v="475000"/>
    <n v="118750"/>
    <n v="0.25"/>
    <x v="1"/>
  </r>
  <r>
    <x v="0"/>
    <n v="1185732"/>
    <x v="24"/>
    <x v="0"/>
    <s v="New York"/>
    <s v="New York"/>
    <x v="0"/>
    <n v="60"/>
    <n v="1220"/>
    <n v="732000"/>
    <n v="366000"/>
    <n v="0.5"/>
    <x v="1"/>
  </r>
  <r>
    <x v="0"/>
    <n v="1185732"/>
    <x v="25"/>
    <x v="0"/>
    <s v="New York"/>
    <s v="New York"/>
    <x v="1"/>
    <n v="55.000000000000007"/>
    <n v="925"/>
    <n v="508750.00000000006"/>
    <n v="152625"/>
    <n v="0.3"/>
    <x v="1"/>
  </r>
  <r>
    <x v="0"/>
    <n v="1185732"/>
    <x v="26"/>
    <x v="0"/>
    <s v="New York"/>
    <s v="New York"/>
    <x v="2"/>
    <n v="50"/>
    <n v="900"/>
    <n v="450000"/>
    <n v="157500"/>
    <n v="0.35"/>
    <x v="1"/>
  </r>
  <r>
    <x v="0"/>
    <n v="1185732"/>
    <x v="27"/>
    <x v="0"/>
    <s v="New York"/>
    <s v="New York"/>
    <x v="3"/>
    <n v="50"/>
    <n v="850"/>
    <n v="425000"/>
    <n v="148750"/>
    <n v="0.35"/>
    <x v="1"/>
  </r>
  <r>
    <x v="0"/>
    <n v="1185732"/>
    <x v="28"/>
    <x v="0"/>
    <s v="New York"/>
    <s v="New York"/>
    <x v="4"/>
    <n v="60"/>
    <n v="875"/>
    <n v="525000"/>
    <n v="157500"/>
    <n v="0.3"/>
    <x v="1"/>
  </r>
  <r>
    <x v="0"/>
    <n v="1185732"/>
    <x v="29"/>
    <x v="0"/>
    <s v="New York"/>
    <s v="New York"/>
    <x v="5"/>
    <n v="65"/>
    <n v="1000"/>
    <n v="650000"/>
    <n v="162500"/>
    <n v="0.25"/>
    <x v="1"/>
  </r>
  <r>
    <x v="0"/>
    <n v="1185732"/>
    <x v="30"/>
    <x v="0"/>
    <s v="New York"/>
    <s v="New York"/>
    <x v="0"/>
    <n v="60"/>
    <n v="1250"/>
    <n v="750000"/>
    <n v="375000"/>
    <n v="0.5"/>
    <x v="1"/>
  </r>
  <r>
    <x v="0"/>
    <n v="1185732"/>
    <x v="31"/>
    <x v="0"/>
    <s v="New York"/>
    <s v="New York"/>
    <x v="1"/>
    <n v="55.000000000000007"/>
    <n v="1000"/>
    <n v="550000.00000000012"/>
    <n v="165000.00000000003"/>
    <n v="0.3"/>
    <x v="1"/>
  </r>
  <r>
    <x v="0"/>
    <n v="1185732"/>
    <x v="32"/>
    <x v="0"/>
    <s v="New York"/>
    <s v="New York"/>
    <x v="2"/>
    <n v="50"/>
    <n v="925"/>
    <n v="462500"/>
    <n v="161875"/>
    <n v="0.35"/>
    <x v="1"/>
  </r>
  <r>
    <x v="0"/>
    <n v="1185732"/>
    <x v="33"/>
    <x v="0"/>
    <s v="New York"/>
    <s v="New York"/>
    <x v="3"/>
    <n v="50"/>
    <n v="900"/>
    <n v="450000"/>
    <n v="157500"/>
    <n v="0.35"/>
    <x v="1"/>
  </r>
  <r>
    <x v="0"/>
    <n v="1185732"/>
    <x v="34"/>
    <x v="0"/>
    <s v="New York"/>
    <s v="New York"/>
    <x v="4"/>
    <n v="60"/>
    <n v="900"/>
    <n v="540000"/>
    <n v="162000"/>
    <n v="0.3"/>
    <x v="1"/>
  </r>
  <r>
    <x v="0"/>
    <n v="1185732"/>
    <x v="35"/>
    <x v="0"/>
    <s v="New York"/>
    <s v="New York"/>
    <x v="5"/>
    <n v="65"/>
    <n v="1050"/>
    <n v="682500"/>
    <n v="170625"/>
    <n v="0.25"/>
    <x v="1"/>
  </r>
  <r>
    <x v="0"/>
    <n v="1185732"/>
    <x v="36"/>
    <x v="0"/>
    <s v="New York"/>
    <s v="New York"/>
    <x v="0"/>
    <n v="60"/>
    <n v="1275"/>
    <n v="765000"/>
    <n v="382500"/>
    <n v="0.5"/>
    <x v="1"/>
  </r>
  <r>
    <x v="0"/>
    <n v="1185732"/>
    <x v="37"/>
    <x v="0"/>
    <s v="New York"/>
    <s v="New York"/>
    <x v="1"/>
    <n v="55.000000000000007"/>
    <n v="1025"/>
    <n v="563750.00000000012"/>
    <n v="169125.00000000003"/>
    <n v="0.3"/>
    <x v="1"/>
  </r>
  <r>
    <x v="0"/>
    <n v="1185732"/>
    <x v="38"/>
    <x v="0"/>
    <s v="New York"/>
    <s v="New York"/>
    <x v="2"/>
    <n v="50"/>
    <n v="950"/>
    <n v="475000"/>
    <n v="166250"/>
    <n v="0.35"/>
    <x v="1"/>
  </r>
  <r>
    <x v="0"/>
    <n v="1185732"/>
    <x v="39"/>
    <x v="0"/>
    <s v="New York"/>
    <s v="New York"/>
    <x v="3"/>
    <n v="50"/>
    <n v="900"/>
    <n v="450000"/>
    <n v="157500"/>
    <n v="0.35"/>
    <x v="1"/>
  </r>
  <r>
    <x v="0"/>
    <n v="1185732"/>
    <x v="40"/>
    <x v="0"/>
    <s v="New York"/>
    <s v="New York"/>
    <x v="4"/>
    <n v="60"/>
    <n v="925"/>
    <n v="555000"/>
    <n v="166500"/>
    <n v="0.3"/>
    <x v="1"/>
  </r>
  <r>
    <x v="0"/>
    <n v="1185732"/>
    <x v="41"/>
    <x v="0"/>
    <s v="New York"/>
    <s v="New York"/>
    <x v="5"/>
    <n v="65"/>
    <n v="1100"/>
    <n v="715000"/>
    <n v="178750"/>
    <n v="0.25"/>
    <x v="1"/>
  </r>
  <r>
    <x v="0"/>
    <n v="1185732"/>
    <x v="42"/>
    <x v="0"/>
    <s v="New York"/>
    <s v="New York"/>
    <x v="0"/>
    <n v="60"/>
    <n v="1250"/>
    <n v="750000"/>
    <n v="375000"/>
    <n v="0.5"/>
    <x v="1"/>
  </r>
  <r>
    <x v="0"/>
    <n v="1185732"/>
    <x v="43"/>
    <x v="0"/>
    <s v="New York"/>
    <s v="New York"/>
    <x v="1"/>
    <n v="55.000000000000007"/>
    <n v="1025"/>
    <n v="563750.00000000012"/>
    <n v="169125.00000000003"/>
    <n v="0.3"/>
    <x v="1"/>
  </r>
  <r>
    <x v="0"/>
    <n v="1185732"/>
    <x v="44"/>
    <x v="0"/>
    <s v="New York"/>
    <s v="New York"/>
    <x v="2"/>
    <n v="50"/>
    <n v="950"/>
    <n v="475000"/>
    <n v="166250"/>
    <n v="0.35"/>
    <x v="1"/>
  </r>
  <r>
    <x v="0"/>
    <n v="1185732"/>
    <x v="45"/>
    <x v="0"/>
    <s v="New York"/>
    <s v="New York"/>
    <x v="3"/>
    <n v="50"/>
    <n v="925"/>
    <n v="462500"/>
    <n v="161875"/>
    <n v="0.35"/>
    <x v="1"/>
  </r>
  <r>
    <x v="1"/>
    <n v="1185732"/>
    <x v="46"/>
    <x v="0"/>
    <s v="New York"/>
    <s v="New York"/>
    <x v="4"/>
    <n v="60"/>
    <n v="900"/>
    <n v="540000"/>
    <n v="162000"/>
    <n v="0.3"/>
    <x v="1"/>
  </r>
  <r>
    <x v="1"/>
    <n v="1185732"/>
    <x v="47"/>
    <x v="0"/>
    <s v="New York"/>
    <s v="New York"/>
    <x v="5"/>
    <n v="65"/>
    <n v="1075"/>
    <n v="698750"/>
    <n v="174687.5"/>
    <n v="0.25"/>
    <x v="1"/>
  </r>
  <r>
    <x v="1"/>
    <n v="1185732"/>
    <x v="48"/>
    <x v="0"/>
    <s v="New York"/>
    <s v="New York"/>
    <x v="0"/>
    <n v="60"/>
    <n v="1200"/>
    <n v="720000"/>
    <n v="360000"/>
    <n v="0.5"/>
    <x v="1"/>
  </r>
  <r>
    <x v="1"/>
    <n v="1185732"/>
    <x v="49"/>
    <x v="0"/>
    <s v="New York"/>
    <s v="New York"/>
    <x v="1"/>
    <n v="55.000000000000007"/>
    <n v="1000"/>
    <n v="550000.00000000012"/>
    <n v="165000.00000000003"/>
    <n v="0.3"/>
    <x v="1"/>
  </r>
  <r>
    <x v="1"/>
    <n v="1185732"/>
    <x v="50"/>
    <x v="0"/>
    <s v="New York"/>
    <s v="New York"/>
    <x v="2"/>
    <n v="50"/>
    <n v="925"/>
    <n v="462500"/>
    <n v="161875"/>
    <n v="0.35"/>
    <x v="1"/>
  </r>
  <r>
    <x v="1"/>
    <n v="1185732"/>
    <x v="51"/>
    <x v="0"/>
    <s v="New York"/>
    <s v="New York"/>
    <x v="3"/>
    <n v="50"/>
    <n v="900"/>
    <n v="450000"/>
    <n v="157500"/>
    <n v="0.35"/>
    <x v="1"/>
  </r>
  <r>
    <x v="1"/>
    <n v="1185732"/>
    <x v="52"/>
    <x v="0"/>
    <s v="New York"/>
    <s v="New York"/>
    <x v="4"/>
    <n v="60"/>
    <n v="900"/>
    <n v="540000"/>
    <n v="162000"/>
    <n v="0.3"/>
    <x v="1"/>
  </r>
  <r>
    <x v="1"/>
    <n v="1185732"/>
    <x v="53"/>
    <x v="0"/>
    <s v="New York"/>
    <s v="New York"/>
    <x v="5"/>
    <n v="65"/>
    <n v="1000"/>
    <n v="650000"/>
    <n v="162500"/>
    <n v="0.25"/>
    <x v="1"/>
  </r>
  <r>
    <x v="1"/>
    <n v="1185732"/>
    <x v="54"/>
    <x v="0"/>
    <s v="New York"/>
    <s v="New York"/>
    <x v="4"/>
    <n v="65"/>
    <n v="875"/>
    <n v="568750"/>
    <n v="170625"/>
    <n v="0.3"/>
    <x v="1"/>
  </r>
  <r>
    <x v="1"/>
    <n v="1185732"/>
    <x v="55"/>
    <x v="0"/>
    <s v="New York"/>
    <s v="New York"/>
    <x v="5"/>
    <n v="70"/>
    <n v="1000"/>
    <n v="700000"/>
    <n v="175000"/>
    <n v="0.25"/>
    <x v="1"/>
  </r>
  <r>
    <x v="1"/>
    <n v="1185732"/>
    <x v="56"/>
    <x v="0"/>
    <s v="New York"/>
    <s v="New York"/>
    <x v="0"/>
    <n v="65"/>
    <n v="1150"/>
    <n v="747500"/>
    <n v="373750"/>
    <n v="0.5"/>
    <x v="1"/>
  </r>
  <r>
    <x v="1"/>
    <n v="1185732"/>
    <x v="57"/>
    <x v="0"/>
    <s v="New York"/>
    <s v="New York"/>
    <x v="1"/>
    <n v="55.000000000000007"/>
    <n v="975"/>
    <n v="536250.00000000012"/>
    <n v="160875.00000000003"/>
    <n v="0.3"/>
    <x v="1"/>
  </r>
  <r>
    <x v="1"/>
    <n v="1185732"/>
    <x v="58"/>
    <x v="0"/>
    <s v="New York"/>
    <s v="New York"/>
    <x v="2"/>
    <n v="55.000000000000007"/>
    <n v="920"/>
    <n v="506000.00000000006"/>
    <n v="177100"/>
    <n v="0.35"/>
    <x v="1"/>
  </r>
  <r>
    <x v="1"/>
    <n v="1185732"/>
    <x v="59"/>
    <x v="0"/>
    <s v="New York"/>
    <s v="New York"/>
    <x v="3"/>
    <n v="55.000000000000007"/>
    <n v="900"/>
    <n v="495000.00000000006"/>
    <n v="173250"/>
    <n v="0.35"/>
    <x v="1"/>
  </r>
  <r>
    <x v="1"/>
    <n v="1185732"/>
    <x v="60"/>
    <x v="0"/>
    <s v="New York"/>
    <s v="New York"/>
    <x v="4"/>
    <n v="65"/>
    <n v="875"/>
    <n v="568750"/>
    <n v="170625"/>
    <n v="0.3"/>
    <x v="1"/>
  </r>
  <r>
    <x v="1"/>
    <n v="1185732"/>
    <x v="61"/>
    <x v="0"/>
    <s v="New York"/>
    <s v="New York"/>
    <x v="5"/>
    <n v="70"/>
    <n v="975"/>
    <n v="682500"/>
    <n v="170625"/>
    <n v="0.25"/>
    <x v="1"/>
  </r>
  <r>
    <x v="1"/>
    <n v="1185732"/>
    <x v="62"/>
    <x v="0"/>
    <s v="New York"/>
    <s v="New York"/>
    <x v="0"/>
    <n v="65"/>
    <n v="1200"/>
    <n v="780000"/>
    <n v="390000"/>
    <n v="0.5"/>
    <x v="1"/>
  </r>
  <r>
    <x v="1"/>
    <n v="1185732"/>
    <x v="63"/>
    <x v="0"/>
    <s v="New York"/>
    <s v="New York"/>
    <x v="1"/>
    <n v="55.000000000000007"/>
    <n v="1000"/>
    <n v="550000.00000000012"/>
    <n v="165000.00000000003"/>
    <n v="0.3"/>
    <x v="1"/>
  </r>
  <r>
    <x v="1"/>
    <n v="1185732"/>
    <x v="64"/>
    <x v="0"/>
    <s v="New York"/>
    <s v="New York"/>
    <x v="2"/>
    <n v="55.000000000000007"/>
    <n v="950"/>
    <n v="522500.00000000006"/>
    <n v="182875"/>
    <n v="0.35"/>
    <x v="1"/>
  </r>
  <r>
    <x v="1"/>
    <n v="1185732"/>
    <x v="65"/>
    <x v="0"/>
    <s v="New York"/>
    <s v="New York"/>
    <x v="3"/>
    <n v="55.000000000000007"/>
    <n v="900"/>
    <n v="495000.00000000006"/>
    <n v="173250"/>
    <n v="0.35"/>
    <x v="1"/>
  </r>
  <r>
    <x v="1"/>
    <n v="1185732"/>
    <x v="66"/>
    <x v="0"/>
    <s v="New York"/>
    <s v="New York"/>
    <x v="4"/>
    <n v="65"/>
    <n v="900"/>
    <n v="585000"/>
    <n v="175500"/>
    <n v="0.3"/>
    <x v="1"/>
  </r>
  <r>
    <x v="1"/>
    <n v="1185732"/>
    <x v="67"/>
    <x v="0"/>
    <s v="New York"/>
    <s v="New York"/>
    <x v="5"/>
    <n v="70"/>
    <n v="1000"/>
    <n v="700000"/>
    <n v="175000"/>
    <n v="0.25"/>
    <x v="1"/>
  </r>
  <r>
    <x v="2"/>
    <n v="1197831"/>
    <x v="68"/>
    <x v="0"/>
    <s v="New York"/>
    <s v="New York"/>
    <x v="0"/>
    <n v="25"/>
    <n v="900"/>
    <n v="225000"/>
    <n v="78750"/>
    <n v="0.35"/>
    <x v="1"/>
  </r>
  <r>
    <x v="2"/>
    <n v="1197831"/>
    <x v="69"/>
    <x v="0"/>
    <s v="New York"/>
    <s v="New York"/>
    <x v="1"/>
    <n v="35"/>
    <n v="900"/>
    <n v="315000"/>
    <n v="110250"/>
    <n v="0.35"/>
    <x v="1"/>
  </r>
  <r>
    <x v="2"/>
    <n v="1197831"/>
    <x v="70"/>
    <x v="0"/>
    <s v="New York"/>
    <s v="New York"/>
    <x v="2"/>
    <n v="35"/>
    <n v="700"/>
    <n v="245000"/>
    <n v="85750"/>
    <n v="0.35"/>
    <x v="1"/>
  </r>
  <r>
    <x v="2"/>
    <n v="1197831"/>
    <x v="71"/>
    <x v="0"/>
    <s v="New York"/>
    <s v="New York"/>
    <x v="3"/>
    <n v="35"/>
    <n v="700"/>
    <n v="245000"/>
    <n v="110250"/>
    <n v="0.45"/>
    <x v="1"/>
  </r>
  <r>
    <x v="2"/>
    <n v="1197831"/>
    <x v="72"/>
    <x v="1"/>
    <s v="Texas"/>
    <s v="Houston"/>
    <x v="4"/>
    <n v="40"/>
    <n v="550"/>
    <n v="220000"/>
    <n v="66000"/>
    <n v="0.3"/>
    <x v="1"/>
  </r>
  <r>
    <x v="2"/>
    <n v="1197831"/>
    <x v="73"/>
    <x v="1"/>
    <s v="Texas"/>
    <s v="Houston"/>
    <x v="5"/>
    <n v="35"/>
    <n v="700"/>
    <n v="245000"/>
    <n v="122500"/>
    <n v="0.5"/>
    <x v="1"/>
  </r>
  <r>
    <x v="2"/>
    <n v="1197831"/>
    <x v="74"/>
    <x v="1"/>
    <s v="Texas"/>
    <s v="Houston"/>
    <x v="0"/>
    <n v="25"/>
    <n v="850"/>
    <n v="212500"/>
    <n v="74375"/>
    <n v="0.35"/>
    <x v="1"/>
  </r>
  <r>
    <x v="2"/>
    <n v="1197831"/>
    <x v="75"/>
    <x v="1"/>
    <s v="Texas"/>
    <s v="Houston"/>
    <x v="1"/>
    <n v="35"/>
    <n v="850"/>
    <n v="297500"/>
    <n v="104125"/>
    <n v="0.35"/>
    <x v="1"/>
  </r>
  <r>
    <x v="2"/>
    <n v="1197831"/>
    <x v="76"/>
    <x v="1"/>
    <s v="Texas"/>
    <s v="Houston"/>
    <x v="2"/>
    <n v="35"/>
    <n v="675"/>
    <n v="236250"/>
    <n v="82687.5"/>
    <n v="0.35"/>
    <x v="1"/>
  </r>
  <r>
    <x v="2"/>
    <n v="1197831"/>
    <x v="77"/>
    <x v="1"/>
    <s v="Texas"/>
    <s v="Houston"/>
    <x v="3"/>
    <n v="35"/>
    <n v="625"/>
    <n v="218750"/>
    <n v="98437.5"/>
    <n v="0.45"/>
    <x v="1"/>
  </r>
  <r>
    <x v="2"/>
    <n v="1197831"/>
    <x v="78"/>
    <x v="1"/>
    <s v="Texas"/>
    <s v="Houston"/>
    <x v="4"/>
    <n v="40"/>
    <n v="500"/>
    <n v="200000"/>
    <n v="60000"/>
    <n v="0.3"/>
    <x v="1"/>
  </r>
  <r>
    <x v="2"/>
    <n v="1197831"/>
    <x v="79"/>
    <x v="1"/>
    <s v="Texas"/>
    <s v="Houston"/>
    <x v="5"/>
    <n v="35"/>
    <n v="700"/>
    <n v="245000"/>
    <n v="122500"/>
    <n v="0.5"/>
    <x v="1"/>
  </r>
  <r>
    <x v="2"/>
    <n v="1197831"/>
    <x v="80"/>
    <x v="1"/>
    <s v="Texas"/>
    <s v="Houston"/>
    <x v="0"/>
    <n v="30"/>
    <n v="875"/>
    <n v="262500"/>
    <n v="91875"/>
    <n v="0.35"/>
    <x v="1"/>
  </r>
  <r>
    <x v="2"/>
    <n v="1197831"/>
    <x v="81"/>
    <x v="1"/>
    <s v="Texas"/>
    <s v="Houston"/>
    <x v="1"/>
    <n v="40"/>
    <n v="875"/>
    <n v="350000"/>
    <n v="122499.99999999999"/>
    <n v="0.35"/>
    <x v="1"/>
  </r>
  <r>
    <x v="2"/>
    <n v="1197831"/>
    <x v="82"/>
    <x v="1"/>
    <s v="Texas"/>
    <s v="Houston"/>
    <x v="2"/>
    <n v="35"/>
    <n v="700"/>
    <n v="245000"/>
    <n v="85750"/>
    <n v="0.35"/>
    <x v="1"/>
  </r>
  <r>
    <x v="2"/>
    <n v="1197831"/>
    <x v="83"/>
    <x v="1"/>
    <s v="Texas"/>
    <s v="Houston"/>
    <x v="3"/>
    <n v="40"/>
    <n v="600"/>
    <n v="240000"/>
    <n v="108000"/>
    <n v="0.45"/>
    <x v="1"/>
  </r>
  <r>
    <x v="2"/>
    <n v="1197831"/>
    <x v="84"/>
    <x v="1"/>
    <s v="Texas"/>
    <s v="Houston"/>
    <x v="4"/>
    <n v="45"/>
    <n v="500"/>
    <n v="225000"/>
    <n v="67500"/>
    <n v="0.3"/>
    <x v="1"/>
  </r>
  <r>
    <x v="2"/>
    <n v="1197831"/>
    <x v="85"/>
    <x v="1"/>
    <s v="Texas"/>
    <s v="Houston"/>
    <x v="5"/>
    <n v="40"/>
    <n v="650"/>
    <n v="260000"/>
    <n v="130000"/>
    <n v="0.5"/>
    <x v="1"/>
  </r>
  <r>
    <x v="2"/>
    <n v="1197831"/>
    <x v="86"/>
    <x v="1"/>
    <s v="Texas"/>
    <s v="Houston"/>
    <x v="0"/>
    <n v="30"/>
    <n v="900"/>
    <n v="270000"/>
    <n v="94500"/>
    <n v="0.35"/>
    <x v="1"/>
  </r>
  <r>
    <x v="2"/>
    <n v="1197831"/>
    <x v="87"/>
    <x v="1"/>
    <s v="Texas"/>
    <s v="Houston"/>
    <x v="1"/>
    <n v="40"/>
    <n v="900"/>
    <n v="360000"/>
    <n v="125999.99999999999"/>
    <n v="0.35"/>
    <x v="1"/>
  </r>
  <r>
    <x v="2"/>
    <n v="1197831"/>
    <x v="88"/>
    <x v="1"/>
    <s v="Texas"/>
    <s v="Houston"/>
    <x v="2"/>
    <n v="35"/>
    <n v="725"/>
    <n v="253750"/>
    <n v="88812.5"/>
    <n v="0.35"/>
    <x v="1"/>
  </r>
  <r>
    <x v="2"/>
    <n v="1197831"/>
    <x v="89"/>
    <x v="1"/>
    <s v="Texas"/>
    <s v="Houston"/>
    <x v="3"/>
    <n v="40"/>
    <n v="625"/>
    <n v="250000"/>
    <n v="112500"/>
    <n v="0.45"/>
    <x v="1"/>
  </r>
  <r>
    <x v="1"/>
    <n v="1197831"/>
    <x v="90"/>
    <x v="1"/>
    <s v="Texas"/>
    <s v="Houston"/>
    <x v="4"/>
    <n v="45"/>
    <n v="525"/>
    <n v="236250"/>
    <n v="70875"/>
    <n v="0.3"/>
    <x v="1"/>
  </r>
  <r>
    <x v="1"/>
    <n v="1197831"/>
    <x v="91"/>
    <x v="1"/>
    <s v="Texas"/>
    <s v="Houston"/>
    <x v="5"/>
    <n v="40"/>
    <n v="800"/>
    <n v="320000"/>
    <n v="160000"/>
    <n v="0.5"/>
    <x v="1"/>
  </r>
  <r>
    <x v="1"/>
    <n v="1197831"/>
    <x v="92"/>
    <x v="1"/>
    <s v="Texas"/>
    <s v="Houston"/>
    <x v="0"/>
    <n v="30"/>
    <n v="925"/>
    <n v="277500"/>
    <n v="97125"/>
    <n v="0.35"/>
    <x v="1"/>
  </r>
  <r>
    <x v="1"/>
    <n v="1197831"/>
    <x v="93"/>
    <x v="1"/>
    <s v="Texas"/>
    <s v="Houston"/>
    <x v="1"/>
    <n v="40"/>
    <n v="925"/>
    <n v="370000"/>
    <n v="129499.99999999999"/>
    <n v="0.35"/>
    <x v="1"/>
  </r>
  <r>
    <x v="1"/>
    <n v="1197831"/>
    <x v="94"/>
    <x v="1"/>
    <s v="Texas"/>
    <s v="Houston"/>
    <x v="2"/>
    <n v="35"/>
    <n v="775"/>
    <n v="271250"/>
    <n v="94937.5"/>
    <n v="0.35"/>
    <x v="1"/>
  </r>
  <r>
    <x v="1"/>
    <n v="1197831"/>
    <x v="95"/>
    <x v="1"/>
    <s v="Texas"/>
    <s v="Houston"/>
    <x v="3"/>
    <n v="40"/>
    <n v="700"/>
    <n v="280000"/>
    <n v="126000"/>
    <n v="0.45"/>
    <x v="1"/>
  </r>
  <r>
    <x v="1"/>
    <n v="1197831"/>
    <x v="96"/>
    <x v="1"/>
    <s v="Texas"/>
    <s v="Houston"/>
    <x v="4"/>
    <n v="45"/>
    <n v="600"/>
    <n v="270000"/>
    <n v="81000"/>
    <n v="0.3"/>
    <x v="1"/>
  </r>
  <r>
    <x v="1"/>
    <n v="1197831"/>
    <x v="97"/>
    <x v="1"/>
    <s v="Texas"/>
    <s v="Houston"/>
    <x v="5"/>
    <n v="40"/>
    <n v="950"/>
    <n v="380000"/>
    <n v="190000"/>
    <n v="0.5"/>
    <x v="1"/>
  </r>
  <r>
    <x v="1"/>
    <n v="1197831"/>
    <x v="98"/>
    <x v="1"/>
    <s v="Texas"/>
    <s v="Houston"/>
    <x v="0"/>
    <n v="40"/>
    <n v="950"/>
    <n v="380000"/>
    <n v="133000"/>
    <n v="0.35"/>
    <x v="1"/>
  </r>
  <r>
    <x v="1"/>
    <n v="1197831"/>
    <x v="99"/>
    <x v="1"/>
    <s v="Texas"/>
    <s v="Houston"/>
    <x v="1"/>
    <n v="45"/>
    <n v="950"/>
    <n v="427500"/>
    <n v="149625"/>
    <n v="0.35"/>
    <x v="1"/>
  </r>
  <r>
    <x v="1"/>
    <n v="1197831"/>
    <x v="100"/>
    <x v="1"/>
    <s v="Texas"/>
    <s v="Houston"/>
    <x v="2"/>
    <n v="40"/>
    <n v="800"/>
    <n v="320000"/>
    <n v="112000"/>
    <n v="0.35"/>
    <x v="1"/>
  </r>
  <r>
    <x v="1"/>
    <n v="1197831"/>
    <x v="101"/>
    <x v="1"/>
    <s v="Texas"/>
    <s v="Houston"/>
    <x v="3"/>
    <n v="40"/>
    <n v="750"/>
    <n v="300000"/>
    <n v="135000"/>
    <n v="0.45"/>
    <x v="1"/>
  </r>
  <r>
    <x v="1"/>
    <n v="1197831"/>
    <x v="102"/>
    <x v="1"/>
    <s v="Texas"/>
    <s v="Houston"/>
    <x v="4"/>
    <n v="45"/>
    <n v="650"/>
    <n v="292500"/>
    <n v="87750"/>
    <n v="0.3"/>
    <x v="1"/>
  </r>
  <r>
    <x v="1"/>
    <n v="1197831"/>
    <x v="103"/>
    <x v="1"/>
    <s v="Texas"/>
    <s v="Houston"/>
    <x v="5"/>
    <n v="50"/>
    <n v="1000"/>
    <n v="500000"/>
    <n v="250000"/>
    <n v="0.5"/>
    <x v="1"/>
  </r>
  <r>
    <x v="1"/>
    <n v="1197831"/>
    <x v="104"/>
    <x v="1"/>
    <s v="Texas"/>
    <s v="Houston"/>
    <x v="0"/>
    <n v="40"/>
    <n v="950"/>
    <n v="380000"/>
    <n v="133000"/>
    <n v="0.35"/>
    <x v="1"/>
  </r>
  <r>
    <x v="1"/>
    <n v="1197831"/>
    <x v="105"/>
    <x v="1"/>
    <s v="Texas"/>
    <s v="Houston"/>
    <x v="1"/>
    <n v="45"/>
    <n v="950"/>
    <n v="427500"/>
    <n v="149625"/>
    <n v="0.35"/>
    <x v="1"/>
  </r>
  <r>
    <x v="1"/>
    <n v="1197831"/>
    <x v="106"/>
    <x v="1"/>
    <s v="Texas"/>
    <s v="Houston"/>
    <x v="2"/>
    <n v="40"/>
    <n v="1100"/>
    <n v="440000"/>
    <n v="154000"/>
    <n v="0.35"/>
    <x v="1"/>
  </r>
  <r>
    <x v="1"/>
    <n v="1197831"/>
    <x v="107"/>
    <x v="1"/>
    <s v="Texas"/>
    <s v="Houston"/>
    <x v="3"/>
    <n v="40"/>
    <n v="700"/>
    <n v="280000"/>
    <n v="126000"/>
    <n v="0.45"/>
    <x v="1"/>
  </r>
  <r>
    <x v="1"/>
    <n v="1197831"/>
    <x v="108"/>
    <x v="1"/>
    <s v="Texas"/>
    <s v="Houston"/>
    <x v="4"/>
    <n v="45"/>
    <n v="700"/>
    <n v="315000"/>
    <n v="94500"/>
    <n v="0.3"/>
    <x v="1"/>
  </r>
  <r>
    <x v="1"/>
    <n v="1197831"/>
    <x v="109"/>
    <x v="1"/>
    <s v="Texas"/>
    <s v="Houston"/>
    <x v="5"/>
    <n v="50"/>
    <n v="975"/>
    <n v="487500"/>
    <n v="243750"/>
    <n v="0.5"/>
    <x v="1"/>
  </r>
  <r>
    <x v="1"/>
    <n v="1197831"/>
    <x v="110"/>
    <x v="1"/>
    <s v="Texas"/>
    <s v="Houston"/>
    <x v="0"/>
    <n v="40"/>
    <n v="925"/>
    <n v="370000"/>
    <n v="129499.99999999999"/>
    <n v="0.35"/>
    <x v="1"/>
  </r>
  <r>
    <x v="1"/>
    <n v="1197831"/>
    <x v="111"/>
    <x v="1"/>
    <s v="Texas"/>
    <s v="Houston"/>
    <x v="1"/>
    <n v="45"/>
    <n v="925"/>
    <n v="416250"/>
    <n v="145687.5"/>
    <n v="0.35"/>
    <x v="1"/>
  </r>
  <r>
    <x v="1"/>
    <n v="1197831"/>
    <x v="112"/>
    <x v="1"/>
    <s v="Texas"/>
    <s v="Houston"/>
    <x v="2"/>
    <n v="40"/>
    <n v="1100"/>
    <n v="440000"/>
    <n v="154000"/>
    <n v="0.35"/>
    <x v="1"/>
  </r>
  <r>
    <x v="1"/>
    <n v="1197831"/>
    <x v="113"/>
    <x v="1"/>
    <s v="Texas"/>
    <s v="Houston"/>
    <x v="3"/>
    <n v="40"/>
    <n v="650"/>
    <n v="260000"/>
    <n v="117000"/>
    <n v="0.45"/>
    <x v="1"/>
  </r>
  <r>
    <x v="1"/>
    <n v="1197831"/>
    <x v="114"/>
    <x v="1"/>
    <s v="Texas"/>
    <s v="Houston"/>
    <x v="4"/>
    <n v="45"/>
    <n v="650"/>
    <n v="292500"/>
    <n v="87750"/>
    <n v="0.3"/>
    <x v="1"/>
  </r>
  <r>
    <x v="1"/>
    <n v="1197831"/>
    <x v="115"/>
    <x v="1"/>
    <s v="Texas"/>
    <s v="Houston"/>
    <x v="5"/>
    <n v="50"/>
    <n v="900"/>
    <n v="450000"/>
    <n v="225000"/>
    <n v="0.5"/>
    <x v="1"/>
  </r>
  <r>
    <x v="1"/>
    <n v="1197831"/>
    <x v="116"/>
    <x v="1"/>
    <s v="Texas"/>
    <s v="Houston"/>
    <x v="0"/>
    <n v="45"/>
    <n v="850"/>
    <n v="382500"/>
    <n v="133875"/>
    <n v="0.35"/>
    <x v="1"/>
  </r>
  <r>
    <x v="1"/>
    <n v="1197831"/>
    <x v="117"/>
    <x v="1"/>
    <s v="Texas"/>
    <s v="Houston"/>
    <x v="1"/>
    <n v="45"/>
    <n v="850"/>
    <n v="382500"/>
    <n v="133875"/>
    <n v="0.35"/>
    <x v="1"/>
  </r>
  <r>
    <x v="1"/>
    <n v="1197831"/>
    <x v="118"/>
    <x v="1"/>
    <s v="Texas"/>
    <s v="Houston"/>
    <x v="2"/>
    <n v="50"/>
    <n v="900"/>
    <n v="450000"/>
    <n v="157500"/>
    <n v="0.35"/>
    <x v="1"/>
  </r>
  <r>
    <x v="1"/>
    <n v="1197831"/>
    <x v="119"/>
    <x v="1"/>
    <s v="Texas"/>
    <s v="Houston"/>
    <x v="3"/>
    <n v="50"/>
    <n v="625"/>
    <n v="312500"/>
    <n v="140625"/>
    <n v="0.45"/>
    <x v="1"/>
  </r>
  <r>
    <x v="1"/>
    <n v="1197831"/>
    <x v="120"/>
    <x v="1"/>
    <s v="Texas"/>
    <s v="Houston"/>
    <x v="4"/>
    <n v="45"/>
    <n v="625"/>
    <n v="281250"/>
    <n v="84375"/>
    <n v="0.3"/>
    <x v="1"/>
  </r>
  <r>
    <x v="1"/>
    <n v="1197831"/>
    <x v="121"/>
    <x v="1"/>
    <s v="Texas"/>
    <s v="Houston"/>
    <x v="5"/>
    <n v="55.000000000000007"/>
    <n v="850"/>
    <n v="467500.00000000006"/>
    <n v="233750.00000000003"/>
    <n v="0.5"/>
    <x v="1"/>
  </r>
  <r>
    <x v="1"/>
    <n v="1197831"/>
    <x v="122"/>
    <x v="1"/>
    <s v="Texas"/>
    <s v="Houston"/>
    <x v="0"/>
    <n v="45"/>
    <n v="800"/>
    <n v="360000"/>
    <n v="125999.99999999999"/>
    <n v="0.35"/>
    <x v="1"/>
  </r>
  <r>
    <x v="1"/>
    <n v="1197831"/>
    <x v="123"/>
    <x v="1"/>
    <s v="Texas"/>
    <s v="Houston"/>
    <x v="1"/>
    <n v="45"/>
    <n v="800"/>
    <n v="360000"/>
    <n v="125999.99999999999"/>
    <n v="0.35"/>
    <x v="1"/>
  </r>
  <r>
    <x v="1"/>
    <n v="1197831"/>
    <x v="124"/>
    <x v="1"/>
    <s v="Texas"/>
    <s v="Houston"/>
    <x v="2"/>
    <n v="50"/>
    <n v="750"/>
    <n v="375000"/>
    <n v="131250"/>
    <n v="0.35"/>
    <x v="1"/>
  </r>
  <r>
    <x v="1"/>
    <n v="1197831"/>
    <x v="125"/>
    <x v="1"/>
    <s v="Texas"/>
    <s v="Houston"/>
    <x v="3"/>
    <n v="50"/>
    <n v="600"/>
    <n v="300000"/>
    <n v="135000"/>
    <n v="0.45"/>
    <x v="1"/>
  </r>
  <r>
    <x v="1"/>
    <n v="1197831"/>
    <x v="126"/>
    <x v="1"/>
    <s v="Texas"/>
    <s v="Houston"/>
    <x v="4"/>
    <n v="45"/>
    <n v="575"/>
    <n v="258750"/>
    <n v="77625"/>
    <n v="0.3"/>
    <x v="1"/>
  </r>
  <r>
    <x v="1"/>
    <n v="1197831"/>
    <x v="127"/>
    <x v="1"/>
    <s v="Texas"/>
    <s v="Houston"/>
    <x v="5"/>
    <n v="55.000000000000007"/>
    <n v="750"/>
    <n v="412500.00000000006"/>
    <n v="206250.00000000003"/>
    <n v="0.5"/>
    <x v="1"/>
  </r>
  <r>
    <x v="1"/>
    <n v="1197831"/>
    <x v="128"/>
    <x v="1"/>
    <s v="Texas"/>
    <s v="Houston"/>
    <x v="0"/>
    <n v="45"/>
    <n v="900"/>
    <n v="405000"/>
    <n v="141750"/>
    <n v="0.35"/>
    <x v="1"/>
  </r>
  <r>
    <x v="1"/>
    <n v="1197831"/>
    <x v="129"/>
    <x v="1"/>
    <s v="Texas"/>
    <s v="Houston"/>
    <x v="1"/>
    <n v="45"/>
    <n v="900"/>
    <n v="405000"/>
    <n v="141750"/>
    <n v="0.35"/>
    <x v="1"/>
  </r>
  <r>
    <x v="1"/>
    <n v="1197831"/>
    <x v="130"/>
    <x v="1"/>
    <s v="Texas"/>
    <s v="Houston"/>
    <x v="2"/>
    <n v="50"/>
    <n v="825"/>
    <n v="412500"/>
    <n v="144375"/>
    <n v="0.35"/>
    <x v="1"/>
  </r>
  <r>
    <x v="1"/>
    <n v="1197831"/>
    <x v="131"/>
    <x v="1"/>
    <s v="Texas"/>
    <s v="Houston"/>
    <x v="3"/>
    <n v="50"/>
    <n v="675"/>
    <n v="337500"/>
    <n v="151875"/>
    <n v="0.45"/>
    <x v="1"/>
  </r>
  <r>
    <x v="1"/>
    <n v="1197831"/>
    <x v="132"/>
    <x v="1"/>
    <s v="Texas"/>
    <s v="Houston"/>
    <x v="4"/>
    <n v="45"/>
    <n v="650"/>
    <n v="292500"/>
    <n v="87750"/>
    <n v="0.3"/>
    <x v="1"/>
  </r>
  <r>
    <x v="1"/>
    <n v="1197831"/>
    <x v="133"/>
    <x v="1"/>
    <s v="Texas"/>
    <s v="Houston"/>
    <x v="5"/>
    <n v="55.000000000000007"/>
    <n v="850"/>
    <n v="467500.00000000006"/>
    <n v="233750.00000000003"/>
    <n v="0.5"/>
    <x v="1"/>
  </r>
  <r>
    <x v="1"/>
    <n v="1197831"/>
    <x v="134"/>
    <x v="1"/>
    <s v="Texas"/>
    <s v="Houston"/>
    <x v="0"/>
    <n v="45"/>
    <n v="950"/>
    <n v="427500"/>
    <n v="149625"/>
    <n v="0.35"/>
    <x v="1"/>
  </r>
  <r>
    <x v="1"/>
    <n v="1197831"/>
    <x v="135"/>
    <x v="1"/>
    <s v="Texas"/>
    <s v="Houston"/>
    <x v="1"/>
    <n v="45"/>
    <n v="950"/>
    <n v="427500"/>
    <n v="149625"/>
    <n v="0.35"/>
    <x v="1"/>
  </r>
  <r>
    <x v="1"/>
    <n v="1197831"/>
    <x v="136"/>
    <x v="1"/>
    <s v="Texas"/>
    <s v="Houston"/>
    <x v="2"/>
    <n v="50"/>
    <n v="850"/>
    <n v="425000"/>
    <n v="148750"/>
    <n v="0.35"/>
    <x v="1"/>
  </r>
  <r>
    <x v="1"/>
    <n v="1197831"/>
    <x v="137"/>
    <x v="1"/>
    <s v="Texas"/>
    <s v="Houston"/>
    <x v="3"/>
    <n v="50"/>
    <n v="700"/>
    <n v="350000"/>
    <n v="157500"/>
    <n v="0.45"/>
    <x v="1"/>
  </r>
  <r>
    <x v="1"/>
    <n v="1197831"/>
    <x v="138"/>
    <x v="1"/>
    <s v="Texas"/>
    <s v="Houston"/>
    <x v="4"/>
    <n v="45"/>
    <n v="650"/>
    <n v="292500"/>
    <n v="87750"/>
    <n v="0.3"/>
    <x v="1"/>
  </r>
  <r>
    <x v="1"/>
    <n v="1197831"/>
    <x v="139"/>
    <x v="1"/>
    <s v="Texas"/>
    <s v="Houston"/>
    <x v="5"/>
    <n v="55.000000000000007"/>
    <n v="900"/>
    <n v="495000.00000000006"/>
    <n v="247500.00000000003"/>
    <n v="0.5"/>
    <x v="1"/>
  </r>
  <r>
    <x v="3"/>
    <n v="1128299"/>
    <x v="140"/>
    <x v="1"/>
    <s v="Texas"/>
    <s v="Houston"/>
    <x v="0"/>
    <n v="40"/>
    <n v="775"/>
    <n v="310000"/>
    <n v="108500.00000000001"/>
    <n v="0.35000000000000003"/>
    <x v="1"/>
  </r>
  <r>
    <x v="3"/>
    <n v="1128299"/>
    <x v="141"/>
    <x v="1"/>
    <s v="Texas"/>
    <s v="Houston"/>
    <x v="1"/>
    <n v="50"/>
    <n v="775"/>
    <n v="387500"/>
    <n v="77500"/>
    <n v="0.2"/>
    <x v="1"/>
  </r>
  <r>
    <x v="3"/>
    <n v="1128299"/>
    <x v="142"/>
    <x v="1"/>
    <s v="Texas"/>
    <s v="Houston"/>
    <x v="2"/>
    <n v="50"/>
    <n v="775"/>
    <n v="387500"/>
    <n v="135625"/>
    <n v="0.35000000000000003"/>
    <x v="1"/>
  </r>
  <r>
    <x v="3"/>
    <n v="1128299"/>
    <x v="143"/>
    <x v="1"/>
    <s v="Texas"/>
    <s v="Houston"/>
    <x v="3"/>
    <n v="50"/>
    <n v="625"/>
    <n v="312500"/>
    <n v="93750"/>
    <n v="0.3"/>
    <x v="1"/>
  </r>
  <r>
    <x v="3"/>
    <n v="1128299"/>
    <x v="144"/>
    <x v="2"/>
    <s v="California"/>
    <s v="San Francisco"/>
    <x v="4"/>
    <n v="55.000000000000007"/>
    <n v="575"/>
    <n v="316250.00000000006"/>
    <n v="158125.00000000003"/>
    <n v="0.5"/>
    <x v="1"/>
  </r>
  <r>
    <x v="3"/>
    <n v="1128299"/>
    <x v="145"/>
    <x v="2"/>
    <s v="California"/>
    <s v="San Francisco"/>
    <x v="5"/>
    <n v="50"/>
    <n v="775"/>
    <n v="387500"/>
    <n v="58125.000000000007"/>
    <n v="0.15000000000000002"/>
    <x v="1"/>
  </r>
  <r>
    <x v="3"/>
    <n v="1128299"/>
    <x v="146"/>
    <x v="2"/>
    <s v="California"/>
    <s v="San Francisco"/>
    <x v="0"/>
    <n v="40"/>
    <n v="825"/>
    <n v="330000"/>
    <n v="115500.00000000001"/>
    <n v="0.35000000000000003"/>
    <x v="1"/>
  </r>
  <r>
    <x v="3"/>
    <n v="1128299"/>
    <x v="147"/>
    <x v="2"/>
    <s v="California"/>
    <s v="San Francisco"/>
    <x v="1"/>
    <n v="50"/>
    <n v="725"/>
    <n v="362500"/>
    <n v="72500"/>
    <n v="0.2"/>
    <x v="1"/>
  </r>
  <r>
    <x v="3"/>
    <n v="1128299"/>
    <x v="148"/>
    <x v="2"/>
    <s v="California"/>
    <s v="San Francisco"/>
    <x v="2"/>
    <n v="50"/>
    <n v="725"/>
    <n v="362500"/>
    <n v="126875.00000000001"/>
    <n v="0.35000000000000003"/>
    <x v="1"/>
  </r>
  <r>
    <x v="3"/>
    <n v="1128299"/>
    <x v="149"/>
    <x v="2"/>
    <s v="California"/>
    <s v="San Francisco"/>
    <x v="3"/>
    <n v="50"/>
    <n v="575"/>
    <n v="287500"/>
    <n v="86250"/>
    <n v="0.3"/>
    <x v="1"/>
  </r>
  <r>
    <x v="3"/>
    <n v="1128299"/>
    <x v="150"/>
    <x v="2"/>
    <s v="California"/>
    <s v="San Francisco"/>
    <x v="4"/>
    <n v="55.000000000000007"/>
    <n v="500"/>
    <n v="275000.00000000006"/>
    <n v="137500.00000000003"/>
    <n v="0.5"/>
    <x v="1"/>
  </r>
  <r>
    <x v="3"/>
    <n v="1128299"/>
    <x v="151"/>
    <x v="2"/>
    <s v="California"/>
    <s v="San Francisco"/>
    <x v="5"/>
    <n v="50"/>
    <n v="700"/>
    <n v="350000"/>
    <n v="52500.000000000007"/>
    <n v="0.15000000000000002"/>
    <x v="1"/>
  </r>
  <r>
    <x v="3"/>
    <n v="1128299"/>
    <x v="152"/>
    <x v="2"/>
    <s v="California"/>
    <s v="San Francisco"/>
    <x v="0"/>
    <n v="50"/>
    <n v="850"/>
    <n v="425000"/>
    <n v="148750"/>
    <n v="0.35000000000000003"/>
    <x v="1"/>
  </r>
  <r>
    <x v="3"/>
    <n v="1128299"/>
    <x v="153"/>
    <x v="2"/>
    <s v="California"/>
    <s v="San Francisco"/>
    <x v="1"/>
    <n v="60"/>
    <n v="700"/>
    <n v="420000"/>
    <n v="84000"/>
    <n v="0.2"/>
    <x v="1"/>
  </r>
  <r>
    <x v="3"/>
    <n v="1128299"/>
    <x v="154"/>
    <x v="2"/>
    <s v="California"/>
    <s v="San Francisco"/>
    <x v="2"/>
    <n v="60"/>
    <n v="700"/>
    <n v="420000"/>
    <n v="147000"/>
    <n v="0.35000000000000003"/>
    <x v="1"/>
  </r>
  <r>
    <x v="3"/>
    <n v="1128299"/>
    <x v="155"/>
    <x v="2"/>
    <s v="California"/>
    <s v="San Francisco"/>
    <x v="3"/>
    <n v="60"/>
    <n v="600"/>
    <n v="360000"/>
    <n v="108000"/>
    <n v="0.3"/>
    <x v="1"/>
  </r>
  <r>
    <x v="3"/>
    <n v="1128299"/>
    <x v="156"/>
    <x v="2"/>
    <s v="California"/>
    <s v="San Francisco"/>
    <x v="4"/>
    <n v="65"/>
    <n v="500"/>
    <n v="325000"/>
    <n v="162500"/>
    <n v="0.5"/>
    <x v="1"/>
  </r>
  <r>
    <x v="3"/>
    <n v="1128299"/>
    <x v="157"/>
    <x v="2"/>
    <s v="California"/>
    <s v="San Francisco"/>
    <x v="5"/>
    <n v="60"/>
    <n v="700"/>
    <n v="420000"/>
    <n v="63000.000000000007"/>
    <n v="0.15000000000000002"/>
    <x v="1"/>
  </r>
  <r>
    <x v="3"/>
    <n v="1128299"/>
    <x v="158"/>
    <x v="2"/>
    <s v="California"/>
    <s v="San Francisco"/>
    <x v="0"/>
    <n v="60"/>
    <n v="875"/>
    <n v="525000"/>
    <n v="183750.00000000003"/>
    <n v="0.35000000000000003"/>
    <x v="1"/>
  </r>
  <r>
    <x v="3"/>
    <n v="1128299"/>
    <x v="159"/>
    <x v="2"/>
    <s v="California"/>
    <s v="San Francisco"/>
    <x v="1"/>
    <n v="65"/>
    <n v="675"/>
    <n v="438750"/>
    <n v="87750"/>
    <n v="0.2"/>
    <x v="1"/>
  </r>
  <r>
    <x v="3"/>
    <n v="1128299"/>
    <x v="160"/>
    <x v="2"/>
    <s v="California"/>
    <s v="San Francisco"/>
    <x v="2"/>
    <n v="65"/>
    <n v="725"/>
    <n v="471250"/>
    <n v="164937.50000000003"/>
    <n v="0.35000000000000003"/>
    <x v="1"/>
  </r>
  <r>
    <x v="3"/>
    <n v="1128299"/>
    <x v="161"/>
    <x v="2"/>
    <s v="California"/>
    <s v="San Francisco"/>
    <x v="3"/>
    <n v="60"/>
    <n v="625"/>
    <n v="375000"/>
    <n v="112500"/>
    <n v="0.3"/>
    <x v="1"/>
  </r>
  <r>
    <x v="3"/>
    <n v="1128299"/>
    <x v="162"/>
    <x v="2"/>
    <s v="California"/>
    <s v="San Francisco"/>
    <x v="4"/>
    <n v="65"/>
    <n v="525"/>
    <n v="341250"/>
    <n v="170625"/>
    <n v="0.5"/>
    <x v="1"/>
  </r>
  <r>
    <x v="3"/>
    <n v="1128299"/>
    <x v="163"/>
    <x v="2"/>
    <s v="California"/>
    <s v="San Francisco"/>
    <x v="5"/>
    <n v="80"/>
    <n v="700"/>
    <n v="560000"/>
    <n v="84000.000000000015"/>
    <n v="0.15000000000000002"/>
    <x v="1"/>
  </r>
  <r>
    <x v="3"/>
    <n v="1128299"/>
    <x v="164"/>
    <x v="2"/>
    <s v="California"/>
    <s v="San Francisco"/>
    <x v="0"/>
    <n v="60"/>
    <n v="900"/>
    <n v="540000"/>
    <n v="216000"/>
    <n v="0.4"/>
    <x v="1"/>
  </r>
  <r>
    <x v="3"/>
    <n v="1128299"/>
    <x v="165"/>
    <x v="2"/>
    <s v="California"/>
    <s v="San Francisco"/>
    <x v="1"/>
    <n v="65"/>
    <n v="750"/>
    <n v="487500"/>
    <n v="121875"/>
    <n v="0.25"/>
    <x v="1"/>
  </r>
  <r>
    <x v="3"/>
    <n v="1128299"/>
    <x v="166"/>
    <x v="2"/>
    <s v="California"/>
    <s v="San Francisco"/>
    <x v="2"/>
    <n v="65"/>
    <n v="750"/>
    <n v="487500"/>
    <n v="195000"/>
    <n v="0.4"/>
    <x v="1"/>
  </r>
  <r>
    <x v="3"/>
    <n v="1128299"/>
    <x v="167"/>
    <x v="2"/>
    <s v="California"/>
    <s v="San Francisco"/>
    <x v="3"/>
    <n v="60"/>
    <n v="650"/>
    <n v="390000"/>
    <n v="136500"/>
    <n v="0.35"/>
    <x v="1"/>
  </r>
  <r>
    <x v="3"/>
    <n v="1128299"/>
    <x v="168"/>
    <x v="2"/>
    <s v="California"/>
    <s v="San Francisco"/>
    <x v="4"/>
    <n v="65"/>
    <n v="550"/>
    <n v="357500"/>
    <n v="196625.00000000003"/>
    <n v="0.55000000000000004"/>
    <x v="1"/>
  </r>
  <r>
    <x v="3"/>
    <n v="1128299"/>
    <x v="169"/>
    <x v="2"/>
    <s v="California"/>
    <s v="San Francisco"/>
    <x v="5"/>
    <n v="80"/>
    <n v="725"/>
    <n v="580000"/>
    <n v="116000"/>
    <n v="0.2"/>
    <x v="1"/>
  </r>
  <r>
    <x v="3"/>
    <n v="1128299"/>
    <x v="170"/>
    <x v="2"/>
    <s v="California"/>
    <s v="San Francisco"/>
    <x v="0"/>
    <n v="60"/>
    <n v="975"/>
    <n v="585000"/>
    <n v="234000"/>
    <n v="0.4"/>
    <x v="1"/>
  </r>
  <r>
    <x v="3"/>
    <n v="1128299"/>
    <x v="171"/>
    <x v="2"/>
    <s v="California"/>
    <s v="San Francisco"/>
    <x v="1"/>
    <n v="65"/>
    <n v="825"/>
    <n v="536250"/>
    <n v="134062.5"/>
    <n v="0.25"/>
    <x v="1"/>
  </r>
  <r>
    <x v="3"/>
    <n v="1128299"/>
    <x v="172"/>
    <x v="2"/>
    <s v="California"/>
    <s v="San Francisco"/>
    <x v="2"/>
    <n v="65"/>
    <n v="825"/>
    <n v="536250"/>
    <n v="214500"/>
    <n v="0.4"/>
    <x v="1"/>
  </r>
  <r>
    <x v="3"/>
    <n v="1128299"/>
    <x v="173"/>
    <x v="2"/>
    <s v="California"/>
    <s v="San Francisco"/>
    <x v="3"/>
    <n v="60"/>
    <n v="700"/>
    <n v="420000"/>
    <n v="147000"/>
    <n v="0.35"/>
    <x v="1"/>
  </r>
  <r>
    <x v="3"/>
    <n v="1128299"/>
    <x v="174"/>
    <x v="2"/>
    <s v="California"/>
    <s v="San Francisco"/>
    <x v="4"/>
    <n v="65"/>
    <n v="575"/>
    <n v="373750"/>
    <n v="205562.50000000003"/>
    <n v="0.55000000000000004"/>
    <x v="1"/>
  </r>
  <r>
    <x v="3"/>
    <n v="1128299"/>
    <x v="175"/>
    <x v="2"/>
    <s v="California"/>
    <s v="San Francisco"/>
    <x v="5"/>
    <n v="80"/>
    <n v="875"/>
    <n v="700000"/>
    <n v="140000"/>
    <n v="0.2"/>
    <x v="1"/>
  </r>
  <r>
    <x v="3"/>
    <n v="1128299"/>
    <x v="176"/>
    <x v="2"/>
    <s v="California"/>
    <s v="San Francisco"/>
    <x v="0"/>
    <n v="60"/>
    <n v="1025"/>
    <n v="615000"/>
    <n v="215250.00000000003"/>
    <n v="0.35000000000000003"/>
    <x v="1"/>
  </r>
  <r>
    <x v="3"/>
    <n v="1128299"/>
    <x v="177"/>
    <x v="2"/>
    <s v="California"/>
    <s v="San Francisco"/>
    <x v="1"/>
    <n v="65"/>
    <n v="875"/>
    <n v="568750"/>
    <n v="113750"/>
    <n v="0.2"/>
    <x v="1"/>
  </r>
  <r>
    <x v="3"/>
    <n v="1128299"/>
    <x v="178"/>
    <x v="2"/>
    <s v="California"/>
    <s v="San Francisco"/>
    <x v="2"/>
    <n v="65"/>
    <n v="825"/>
    <n v="536250"/>
    <n v="187687.50000000003"/>
    <n v="0.35000000000000003"/>
    <x v="1"/>
  </r>
  <r>
    <x v="3"/>
    <n v="1128299"/>
    <x v="179"/>
    <x v="2"/>
    <s v="California"/>
    <s v="San Francisco"/>
    <x v="3"/>
    <n v="60"/>
    <n v="725"/>
    <n v="435000"/>
    <n v="130500"/>
    <n v="0.3"/>
    <x v="1"/>
  </r>
  <r>
    <x v="3"/>
    <n v="1128299"/>
    <x v="180"/>
    <x v="2"/>
    <s v="California"/>
    <s v="San Francisco"/>
    <x v="4"/>
    <n v="65"/>
    <n v="775"/>
    <n v="503750"/>
    <n v="251875"/>
    <n v="0.5"/>
    <x v="1"/>
  </r>
  <r>
    <x v="3"/>
    <n v="1128299"/>
    <x v="181"/>
    <x v="2"/>
    <s v="California"/>
    <s v="San Francisco"/>
    <x v="5"/>
    <n v="80"/>
    <n v="775"/>
    <n v="620000"/>
    <n v="93000.000000000015"/>
    <n v="0.15000000000000002"/>
    <x v="1"/>
  </r>
  <r>
    <x v="3"/>
    <n v="1128299"/>
    <x v="182"/>
    <x v="2"/>
    <s v="California"/>
    <s v="San Francisco"/>
    <x v="0"/>
    <n v="65"/>
    <n v="975"/>
    <n v="633750"/>
    <n v="221812.50000000003"/>
    <n v="0.35000000000000003"/>
    <x v="1"/>
  </r>
  <r>
    <x v="3"/>
    <n v="1128299"/>
    <x v="183"/>
    <x v="2"/>
    <s v="California"/>
    <s v="San Francisco"/>
    <x v="1"/>
    <n v="70"/>
    <n v="925"/>
    <n v="647500"/>
    <n v="129500"/>
    <n v="0.2"/>
    <x v="1"/>
  </r>
  <r>
    <x v="3"/>
    <n v="1128299"/>
    <x v="184"/>
    <x v="2"/>
    <s v="California"/>
    <s v="San Francisco"/>
    <x v="2"/>
    <n v="65"/>
    <n v="800"/>
    <n v="520000"/>
    <n v="182000.00000000003"/>
    <n v="0.35000000000000003"/>
    <x v="1"/>
  </r>
  <r>
    <x v="3"/>
    <n v="1128299"/>
    <x v="185"/>
    <x v="2"/>
    <s v="California"/>
    <s v="San Francisco"/>
    <x v="3"/>
    <n v="65"/>
    <n v="750"/>
    <n v="487500"/>
    <n v="146250"/>
    <n v="0.3"/>
    <x v="1"/>
  </r>
  <r>
    <x v="3"/>
    <n v="1128299"/>
    <x v="186"/>
    <x v="2"/>
    <s v="California"/>
    <s v="San Francisco"/>
    <x v="4"/>
    <n v="75"/>
    <n v="750"/>
    <n v="562500"/>
    <n v="281250"/>
    <n v="0.5"/>
    <x v="1"/>
  </r>
  <r>
    <x v="3"/>
    <n v="1128299"/>
    <x v="187"/>
    <x v="2"/>
    <s v="California"/>
    <s v="San Francisco"/>
    <x v="5"/>
    <n v="80"/>
    <n v="725"/>
    <n v="580000"/>
    <n v="87000.000000000015"/>
    <n v="0.15000000000000002"/>
    <x v="1"/>
  </r>
  <r>
    <x v="3"/>
    <n v="1128299"/>
    <x v="188"/>
    <x v="2"/>
    <s v="California"/>
    <s v="San Francisco"/>
    <x v="0"/>
    <n v="55.000000000000007"/>
    <n v="925"/>
    <n v="508750.00000000006"/>
    <n v="152625.00000000003"/>
    <n v="0.30000000000000004"/>
    <x v="1"/>
  </r>
  <r>
    <x v="3"/>
    <n v="1128299"/>
    <x v="189"/>
    <x v="2"/>
    <s v="California"/>
    <s v="San Francisco"/>
    <x v="1"/>
    <n v="60.000000000000007"/>
    <n v="925"/>
    <n v="555000.00000000012"/>
    <n v="83250.000000000015"/>
    <n v="0.15"/>
    <x v="1"/>
  </r>
  <r>
    <x v="3"/>
    <n v="1128299"/>
    <x v="190"/>
    <x v="2"/>
    <s v="California"/>
    <s v="San Francisco"/>
    <x v="2"/>
    <n v="55.000000000000007"/>
    <n v="775"/>
    <n v="426250.00000000006"/>
    <n v="127875.00000000004"/>
    <n v="0.30000000000000004"/>
    <x v="1"/>
  </r>
  <r>
    <x v="3"/>
    <n v="1128299"/>
    <x v="191"/>
    <x v="2"/>
    <s v="California"/>
    <s v="San Francisco"/>
    <x v="3"/>
    <n v="55.000000000000007"/>
    <n v="725"/>
    <n v="398750.00000000006"/>
    <n v="99687.5"/>
    <n v="0.24999999999999997"/>
    <x v="1"/>
  </r>
  <r>
    <x v="3"/>
    <n v="1128299"/>
    <x v="192"/>
    <x v="2"/>
    <s v="California"/>
    <s v="San Francisco"/>
    <x v="4"/>
    <n v="65"/>
    <n v="725"/>
    <n v="471250"/>
    <n v="212062.50000000003"/>
    <n v="0.45000000000000007"/>
    <x v="1"/>
  </r>
  <r>
    <x v="3"/>
    <n v="1128299"/>
    <x v="193"/>
    <x v="2"/>
    <s v="California"/>
    <s v="San Francisco"/>
    <x v="5"/>
    <n v="70"/>
    <n v="775"/>
    <n v="542500"/>
    <n v="54250"/>
    <n v="0.1"/>
    <x v="1"/>
  </r>
  <r>
    <x v="3"/>
    <n v="1128299"/>
    <x v="194"/>
    <x v="2"/>
    <s v="California"/>
    <s v="San Francisco"/>
    <x v="0"/>
    <n v="55.000000000000007"/>
    <n v="875"/>
    <n v="481250.00000000006"/>
    <n v="144375.00000000003"/>
    <n v="0.30000000000000004"/>
    <x v="1"/>
  </r>
  <r>
    <x v="3"/>
    <n v="1128299"/>
    <x v="195"/>
    <x v="2"/>
    <s v="California"/>
    <s v="San Francisco"/>
    <x v="1"/>
    <n v="60.000000000000007"/>
    <n v="875"/>
    <n v="525000.00000000012"/>
    <n v="78750.000000000015"/>
    <n v="0.15"/>
    <x v="1"/>
  </r>
  <r>
    <x v="3"/>
    <n v="1128299"/>
    <x v="196"/>
    <x v="2"/>
    <s v="California"/>
    <s v="San Francisco"/>
    <x v="2"/>
    <n v="55.000000000000007"/>
    <n v="700"/>
    <n v="385000.00000000006"/>
    <n v="115500.00000000003"/>
    <n v="0.30000000000000004"/>
    <x v="1"/>
  </r>
  <r>
    <x v="3"/>
    <n v="1128299"/>
    <x v="197"/>
    <x v="2"/>
    <s v="California"/>
    <s v="San Francisco"/>
    <x v="3"/>
    <n v="55.000000000000007"/>
    <n v="675"/>
    <n v="371250.00000000006"/>
    <n v="92812.5"/>
    <n v="0.24999999999999997"/>
    <x v="1"/>
  </r>
  <r>
    <x v="3"/>
    <n v="1128299"/>
    <x v="198"/>
    <x v="2"/>
    <s v="California"/>
    <s v="San Francisco"/>
    <x v="4"/>
    <n v="65"/>
    <n v="650"/>
    <n v="422500"/>
    <n v="190125.00000000003"/>
    <n v="0.45000000000000007"/>
    <x v="1"/>
  </r>
  <r>
    <x v="3"/>
    <n v="1128299"/>
    <x v="199"/>
    <x v="2"/>
    <s v="California"/>
    <s v="San Francisco"/>
    <x v="5"/>
    <n v="70"/>
    <n v="700"/>
    <n v="490000"/>
    <n v="49000"/>
    <n v="0.1"/>
    <x v="1"/>
  </r>
  <r>
    <x v="3"/>
    <n v="1128299"/>
    <x v="200"/>
    <x v="2"/>
    <s v="California"/>
    <s v="San Francisco"/>
    <x v="0"/>
    <n v="55.000000000000007"/>
    <n v="875"/>
    <n v="481250.00000000006"/>
    <n v="144375.00000000003"/>
    <n v="0.30000000000000004"/>
    <x v="1"/>
  </r>
  <r>
    <x v="3"/>
    <n v="1128299"/>
    <x v="201"/>
    <x v="2"/>
    <s v="California"/>
    <s v="San Francisco"/>
    <x v="1"/>
    <n v="60.000000000000007"/>
    <n v="875"/>
    <n v="525000.00000000012"/>
    <n v="78750.000000000015"/>
    <n v="0.15"/>
    <x v="1"/>
  </r>
  <r>
    <x v="3"/>
    <n v="1128299"/>
    <x v="202"/>
    <x v="2"/>
    <s v="California"/>
    <s v="San Francisco"/>
    <x v="2"/>
    <n v="55.000000000000007"/>
    <n v="725"/>
    <n v="398750.00000000006"/>
    <n v="119625.00000000003"/>
    <n v="0.30000000000000004"/>
    <x v="1"/>
  </r>
  <r>
    <x v="3"/>
    <n v="1128299"/>
    <x v="203"/>
    <x v="2"/>
    <s v="California"/>
    <s v="San Francisco"/>
    <x v="3"/>
    <n v="55.000000000000007"/>
    <n v="700"/>
    <n v="385000.00000000006"/>
    <n v="96250"/>
    <n v="0.24999999999999997"/>
    <x v="1"/>
  </r>
  <r>
    <x v="3"/>
    <n v="1128299"/>
    <x v="204"/>
    <x v="2"/>
    <s v="California"/>
    <s v="San Francisco"/>
    <x v="4"/>
    <n v="65"/>
    <n v="650"/>
    <n v="422500"/>
    <n v="190125.00000000003"/>
    <n v="0.45000000000000007"/>
    <x v="1"/>
  </r>
  <r>
    <x v="3"/>
    <n v="1128299"/>
    <x v="205"/>
    <x v="2"/>
    <s v="California"/>
    <s v="San Francisco"/>
    <x v="5"/>
    <n v="70"/>
    <n v="775"/>
    <n v="542500"/>
    <n v="54250"/>
    <n v="0.1"/>
    <x v="1"/>
  </r>
  <r>
    <x v="3"/>
    <n v="1128299"/>
    <x v="206"/>
    <x v="2"/>
    <s v="California"/>
    <s v="San Francisco"/>
    <x v="0"/>
    <n v="55.000000000000007"/>
    <n v="975"/>
    <n v="536250.00000000012"/>
    <n v="160875.00000000006"/>
    <n v="0.30000000000000004"/>
    <x v="1"/>
  </r>
  <r>
    <x v="3"/>
    <n v="1128299"/>
    <x v="207"/>
    <x v="2"/>
    <s v="California"/>
    <s v="San Francisco"/>
    <x v="1"/>
    <n v="60.000000000000007"/>
    <n v="975"/>
    <n v="585000.00000000012"/>
    <n v="87750.000000000015"/>
    <n v="0.15"/>
    <x v="1"/>
  </r>
  <r>
    <x v="3"/>
    <n v="1128299"/>
    <x v="208"/>
    <x v="2"/>
    <s v="California"/>
    <s v="San Francisco"/>
    <x v="2"/>
    <n v="55.000000000000007"/>
    <n v="775"/>
    <n v="426250.00000000006"/>
    <n v="127875.00000000004"/>
    <n v="0.30000000000000004"/>
    <x v="1"/>
  </r>
  <r>
    <x v="3"/>
    <n v="1128299"/>
    <x v="209"/>
    <x v="2"/>
    <s v="California"/>
    <s v="San Francisco"/>
    <x v="3"/>
    <n v="55.000000000000007"/>
    <n v="775"/>
    <n v="426250.00000000006"/>
    <n v="106562.5"/>
    <n v="0.24999999999999997"/>
    <x v="1"/>
  </r>
  <r>
    <x v="3"/>
    <n v="1128299"/>
    <x v="210"/>
    <x v="2"/>
    <s v="California"/>
    <s v="San Francisco"/>
    <x v="4"/>
    <n v="65"/>
    <n v="700"/>
    <n v="455000"/>
    <n v="204750.00000000003"/>
    <n v="0.45000000000000007"/>
    <x v="1"/>
  </r>
  <r>
    <x v="3"/>
    <n v="1128299"/>
    <x v="211"/>
    <x v="2"/>
    <s v="California"/>
    <s v="San Francisco"/>
    <x v="5"/>
    <n v="70"/>
    <n v="800"/>
    <n v="560000"/>
    <n v="56000"/>
    <n v="0.1"/>
    <x v="1"/>
  </r>
  <r>
    <x v="4"/>
    <n v="1189833"/>
    <x v="212"/>
    <x v="2"/>
    <s v="California"/>
    <s v="San Francisco"/>
    <x v="0"/>
    <n v="35"/>
    <n v="700"/>
    <n v="245000"/>
    <n v="98000"/>
    <n v="0.4"/>
    <x v="1"/>
  </r>
  <r>
    <x v="4"/>
    <n v="1189833"/>
    <x v="213"/>
    <x v="2"/>
    <s v="California"/>
    <s v="San Francisco"/>
    <x v="1"/>
    <n v="45"/>
    <n v="700"/>
    <n v="315000"/>
    <n v="78750"/>
    <n v="0.25"/>
    <x v="1"/>
  </r>
  <r>
    <x v="4"/>
    <n v="1189833"/>
    <x v="214"/>
    <x v="2"/>
    <s v="California"/>
    <s v="San Francisco"/>
    <x v="2"/>
    <n v="45"/>
    <n v="700"/>
    <n v="315000"/>
    <n v="126000"/>
    <n v="0.4"/>
    <x v="1"/>
  </r>
  <r>
    <x v="4"/>
    <n v="1189833"/>
    <x v="215"/>
    <x v="2"/>
    <s v="California"/>
    <s v="San Francisco"/>
    <x v="3"/>
    <n v="45"/>
    <n v="550"/>
    <n v="247500"/>
    <n v="86625"/>
    <n v="0.35"/>
    <x v="1"/>
  </r>
  <r>
    <x v="4"/>
    <n v="1189833"/>
    <x v="216"/>
    <x v="2"/>
    <s v="California"/>
    <s v="Los Angeles"/>
    <x v="4"/>
    <n v="50"/>
    <n v="500"/>
    <n v="250000"/>
    <n v="137500"/>
    <n v="0.55000000000000004"/>
    <x v="1"/>
  </r>
  <r>
    <x v="4"/>
    <n v="1189833"/>
    <x v="217"/>
    <x v="2"/>
    <s v="California"/>
    <s v="Los Angeles"/>
    <x v="5"/>
    <n v="45"/>
    <n v="700"/>
    <n v="315000"/>
    <n v="63000"/>
    <n v="0.2"/>
    <x v="1"/>
  </r>
  <r>
    <x v="4"/>
    <n v="1189833"/>
    <x v="218"/>
    <x v="2"/>
    <s v="California"/>
    <s v="Los Angeles"/>
    <x v="0"/>
    <n v="35"/>
    <n v="750"/>
    <n v="262500"/>
    <n v="105000"/>
    <n v="0.4"/>
    <x v="1"/>
  </r>
  <r>
    <x v="4"/>
    <n v="1189833"/>
    <x v="219"/>
    <x v="2"/>
    <s v="California"/>
    <s v="Los Angeles"/>
    <x v="1"/>
    <n v="45"/>
    <n v="650"/>
    <n v="292500"/>
    <n v="73125"/>
    <n v="0.25"/>
    <x v="1"/>
  </r>
  <r>
    <x v="4"/>
    <n v="1189833"/>
    <x v="220"/>
    <x v="2"/>
    <s v="California"/>
    <s v="Los Angeles"/>
    <x v="2"/>
    <n v="45"/>
    <n v="675"/>
    <n v="303750"/>
    <n v="121500"/>
    <n v="0.4"/>
    <x v="1"/>
  </r>
  <r>
    <x v="4"/>
    <n v="1189833"/>
    <x v="221"/>
    <x v="2"/>
    <s v="California"/>
    <s v="Los Angeles"/>
    <x v="3"/>
    <n v="45"/>
    <n v="525"/>
    <n v="236250"/>
    <n v="82687.5"/>
    <n v="0.35"/>
    <x v="1"/>
  </r>
  <r>
    <x v="4"/>
    <n v="1189833"/>
    <x v="222"/>
    <x v="2"/>
    <s v="California"/>
    <s v="Los Angeles"/>
    <x v="4"/>
    <n v="50"/>
    <n v="450"/>
    <n v="225000"/>
    <n v="123750.00000000001"/>
    <n v="0.55000000000000004"/>
    <x v="1"/>
  </r>
  <r>
    <x v="4"/>
    <n v="1189833"/>
    <x v="223"/>
    <x v="2"/>
    <s v="California"/>
    <s v="Los Angeles"/>
    <x v="5"/>
    <n v="45"/>
    <n v="650"/>
    <n v="292500"/>
    <n v="58500"/>
    <n v="0.2"/>
    <x v="1"/>
  </r>
  <r>
    <x v="4"/>
    <n v="1189833"/>
    <x v="224"/>
    <x v="2"/>
    <s v="California"/>
    <s v="Los Angeles"/>
    <x v="0"/>
    <n v="35"/>
    <n v="800"/>
    <n v="280000"/>
    <n v="112000"/>
    <n v="0.4"/>
    <x v="1"/>
  </r>
  <r>
    <x v="4"/>
    <n v="1189833"/>
    <x v="225"/>
    <x v="2"/>
    <s v="California"/>
    <s v="Los Angeles"/>
    <x v="1"/>
    <n v="45"/>
    <n v="650"/>
    <n v="292500"/>
    <n v="73125"/>
    <n v="0.25"/>
    <x v="1"/>
  </r>
  <r>
    <x v="4"/>
    <n v="1189833"/>
    <x v="226"/>
    <x v="2"/>
    <s v="California"/>
    <s v="Los Angeles"/>
    <x v="2"/>
    <n v="45"/>
    <n v="650"/>
    <n v="292500"/>
    <n v="117000"/>
    <n v="0.4"/>
    <x v="1"/>
  </r>
  <r>
    <x v="4"/>
    <n v="1189833"/>
    <x v="227"/>
    <x v="2"/>
    <s v="California"/>
    <s v="Los Angeles"/>
    <x v="3"/>
    <n v="45"/>
    <n v="550"/>
    <n v="247500"/>
    <n v="86625"/>
    <n v="0.35"/>
    <x v="1"/>
  </r>
  <r>
    <x v="4"/>
    <n v="1189833"/>
    <x v="228"/>
    <x v="2"/>
    <s v="California"/>
    <s v="Los Angeles"/>
    <x v="4"/>
    <n v="50"/>
    <n v="425"/>
    <n v="212500"/>
    <n v="116875.00000000001"/>
    <n v="0.55000000000000004"/>
    <x v="1"/>
  </r>
  <r>
    <x v="4"/>
    <n v="1189833"/>
    <x v="229"/>
    <x v="2"/>
    <s v="California"/>
    <s v="Los Angeles"/>
    <x v="5"/>
    <n v="45"/>
    <n v="625"/>
    <n v="281250"/>
    <n v="56250"/>
    <n v="0.2"/>
    <x v="1"/>
  </r>
  <r>
    <x v="4"/>
    <n v="1189833"/>
    <x v="230"/>
    <x v="2"/>
    <s v="California"/>
    <s v="Los Angeles"/>
    <x v="0"/>
    <n v="45"/>
    <n v="800"/>
    <n v="360000"/>
    <n v="144000"/>
    <n v="0.4"/>
    <x v="1"/>
  </r>
  <r>
    <x v="4"/>
    <n v="1189833"/>
    <x v="231"/>
    <x v="2"/>
    <s v="California"/>
    <s v="Los Angeles"/>
    <x v="1"/>
    <n v="50"/>
    <n v="600"/>
    <n v="300000"/>
    <n v="75000"/>
    <n v="0.25"/>
    <x v="1"/>
  </r>
  <r>
    <x v="4"/>
    <n v="1189833"/>
    <x v="232"/>
    <x v="2"/>
    <s v="California"/>
    <s v="Los Angeles"/>
    <x v="2"/>
    <n v="50"/>
    <n v="625"/>
    <n v="312500"/>
    <n v="125000"/>
    <n v="0.4"/>
    <x v="1"/>
  </r>
  <r>
    <x v="4"/>
    <n v="1189833"/>
    <x v="233"/>
    <x v="2"/>
    <s v="California"/>
    <s v="Los Angeles"/>
    <x v="3"/>
    <n v="45"/>
    <n v="525"/>
    <n v="236250"/>
    <n v="82687.5"/>
    <n v="0.35"/>
    <x v="1"/>
  </r>
  <r>
    <x v="4"/>
    <n v="1189833"/>
    <x v="234"/>
    <x v="2"/>
    <s v="California"/>
    <s v="Los Angeles"/>
    <x v="4"/>
    <n v="50"/>
    <n v="425"/>
    <n v="212500"/>
    <n v="116875.00000000001"/>
    <n v="0.55000000000000004"/>
    <x v="1"/>
  </r>
  <r>
    <x v="4"/>
    <n v="1189833"/>
    <x v="235"/>
    <x v="2"/>
    <s v="California"/>
    <s v="Los Angeles"/>
    <x v="5"/>
    <n v="65"/>
    <n v="600"/>
    <n v="390000"/>
    <n v="78000"/>
    <n v="0.2"/>
    <x v="1"/>
  </r>
  <r>
    <x v="4"/>
    <n v="1189833"/>
    <x v="236"/>
    <x v="2"/>
    <s v="California"/>
    <s v="Los Angeles"/>
    <x v="0"/>
    <n v="45"/>
    <n v="800"/>
    <n v="360000"/>
    <n v="144000"/>
    <n v="0.4"/>
    <x v="1"/>
  </r>
  <r>
    <x v="4"/>
    <n v="1189833"/>
    <x v="237"/>
    <x v="2"/>
    <s v="California"/>
    <s v="Los Angeles"/>
    <x v="1"/>
    <n v="50"/>
    <n v="650"/>
    <n v="325000"/>
    <n v="81250"/>
    <n v="0.25"/>
    <x v="1"/>
  </r>
  <r>
    <x v="4"/>
    <n v="1189833"/>
    <x v="238"/>
    <x v="2"/>
    <s v="California"/>
    <s v="Los Angeles"/>
    <x v="2"/>
    <n v="50"/>
    <n v="650"/>
    <n v="325000"/>
    <n v="130000"/>
    <n v="0.4"/>
    <x v="1"/>
  </r>
  <r>
    <x v="4"/>
    <n v="1189833"/>
    <x v="239"/>
    <x v="2"/>
    <s v="California"/>
    <s v="Los Angeles"/>
    <x v="3"/>
    <n v="45"/>
    <n v="550"/>
    <n v="247500"/>
    <n v="86625"/>
    <n v="0.35"/>
    <x v="1"/>
  </r>
  <r>
    <x v="4"/>
    <n v="1189833"/>
    <x v="240"/>
    <x v="2"/>
    <s v="California"/>
    <s v="Los Angeles"/>
    <x v="4"/>
    <n v="50"/>
    <n v="450"/>
    <n v="225000"/>
    <n v="123750.00000000001"/>
    <n v="0.55000000000000004"/>
    <x v="1"/>
  </r>
  <r>
    <x v="4"/>
    <n v="1189833"/>
    <x v="241"/>
    <x v="2"/>
    <s v="California"/>
    <s v="Los Angeles"/>
    <x v="5"/>
    <n v="65"/>
    <n v="625"/>
    <n v="406250"/>
    <n v="81250"/>
    <n v="0.2"/>
    <x v="1"/>
  </r>
  <r>
    <x v="4"/>
    <n v="1189833"/>
    <x v="242"/>
    <x v="2"/>
    <s v="California"/>
    <s v="Los Angeles"/>
    <x v="0"/>
    <n v="45"/>
    <n v="900"/>
    <n v="405000"/>
    <n v="162000"/>
    <n v="0.4"/>
    <x v="1"/>
  </r>
  <r>
    <x v="4"/>
    <n v="1189833"/>
    <x v="243"/>
    <x v="2"/>
    <s v="California"/>
    <s v="Los Angeles"/>
    <x v="1"/>
    <n v="50"/>
    <n v="750"/>
    <n v="375000"/>
    <n v="93750"/>
    <n v="0.25"/>
    <x v="1"/>
  </r>
  <r>
    <x v="4"/>
    <n v="1189833"/>
    <x v="244"/>
    <x v="2"/>
    <s v="California"/>
    <s v="Los Angeles"/>
    <x v="2"/>
    <n v="50"/>
    <n v="750"/>
    <n v="375000"/>
    <n v="150000"/>
    <n v="0.4"/>
    <x v="1"/>
  </r>
  <r>
    <x v="4"/>
    <n v="1189833"/>
    <x v="245"/>
    <x v="2"/>
    <s v="California"/>
    <s v="Los Angeles"/>
    <x v="3"/>
    <n v="45"/>
    <n v="625"/>
    <n v="281250"/>
    <n v="98437.5"/>
    <n v="0.35"/>
    <x v="1"/>
  </r>
  <r>
    <x v="4"/>
    <n v="1189833"/>
    <x v="246"/>
    <x v="2"/>
    <s v="California"/>
    <s v="Los Angeles"/>
    <x v="4"/>
    <n v="50"/>
    <n v="500"/>
    <n v="250000"/>
    <n v="137500"/>
    <n v="0.55000000000000004"/>
    <x v="1"/>
  </r>
  <r>
    <x v="4"/>
    <n v="1189833"/>
    <x v="247"/>
    <x v="2"/>
    <s v="California"/>
    <s v="Los Angeles"/>
    <x v="5"/>
    <n v="65"/>
    <n v="800"/>
    <n v="520000"/>
    <n v="104000"/>
    <n v="0.2"/>
    <x v="1"/>
  </r>
  <r>
    <x v="4"/>
    <n v="1189833"/>
    <x v="248"/>
    <x v="2"/>
    <s v="California"/>
    <s v="Los Angeles"/>
    <x v="0"/>
    <n v="45"/>
    <n v="950"/>
    <n v="427500"/>
    <n v="171000"/>
    <n v="0.4"/>
    <x v="1"/>
  </r>
  <r>
    <x v="4"/>
    <n v="1189833"/>
    <x v="249"/>
    <x v="2"/>
    <s v="California"/>
    <s v="Los Angeles"/>
    <x v="1"/>
    <n v="50"/>
    <n v="800"/>
    <n v="400000"/>
    <n v="100000"/>
    <n v="0.25"/>
    <x v="1"/>
  </r>
  <r>
    <x v="4"/>
    <n v="1189833"/>
    <x v="250"/>
    <x v="2"/>
    <s v="California"/>
    <s v="Los Angeles"/>
    <x v="2"/>
    <n v="50"/>
    <n v="750"/>
    <n v="375000"/>
    <n v="150000"/>
    <n v="0.4"/>
    <x v="1"/>
  </r>
  <r>
    <x v="4"/>
    <n v="1189833"/>
    <x v="251"/>
    <x v="2"/>
    <s v="California"/>
    <s v="Los Angeles"/>
    <x v="3"/>
    <n v="45"/>
    <n v="650"/>
    <n v="292500"/>
    <n v="102375"/>
    <n v="0.35"/>
    <x v="1"/>
  </r>
  <r>
    <x v="4"/>
    <n v="1189833"/>
    <x v="252"/>
    <x v="2"/>
    <s v="California"/>
    <s v="Los Angeles"/>
    <x v="4"/>
    <n v="50"/>
    <n v="700"/>
    <n v="350000"/>
    <n v="192500.00000000003"/>
    <n v="0.55000000000000004"/>
    <x v="1"/>
  </r>
  <r>
    <x v="4"/>
    <n v="1189833"/>
    <x v="253"/>
    <x v="2"/>
    <s v="California"/>
    <s v="Los Angeles"/>
    <x v="5"/>
    <n v="65"/>
    <n v="700"/>
    <n v="455000"/>
    <n v="91000"/>
    <n v="0.2"/>
    <x v="1"/>
  </r>
  <r>
    <x v="4"/>
    <n v="1189833"/>
    <x v="254"/>
    <x v="2"/>
    <s v="California"/>
    <s v="Los Angeles"/>
    <x v="0"/>
    <n v="50"/>
    <n v="900"/>
    <n v="450000"/>
    <n v="180000"/>
    <n v="0.4"/>
    <x v="1"/>
  </r>
  <r>
    <x v="4"/>
    <n v="1189833"/>
    <x v="255"/>
    <x v="2"/>
    <s v="California"/>
    <s v="Los Angeles"/>
    <x v="1"/>
    <n v="55.000000000000007"/>
    <n v="850"/>
    <n v="467500.00000000006"/>
    <n v="116875.00000000001"/>
    <n v="0.25"/>
    <x v="1"/>
  </r>
  <r>
    <x v="4"/>
    <n v="1189833"/>
    <x v="256"/>
    <x v="2"/>
    <s v="California"/>
    <s v="Los Angeles"/>
    <x v="2"/>
    <n v="50"/>
    <n v="725"/>
    <n v="362500"/>
    <n v="145000"/>
    <n v="0.4"/>
    <x v="1"/>
  </r>
  <r>
    <x v="4"/>
    <n v="1189833"/>
    <x v="257"/>
    <x v="2"/>
    <s v="California"/>
    <s v="Los Angeles"/>
    <x v="3"/>
    <n v="50"/>
    <n v="675"/>
    <n v="337500"/>
    <n v="118124.99999999999"/>
    <n v="0.35"/>
    <x v="1"/>
  </r>
  <r>
    <x v="4"/>
    <n v="1189833"/>
    <x v="258"/>
    <x v="2"/>
    <s v="California"/>
    <s v="Los Angeles"/>
    <x v="4"/>
    <n v="60"/>
    <n v="675"/>
    <n v="405000"/>
    <n v="222750.00000000003"/>
    <n v="0.55000000000000004"/>
    <x v="1"/>
  </r>
  <r>
    <x v="4"/>
    <n v="1189833"/>
    <x v="259"/>
    <x v="2"/>
    <s v="California"/>
    <s v="Los Angeles"/>
    <x v="5"/>
    <n v="65"/>
    <n v="650"/>
    <n v="422500"/>
    <n v="84500"/>
    <n v="0.2"/>
    <x v="1"/>
  </r>
  <r>
    <x v="4"/>
    <n v="1189833"/>
    <x v="260"/>
    <x v="2"/>
    <s v="California"/>
    <s v="Los Angeles"/>
    <x v="0"/>
    <n v="50"/>
    <n v="850"/>
    <n v="425000"/>
    <n v="170000"/>
    <n v="0.4"/>
    <x v="1"/>
  </r>
  <r>
    <x v="4"/>
    <n v="1189833"/>
    <x v="261"/>
    <x v="2"/>
    <s v="California"/>
    <s v="Los Angeles"/>
    <x v="1"/>
    <n v="55.000000000000007"/>
    <n v="850"/>
    <n v="467500.00000000006"/>
    <n v="116875.00000000001"/>
    <n v="0.25"/>
    <x v="1"/>
  </r>
  <r>
    <x v="4"/>
    <n v="1189833"/>
    <x v="262"/>
    <x v="2"/>
    <s v="California"/>
    <s v="Los Angeles"/>
    <x v="2"/>
    <n v="50"/>
    <n v="700"/>
    <n v="350000"/>
    <n v="140000"/>
    <n v="0.4"/>
    <x v="1"/>
  </r>
  <r>
    <x v="4"/>
    <n v="1189833"/>
    <x v="263"/>
    <x v="2"/>
    <s v="California"/>
    <s v="Los Angeles"/>
    <x v="3"/>
    <n v="50"/>
    <n v="650"/>
    <n v="325000"/>
    <n v="113750"/>
    <n v="0.35"/>
    <x v="1"/>
  </r>
  <r>
    <x v="4"/>
    <n v="1189833"/>
    <x v="264"/>
    <x v="2"/>
    <s v="California"/>
    <s v="Los Angeles"/>
    <x v="4"/>
    <n v="60"/>
    <n v="650"/>
    <n v="390000"/>
    <n v="214500.00000000003"/>
    <n v="0.55000000000000004"/>
    <x v="1"/>
  </r>
  <r>
    <x v="4"/>
    <n v="1189833"/>
    <x v="265"/>
    <x v="2"/>
    <s v="California"/>
    <s v="Los Angeles"/>
    <x v="5"/>
    <n v="65"/>
    <n v="700"/>
    <n v="455000"/>
    <n v="91000"/>
    <n v="0.2"/>
    <x v="1"/>
  </r>
  <r>
    <x v="4"/>
    <n v="1189833"/>
    <x v="266"/>
    <x v="2"/>
    <s v="California"/>
    <s v="Los Angeles"/>
    <x v="0"/>
    <n v="50"/>
    <n v="800"/>
    <n v="400000"/>
    <n v="160000"/>
    <n v="0.4"/>
    <x v="1"/>
  </r>
  <r>
    <x v="4"/>
    <n v="1189833"/>
    <x v="267"/>
    <x v="2"/>
    <s v="California"/>
    <s v="Los Angeles"/>
    <x v="1"/>
    <n v="55.000000000000007"/>
    <n v="800"/>
    <n v="440000.00000000006"/>
    <n v="110000.00000000001"/>
    <n v="0.25"/>
    <x v="1"/>
  </r>
  <r>
    <x v="4"/>
    <n v="1189833"/>
    <x v="268"/>
    <x v="2"/>
    <s v="California"/>
    <s v="Los Angeles"/>
    <x v="2"/>
    <n v="50"/>
    <n v="650"/>
    <n v="325000"/>
    <n v="130000"/>
    <n v="0.4"/>
    <x v="1"/>
  </r>
  <r>
    <x v="4"/>
    <n v="1189833"/>
    <x v="269"/>
    <x v="2"/>
    <s v="California"/>
    <s v="Los Angeles"/>
    <x v="3"/>
    <n v="50"/>
    <n v="625"/>
    <n v="312500"/>
    <n v="109375"/>
    <n v="0.35"/>
    <x v="1"/>
  </r>
  <r>
    <x v="4"/>
    <n v="1189833"/>
    <x v="270"/>
    <x v="2"/>
    <s v="California"/>
    <s v="Los Angeles"/>
    <x v="4"/>
    <n v="60"/>
    <n v="600"/>
    <n v="360000"/>
    <n v="198000.00000000003"/>
    <n v="0.55000000000000004"/>
    <x v="1"/>
  </r>
  <r>
    <x v="4"/>
    <n v="1189833"/>
    <x v="271"/>
    <x v="2"/>
    <s v="California"/>
    <s v="Los Angeles"/>
    <x v="5"/>
    <n v="65"/>
    <n v="650"/>
    <n v="422500"/>
    <n v="84500"/>
    <n v="0.2"/>
    <x v="1"/>
  </r>
  <r>
    <x v="4"/>
    <n v="1189833"/>
    <x v="272"/>
    <x v="2"/>
    <s v="California"/>
    <s v="Los Angeles"/>
    <x v="0"/>
    <n v="50"/>
    <n v="825"/>
    <n v="412500"/>
    <n v="165000"/>
    <n v="0.4"/>
    <x v="1"/>
  </r>
  <r>
    <x v="4"/>
    <n v="1189833"/>
    <x v="273"/>
    <x v="2"/>
    <s v="California"/>
    <s v="Los Angeles"/>
    <x v="1"/>
    <n v="55.000000000000007"/>
    <n v="825"/>
    <n v="453750.00000000006"/>
    <n v="113437.50000000001"/>
    <n v="0.25"/>
    <x v="1"/>
  </r>
  <r>
    <x v="4"/>
    <n v="1189833"/>
    <x v="274"/>
    <x v="2"/>
    <s v="California"/>
    <s v="Los Angeles"/>
    <x v="2"/>
    <n v="50"/>
    <n v="675"/>
    <n v="337500"/>
    <n v="135000"/>
    <n v="0.4"/>
    <x v="1"/>
  </r>
  <r>
    <x v="4"/>
    <n v="1189833"/>
    <x v="275"/>
    <x v="2"/>
    <s v="California"/>
    <s v="Los Angeles"/>
    <x v="3"/>
    <n v="50"/>
    <n v="650"/>
    <n v="325000"/>
    <n v="113750"/>
    <n v="0.35"/>
    <x v="1"/>
  </r>
  <r>
    <x v="4"/>
    <n v="1189833"/>
    <x v="276"/>
    <x v="2"/>
    <s v="California"/>
    <s v="Los Angeles"/>
    <x v="4"/>
    <n v="60"/>
    <n v="600"/>
    <n v="360000"/>
    <n v="198000.00000000003"/>
    <n v="0.55000000000000004"/>
    <x v="1"/>
  </r>
  <r>
    <x v="4"/>
    <n v="1189833"/>
    <x v="277"/>
    <x v="2"/>
    <s v="California"/>
    <s v="Los Angeles"/>
    <x v="5"/>
    <n v="65"/>
    <n v="700"/>
    <n v="455000"/>
    <n v="91000"/>
    <n v="0.2"/>
    <x v="1"/>
  </r>
  <r>
    <x v="4"/>
    <n v="1189833"/>
    <x v="278"/>
    <x v="2"/>
    <s v="California"/>
    <s v="Los Angeles"/>
    <x v="0"/>
    <n v="50"/>
    <n v="900"/>
    <n v="450000"/>
    <n v="180000"/>
    <n v="0.4"/>
    <x v="1"/>
  </r>
  <r>
    <x v="4"/>
    <n v="1189833"/>
    <x v="279"/>
    <x v="2"/>
    <s v="California"/>
    <s v="Los Angeles"/>
    <x v="1"/>
    <n v="55.000000000000007"/>
    <n v="900"/>
    <n v="495000.00000000006"/>
    <n v="123750.00000000001"/>
    <n v="0.25"/>
    <x v="1"/>
  </r>
  <r>
    <x v="4"/>
    <n v="1189833"/>
    <x v="280"/>
    <x v="2"/>
    <s v="California"/>
    <s v="Los Angeles"/>
    <x v="2"/>
    <n v="50"/>
    <n v="700"/>
    <n v="350000"/>
    <n v="140000"/>
    <n v="0.4"/>
    <x v="1"/>
  </r>
  <r>
    <x v="4"/>
    <n v="1189833"/>
    <x v="281"/>
    <x v="2"/>
    <s v="California"/>
    <s v="Los Angeles"/>
    <x v="3"/>
    <n v="50"/>
    <n v="700"/>
    <n v="350000"/>
    <n v="122499.99999999999"/>
    <n v="0.35"/>
    <x v="1"/>
  </r>
  <r>
    <x v="4"/>
    <n v="1189833"/>
    <x v="282"/>
    <x v="2"/>
    <s v="California"/>
    <s v="Los Angeles"/>
    <x v="4"/>
    <n v="60"/>
    <n v="625"/>
    <n v="375000"/>
    <n v="206250.00000000003"/>
    <n v="0.55000000000000004"/>
    <x v="1"/>
  </r>
  <r>
    <x v="4"/>
    <n v="1189833"/>
    <x v="283"/>
    <x v="2"/>
    <s v="California"/>
    <s v="Los Angeles"/>
    <x v="5"/>
    <n v="65"/>
    <n v="725"/>
    <n v="471250"/>
    <n v="94250"/>
    <n v="0.2"/>
    <x v="1"/>
  </r>
  <r>
    <x v="0"/>
    <n v="1185732"/>
    <x v="284"/>
    <x v="2"/>
    <s v="California"/>
    <s v="Los Angeles"/>
    <x v="0"/>
    <n v="45"/>
    <n v="475"/>
    <n v="213750"/>
    <n v="85500"/>
    <n v="0.4"/>
    <x v="1"/>
  </r>
  <r>
    <x v="0"/>
    <n v="1185732"/>
    <x v="285"/>
    <x v="2"/>
    <s v="California"/>
    <s v="Los Angeles"/>
    <x v="1"/>
    <n v="45"/>
    <n v="275"/>
    <n v="123750"/>
    <n v="43312.5"/>
    <n v="0.35"/>
    <x v="1"/>
  </r>
  <r>
    <x v="0"/>
    <n v="1185732"/>
    <x v="286"/>
    <x v="2"/>
    <s v="California"/>
    <s v="Los Angeles"/>
    <x v="2"/>
    <n v="35"/>
    <n v="275"/>
    <n v="96250"/>
    <n v="33687.5"/>
    <n v="0.35"/>
    <x v="1"/>
  </r>
  <r>
    <x v="0"/>
    <n v="1185732"/>
    <x v="287"/>
    <x v="2"/>
    <s v="California"/>
    <s v="Los Angeles"/>
    <x v="3"/>
    <n v="40"/>
    <n v="125"/>
    <n v="50000"/>
    <n v="20000"/>
    <n v="0.4"/>
    <x v="1"/>
  </r>
  <r>
    <x v="0"/>
    <n v="1185732"/>
    <x v="288"/>
    <x v="3"/>
    <s v="Illinois"/>
    <s v="Chicago"/>
    <x v="4"/>
    <n v="54.999999999999993"/>
    <n v="175"/>
    <n v="96249.999999999985"/>
    <n v="33687.499999999993"/>
    <n v="0.35"/>
    <x v="1"/>
  </r>
  <r>
    <x v="0"/>
    <n v="1185732"/>
    <x v="289"/>
    <x v="3"/>
    <s v="Illinois"/>
    <s v="Chicago"/>
    <x v="5"/>
    <n v="45"/>
    <n v="275"/>
    <n v="123750"/>
    <n v="61875"/>
    <n v="0.5"/>
    <x v="1"/>
  </r>
  <r>
    <x v="0"/>
    <n v="1185732"/>
    <x v="290"/>
    <x v="3"/>
    <s v="Illinois"/>
    <s v="Chicago"/>
    <x v="0"/>
    <n v="45"/>
    <n v="525"/>
    <n v="236250"/>
    <n v="94500"/>
    <n v="0.4"/>
    <x v="1"/>
  </r>
  <r>
    <x v="0"/>
    <n v="1185732"/>
    <x v="291"/>
    <x v="3"/>
    <s v="Illinois"/>
    <s v="Chicago"/>
    <x v="1"/>
    <n v="45"/>
    <n v="175"/>
    <n v="78750"/>
    <n v="27562.5"/>
    <n v="0.35"/>
    <x v="1"/>
  </r>
  <r>
    <x v="0"/>
    <n v="1185732"/>
    <x v="292"/>
    <x v="3"/>
    <s v="Illinois"/>
    <s v="Chicago"/>
    <x v="2"/>
    <n v="35"/>
    <n v="225"/>
    <n v="78750"/>
    <n v="27562.5"/>
    <n v="0.35"/>
    <x v="1"/>
  </r>
  <r>
    <x v="0"/>
    <n v="1185732"/>
    <x v="293"/>
    <x v="3"/>
    <s v="Illinois"/>
    <s v="Chicago"/>
    <x v="3"/>
    <n v="40"/>
    <n v="100"/>
    <n v="40000"/>
    <n v="16000"/>
    <n v="0.4"/>
    <x v="1"/>
  </r>
  <r>
    <x v="0"/>
    <n v="1185732"/>
    <x v="294"/>
    <x v="3"/>
    <s v="Illinois"/>
    <s v="Chicago"/>
    <x v="4"/>
    <n v="54.999999999999993"/>
    <n v="175"/>
    <n v="96249.999999999985"/>
    <n v="33687.499999999993"/>
    <n v="0.35"/>
    <x v="1"/>
  </r>
  <r>
    <x v="0"/>
    <n v="1185732"/>
    <x v="295"/>
    <x v="3"/>
    <s v="Illinois"/>
    <s v="Chicago"/>
    <x v="5"/>
    <n v="45"/>
    <n v="275"/>
    <n v="123750"/>
    <n v="61875"/>
    <n v="0.5"/>
    <x v="1"/>
  </r>
  <r>
    <x v="0"/>
    <n v="1185732"/>
    <x v="296"/>
    <x v="3"/>
    <s v="Illinois"/>
    <s v="Chicago"/>
    <x v="0"/>
    <n v="50"/>
    <n v="495"/>
    <n v="247500"/>
    <n v="99000"/>
    <n v="0.4"/>
    <x v="1"/>
  </r>
  <r>
    <x v="0"/>
    <n v="1185732"/>
    <x v="297"/>
    <x v="3"/>
    <s v="Illinois"/>
    <s v="Chicago"/>
    <x v="1"/>
    <n v="50"/>
    <n v="200"/>
    <n v="100000"/>
    <n v="35000"/>
    <n v="0.35"/>
    <x v="1"/>
  </r>
  <r>
    <x v="0"/>
    <n v="1185732"/>
    <x v="298"/>
    <x v="3"/>
    <s v="Illinois"/>
    <s v="Chicago"/>
    <x v="2"/>
    <n v="40"/>
    <n v="225"/>
    <n v="90000"/>
    <n v="31499.999999999996"/>
    <n v="0.35"/>
    <x v="1"/>
  </r>
  <r>
    <x v="0"/>
    <n v="1185732"/>
    <x v="299"/>
    <x v="3"/>
    <s v="Illinois"/>
    <s v="Chicago"/>
    <x v="3"/>
    <n v="45"/>
    <n v="75"/>
    <n v="33750"/>
    <n v="13500"/>
    <n v="0.4"/>
    <x v="1"/>
  </r>
  <r>
    <x v="0"/>
    <n v="1185732"/>
    <x v="300"/>
    <x v="3"/>
    <s v="Illinois"/>
    <s v="Chicago"/>
    <x v="4"/>
    <n v="60"/>
    <n v="125"/>
    <n v="75000"/>
    <n v="26250"/>
    <n v="0.35"/>
    <x v="1"/>
  </r>
  <r>
    <x v="0"/>
    <n v="1185732"/>
    <x v="301"/>
    <x v="3"/>
    <s v="Illinois"/>
    <s v="Chicago"/>
    <x v="5"/>
    <n v="50"/>
    <n v="225"/>
    <n v="112500"/>
    <n v="56250"/>
    <n v="0.5"/>
    <x v="1"/>
  </r>
  <r>
    <x v="0"/>
    <n v="1185732"/>
    <x v="302"/>
    <x v="3"/>
    <s v="Illinois"/>
    <s v="Chicago"/>
    <x v="0"/>
    <n v="50"/>
    <n v="450"/>
    <n v="225000"/>
    <n v="90000"/>
    <n v="0.4"/>
    <x v="1"/>
  </r>
  <r>
    <x v="0"/>
    <n v="1185732"/>
    <x v="303"/>
    <x v="3"/>
    <s v="Illinois"/>
    <s v="Chicago"/>
    <x v="1"/>
    <n v="50"/>
    <n v="150"/>
    <n v="75000"/>
    <n v="26250"/>
    <n v="0.35"/>
    <x v="1"/>
  </r>
  <r>
    <x v="0"/>
    <n v="1185732"/>
    <x v="304"/>
    <x v="3"/>
    <s v="Illinois"/>
    <s v="Chicago"/>
    <x v="2"/>
    <n v="40"/>
    <n v="150"/>
    <n v="60000"/>
    <n v="21000"/>
    <n v="0.35"/>
    <x v="1"/>
  </r>
  <r>
    <x v="0"/>
    <n v="1185732"/>
    <x v="305"/>
    <x v="3"/>
    <s v="Illinois"/>
    <s v="Chicago"/>
    <x v="3"/>
    <n v="45"/>
    <n v="75"/>
    <n v="33750"/>
    <n v="13500"/>
    <n v="0.4"/>
    <x v="1"/>
  </r>
  <r>
    <x v="0"/>
    <n v="1185732"/>
    <x v="306"/>
    <x v="3"/>
    <s v="Illinois"/>
    <s v="Chicago"/>
    <x v="4"/>
    <n v="60"/>
    <n v="100"/>
    <n v="60000"/>
    <n v="21000"/>
    <n v="0.35"/>
    <x v="1"/>
  </r>
  <r>
    <x v="0"/>
    <n v="1185732"/>
    <x v="307"/>
    <x v="3"/>
    <s v="Illinois"/>
    <s v="Chicago"/>
    <x v="5"/>
    <n v="50"/>
    <n v="225"/>
    <n v="112500"/>
    <n v="56250"/>
    <n v="0.5"/>
    <x v="1"/>
  </r>
  <r>
    <x v="0"/>
    <n v="1185732"/>
    <x v="308"/>
    <x v="3"/>
    <s v="Illinois"/>
    <s v="Chicago"/>
    <x v="0"/>
    <n v="60"/>
    <n v="495"/>
    <n v="297000"/>
    <n v="118800"/>
    <n v="0.4"/>
    <x v="1"/>
  </r>
  <r>
    <x v="0"/>
    <n v="1185732"/>
    <x v="309"/>
    <x v="3"/>
    <s v="Illinois"/>
    <s v="Chicago"/>
    <x v="1"/>
    <n v="55.000000000000007"/>
    <n v="200"/>
    <n v="110000.00000000001"/>
    <n v="38500"/>
    <n v="0.35"/>
    <x v="1"/>
  </r>
  <r>
    <x v="0"/>
    <n v="1185732"/>
    <x v="310"/>
    <x v="3"/>
    <s v="Illinois"/>
    <s v="Chicago"/>
    <x v="2"/>
    <n v="50"/>
    <n v="175"/>
    <n v="87500"/>
    <n v="30624.999999999996"/>
    <n v="0.35"/>
    <x v="1"/>
  </r>
  <r>
    <x v="0"/>
    <n v="1185732"/>
    <x v="311"/>
    <x v="3"/>
    <s v="Illinois"/>
    <s v="Chicago"/>
    <x v="3"/>
    <n v="50"/>
    <n v="100"/>
    <n v="50000"/>
    <n v="20000"/>
    <n v="0.4"/>
    <x v="1"/>
  </r>
  <r>
    <x v="0"/>
    <n v="1185732"/>
    <x v="312"/>
    <x v="3"/>
    <s v="Illinois"/>
    <s v="Chicago"/>
    <x v="4"/>
    <n v="60"/>
    <n v="125"/>
    <n v="75000"/>
    <n v="26250"/>
    <n v="0.35"/>
    <x v="1"/>
  </r>
  <r>
    <x v="0"/>
    <n v="1185732"/>
    <x v="313"/>
    <x v="3"/>
    <s v="Illinois"/>
    <s v="Chicago"/>
    <x v="5"/>
    <n v="65"/>
    <n v="250"/>
    <n v="162500"/>
    <n v="81250"/>
    <n v="0.5"/>
    <x v="1"/>
  </r>
  <r>
    <x v="0"/>
    <n v="1185732"/>
    <x v="314"/>
    <x v="3"/>
    <s v="Illinois"/>
    <s v="Chicago"/>
    <x v="0"/>
    <n v="50"/>
    <n v="500"/>
    <n v="250000"/>
    <n v="100000"/>
    <n v="0.4"/>
    <x v="1"/>
  </r>
  <r>
    <x v="0"/>
    <n v="1185732"/>
    <x v="315"/>
    <x v="3"/>
    <s v="Illinois"/>
    <s v="Chicago"/>
    <x v="1"/>
    <n v="45.000000000000007"/>
    <n v="250"/>
    <n v="112500.00000000001"/>
    <n v="39375"/>
    <n v="0.35"/>
    <x v="1"/>
  </r>
  <r>
    <x v="0"/>
    <n v="1185732"/>
    <x v="316"/>
    <x v="3"/>
    <s v="Illinois"/>
    <s v="Chicago"/>
    <x v="2"/>
    <n v="40"/>
    <n v="200"/>
    <n v="80000"/>
    <n v="28000"/>
    <n v="0.35"/>
    <x v="1"/>
  </r>
  <r>
    <x v="0"/>
    <n v="1185732"/>
    <x v="317"/>
    <x v="3"/>
    <s v="Illinois"/>
    <s v="Chicago"/>
    <x v="3"/>
    <n v="40"/>
    <n v="175"/>
    <n v="70000"/>
    <n v="28000"/>
    <n v="0.4"/>
    <x v="1"/>
  </r>
  <r>
    <x v="0"/>
    <n v="1185732"/>
    <x v="318"/>
    <x v="3"/>
    <s v="Illinois"/>
    <s v="Chicago"/>
    <x v="4"/>
    <n v="50"/>
    <n v="175"/>
    <n v="87500"/>
    <n v="30624.999999999996"/>
    <n v="0.35"/>
    <x v="1"/>
  </r>
  <r>
    <x v="0"/>
    <n v="1185732"/>
    <x v="319"/>
    <x v="3"/>
    <s v="Illinois"/>
    <s v="Chicago"/>
    <x v="5"/>
    <n v="55.000000000000007"/>
    <n v="350"/>
    <n v="192500.00000000003"/>
    <n v="96250.000000000015"/>
    <n v="0.5"/>
    <x v="1"/>
  </r>
  <r>
    <x v="0"/>
    <n v="1185732"/>
    <x v="320"/>
    <x v="3"/>
    <s v="Illinois"/>
    <s v="Chicago"/>
    <x v="0"/>
    <n v="50"/>
    <n v="575"/>
    <n v="287500"/>
    <n v="115000"/>
    <n v="0.4"/>
    <x v="1"/>
  </r>
  <r>
    <x v="0"/>
    <n v="1185732"/>
    <x v="321"/>
    <x v="3"/>
    <s v="Illinois"/>
    <s v="Chicago"/>
    <x v="1"/>
    <n v="45.000000000000007"/>
    <n v="325"/>
    <n v="146250.00000000003"/>
    <n v="51187.500000000007"/>
    <n v="0.35"/>
    <x v="1"/>
  </r>
  <r>
    <x v="0"/>
    <n v="1185732"/>
    <x v="322"/>
    <x v="3"/>
    <s v="Illinois"/>
    <s v="Chicago"/>
    <x v="2"/>
    <n v="40"/>
    <n v="250"/>
    <n v="100000"/>
    <n v="35000"/>
    <n v="0.35"/>
    <x v="1"/>
  </r>
  <r>
    <x v="0"/>
    <n v="1185732"/>
    <x v="323"/>
    <x v="3"/>
    <s v="Illinois"/>
    <s v="Chicago"/>
    <x v="3"/>
    <n v="40"/>
    <n v="200"/>
    <n v="80000"/>
    <n v="32000"/>
    <n v="0.4"/>
    <x v="1"/>
  </r>
  <r>
    <x v="0"/>
    <n v="1185732"/>
    <x v="324"/>
    <x v="3"/>
    <s v="Illinois"/>
    <s v="Chicago"/>
    <x v="4"/>
    <n v="50"/>
    <n v="225"/>
    <n v="112500"/>
    <n v="39375"/>
    <n v="0.35"/>
    <x v="1"/>
  </r>
  <r>
    <x v="0"/>
    <n v="1185732"/>
    <x v="325"/>
    <x v="3"/>
    <s v="Illinois"/>
    <s v="Chicago"/>
    <x v="5"/>
    <n v="55.000000000000007"/>
    <n v="400"/>
    <n v="220000.00000000003"/>
    <n v="110000.00000000001"/>
    <n v="0.5"/>
    <x v="1"/>
  </r>
  <r>
    <x v="0"/>
    <n v="1185732"/>
    <x v="326"/>
    <x v="3"/>
    <s v="Illinois"/>
    <s v="Chicago"/>
    <x v="0"/>
    <n v="50"/>
    <n v="550"/>
    <n v="275000"/>
    <n v="110000"/>
    <n v="0.4"/>
    <x v="1"/>
  </r>
  <r>
    <x v="0"/>
    <n v="1185732"/>
    <x v="327"/>
    <x v="3"/>
    <s v="Illinois"/>
    <s v="Chicago"/>
    <x v="1"/>
    <n v="45.000000000000007"/>
    <n v="325"/>
    <n v="146250.00000000003"/>
    <n v="51187.500000000007"/>
    <n v="0.35"/>
    <x v="1"/>
  </r>
  <r>
    <x v="0"/>
    <n v="1185732"/>
    <x v="328"/>
    <x v="3"/>
    <s v="Illinois"/>
    <s v="Chicago"/>
    <x v="2"/>
    <n v="40"/>
    <n v="250"/>
    <n v="100000"/>
    <n v="35000"/>
    <n v="0.35"/>
    <x v="1"/>
  </r>
  <r>
    <x v="0"/>
    <n v="1185732"/>
    <x v="329"/>
    <x v="3"/>
    <s v="Illinois"/>
    <s v="Chicago"/>
    <x v="3"/>
    <n v="40"/>
    <n v="225"/>
    <n v="90000"/>
    <n v="36000"/>
    <n v="0.4"/>
    <x v="1"/>
  </r>
  <r>
    <x v="0"/>
    <n v="1185732"/>
    <x v="330"/>
    <x v="3"/>
    <s v="Illinois"/>
    <s v="Chicago"/>
    <x v="4"/>
    <n v="50"/>
    <n v="200"/>
    <n v="100000"/>
    <n v="35000"/>
    <n v="0.35"/>
    <x v="1"/>
  </r>
  <r>
    <x v="0"/>
    <n v="1185732"/>
    <x v="331"/>
    <x v="3"/>
    <s v="Illinois"/>
    <s v="Chicago"/>
    <x v="5"/>
    <n v="55.000000000000007"/>
    <n v="375"/>
    <n v="206250.00000000003"/>
    <n v="103125.00000000001"/>
    <n v="0.5"/>
    <x v="1"/>
  </r>
  <r>
    <x v="0"/>
    <n v="1185732"/>
    <x v="332"/>
    <x v="3"/>
    <s v="Illinois"/>
    <s v="Chicago"/>
    <x v="0"/>
    <n v="50"/>
    <n v="500"/>
    <n v="250000"/>
    <n v="100000"/>
    <n v="0.4"/>
    <x v="1"/>
  </r>
  <r>
    <x v="0"/>
    <n v="1185732"/>
    <x v="333"/>
    <x v="3"/>
    <s v="Illinois"/>
    <s v="Chicago"/>
    <x v="1"/>
    <n v="45.000000000000007"/>
    <n v="300"/>
    <n v="135000.00000000003"/>
    <n v="47250.000000000007"/>
    <n v="0.35"/>
    <x v="1"/>
  </r>
  <r>
    <x v="0"/>
    <n v="1185732"/>
    <x v="334"/>
    <x v="3"/>
    <s v="Illinois"/>
    <s v="Chicago"/>
    <x v="2"/>
    <n v="40"/>
    <n v="200"/>
    <n v="80000"/>
    <n v="28000"/>
    <n v="0.35"/>
    <x v="1"/>
  </r>
  <r>
    <x v="0"/>
    <n v="1185732"/>
    <x v="335"/>
    <x v="3"/>
    <s v="Illinois"/>
    <s v="Chicago"/>
    <x v="3"/>
    <n v="40"/>
    <n v="175"/>
    <n v="70000"/>
    <n v="28000"/>
    <n v="0.4"/>
    <x v="1"/>
  </r>
  <r>
    <x v="0"/>
    <n v="1185732"/>
    <x v="336"/>
    <x v="3"/>
    <s v="Illinois"/>
    <s v="Chicago"/>
    <x v="4"/>
    <n v="50"/>
    <n v="175"/>
    <n v="87500"/>
    <n v="30624.999999999996"/>
    <n v="0.35"/>
    <x v="1"/>
  </r>
  <r>
    <x v="0"/>
    <n v="1185732"/>
    <x v="337"/>
    <x v="3"/>
    <s v="Illinois"/>
    <s v="Chicago"/>
    <x v="5"/>
    <n v="55.000000000000007"/>
    <n v="250"/>
    <n v="137500.00000000003"/>
    <n v="68750.000000000015"/>
    <n v="0.5"/>
    <x v="1"/>
  </r>
  <r>
    <x v="0"/>
    <n v="1185732"/>
    <x v="338"/>
    <x v="3"/>
    <s v="Illinois"/>
    <s v="Chicago"/>
    <x v="0"/>
    <n v="60"/>
    <n v="425"/>
    <n v="255000"/>
    <n v="102000"/>
    <n v="0.4"/>
    <x v="1"/>
  </r>
  <r>
    <x v="0"/>
    <n v="1185732"/>
    <x v="339"/>
    <x v="3"/>
    <s v="Illinois"/>
    <s v="Chicago"/>
    <x v="1"/>
    <n v="50"/>
    <n v="250"/>
    <n v="125000"/>
    <n v="43750"/>
    <n v="0.35"/>
    <x v="1"/>
  </r>
  <r>
    <x v="0"/>
    <n v="1185732"/>
    <x v="340"/>
    <x v="3"/>
    <s v="Illinois"/>
    <s v="Chicago"/>
    <x v="2"/>
    <n v="50"/>
    <n v="150"/>
    <n v="75000"/>
    <n v="26250"/>
    <n v="0.35"/>
    <x v="1"/>
  </r>
  <r>
    <x v="0"/>
    <n v="1185732"/>
    <x v="341"/>
    <x v="3"/>
    <s v="Illinois"/>
    <s v="Chicago"/>
    <x v="3"/>
    <n v="50"/>
    <n v="125"/>
    <n v="62500"/>
    <n v="25000"/>
    <n v="0.4"/>
    <x v="1"/>
  </r>
  <r>
    <x v="0"/>
    <n v="1185732"/>
    <x v="342"/>
    <x v="3"/>
    <s v="Illinois"/>
    <s v="Chicago"/>
    <x v="4"/>
    <n v="60"/>
    <n v="125"/>
    <n v="75000"/>
    <n v="26250"/>
    <n v="0.35"/>
    <x v="1"/>
  </r>
  <r>
    <x v="0"/>
    <n v="1185732"/>
    <x v="343"/>
    <x v="3"/>
    <s v="Illinois"/>
    <s v="Chicago"/>
    <x v="5"/>
    <n v="64.999999999999986"/>
    <n v="250"/>
    <n v="162499.99999999997"/>
    <n v="81249.999999999985"/>
    <n v="0.5"/>
    <x v="1"/>
  </r>
  <r>
    <x v="0"/>
    <n v="1185732"/>
    <x v="344"/>
    <x v="3"/>
    <s v="Illinois"/>
    <s v="Chicago"/>
    <x v="0"/>
    <n v="60"/>
    <n v="400"/>
    <n v="240000"/>
    <n v="96000"/>
    <n v="0.4"/>
    <x v="1"/>
  </r>
  <r>
    <x v="0"/>
    <n v="1185732"/>
    <x v="345"/>
    <x v="3"/>
    <s v="Illinois"/>
    <s v="Chicago"/>
    <x v="1"/>
    <n v="50"/>
    <n v="250"/>
    <n v="125000"/>
    <n v="43750"/>
    <n v="0.35"/>
    <x v="1"/>
  </r>
  <r>
    <x v="0"/>
    <n v="1185732"/>
    <x v="346"/>
    <x v="3"/>
    <s v="Illinois"/>
    <s v="Chicago"/>
    <x v="2"/>
    <n v="50"/>
    <n v="195"/>
    <n v="97500"/>
    <n v="34125"/>
    <n v="0.35"/>
    <x v="1"/>
  </r>
  <r>
    <x v="0"/>
    <n v="1185732"/>
    <x v="347"/>
    <x v="3"/>
    <s v="Illinois"/>
    <s v="Chicago"/>
    <x v="3"/>
    <n v="50"/>
    <n v="175"/>
    <n v="87500"/>
    <n v="35000"/>
    <n v="0.4"/>
    <x v="1"/>
  </r>
  <r>
    <x v="0"/>
    <n v="1185732"/>
    <x v="348"/>
    <x v="3"/>
    <s v="Illinois"/>
    <s v="Chicago"/>
    <x v="4"/>
    <n v="60"/>
    <n v="150"/>
    <n v="90000"/>
    <n v="31499.999999999996"/>
    <n v="0.35"/>
    <x v="1"/>
  </r>
  <r>
    <x v="0"/>
    <n v="1185732"/>
    <x v="349"/>
    <x v="3"/>
    <s v="Illinois"/>
    <s v="Chicago"/>
    <x v="5"/>
    <n v="64.999999999999986"/>
    <n v="250"/>
    <n v="162499.99999999997"/>
    <n v="81249.999999999985"/>
    <n v="0.5"/>
    <x v="1"/>
  </r>
  <r>
    <x v="0"/>
    <n v="1185732"/>
    <x v="350"/>
    <x v="3"/>
    <s v="Illinois"/>
    <s v="Chicago"/>
    <x v="0"/>
    <n v="60"/>
    <n v="500"/>
    <n v="300000"/>
    <n v="120000"/>
    <n v="0.4"/>
    <x v="1"/>
  </r>
  <r>
    <x v="0"/>
    <n v="1185732"/>
    <x v="351"/>
    <x v="3"/>
    <s v="Illinois"/>
    <s v="Chicago"/>
    <x v="1"/>
    <n v="50"/>
    <n v="300"/>
    <n v="150000"/>
    <n v="52500"/>
    <n v="0.35"/>
    <x v="1"/>
  </r>
  <r>
    <x v="0"/>
    <n v="1185732"/>
    <x v="352"/>
    <x v="3"/>
    <s v="Illinois"/>
    <s v="Chicago"/>
    <x v="2"/>
    <n v="50"/>
    <n v="250"/>
    <n v="125000"/>
    <n v="43750"/>
    <n v="0.35"/>
    <x v="1"/>
  </r>
  <r>
    <x v="0"/>
    <n v="1185732"/>
    <x v="353"/>
    <x v="3"/>
    <s v="Illinois"/>
    <s v="Chicago"/>
    <x v="3"/>
    <n v="50"/>
    <n v="200"/>
    <n v="100000"/>
    <n v="40000"/>
    <n v="0.4"/>
    <x v="1"/>
  </r>
  <r>
    <x v="0"/>
    <n v="1185732"/>
    <x v="354"/>
    <x v="3"/>
    <s v="Illinois"/>
    <s v="Chicago"/>
    <x v="4"/>
    <n v="60"/>
    <n v="200"/>
    <n v="120000"/>
    <n v="42000"/>
    <n v="0.35"/>
    <x v="1"/>
  </r>
  <r>
    <x v="0"/>
    <n v="1185732"/>
    <x v="355"/>
    <x v="3"/>
    <s v="Illinois"/>
    <s v="Chicago"/>
    <x v="5"/>
    <n v="64.999999999999986"/>
    <n v="300"/>
    <n v="194999.99999999997"/>
    <n v="97499.999999999985"/>
    <n v="0.5"/>
    <x v="1"/>
  </r>
  <r>
    <x v="2"/>
    <n v="1197831"/>
    <x v="356"/>
    <x v="3"/>
    <s v="Illinois"/>
    <s v="Chicago"/>
    <x v="0"/>
    <n v="20"/>
    <n v="725"/>
    <n v="145000"/>
    <n v="43500"/>
    <n v="0.3"/>
    <x v="1"/>
  </r>
  <r>
    <x v="2"/>
    <n v="1197831"/>
    <x v="357"/>
    <x v="3"/>
    <s v="Illinois"/>
    <s v="Chicago"/>
    <x v="1"/>
    <n v="30"/>
    <n v="725"/>
    <n v="217500"/>
    <n v="65250"/>
    <n v="0.3"/>
    <x v="1"/>
  </r>
  <r>
    <x v="2"/>
    <n v="1197831"/>
    <x v="358"/>
    <x v="3"/>
    <s v="Illinois"/>
    <s v="Chicago"/>
    <x v="2"/>
    <n v="30"/>
    <n v="525"/>
    <n v="157500"/>
    <n v="47250"/>
    <n v="0.3"/>
    <x v="1"/>
  </r>
  <r>
    <x v="2"/>
    <n v="1197831"/>
    <x v="359"/>
    <x v="3"/>
    <s v="Illinois"/>
    <s v="Chicago"/>
    <x v="3"/>
    <n v="35"/>
    <n v="525"/>
    <n v="183750"/>
    <n v="73500"/>
    <n v="0.4"/>
    <x v="1"/>
  </r>
  <r>
    <x v="2"/>
    <n v="1197831"/>
    <x v="360"/>
    <x v="1"/>
    <s v="Texas"/>
    <s v="Dallas"/>
    <x v="4"/>
    <n v="40"/>
    <n v="375"/>
    <n v="150000"/>
    <n v="37500"/>
    <n v="0.25"/>
    <x v="1"/>
  </r>
  <r>
    <x v="2"/>
    <n v="1197831"/>
    <x v="361"/>
    <x v="1"/>
    <s v="Texas"/>
    <s v="Dallas"/>
    <x v="5"/>
    <n v="35"/>
    <n v="525"/>
    <n v="183750"/>
    <n v="82687.5"/>
    <n v="0.45"/>
    <x v="1"/>
  </r>
  <r>
    <x v="2"/>
    <n v="1197831"/>
    <x v="362"/>
    <x v="1"/>
    <s v="Texas"/>
    <s v="Dallas"/>
    <x v="0"/>
    <n v="25"/>
    <n v="675"/>
    <n v="168750"/>
    <n v="50625"/>
    <n v="0.3"/>
    <x v="1"/>
  </r>
  <r>
    <x v="2"/>
    <n v="1197831"/>
    <x v="363"/>
    <x v="1"/>
    <s v="Texas"/>
    <s v="Dallas"/>
    <x v="1"/>
    <n v="35"/>
    <n v="650"/>
    <n v="227500"/>
    <n v="68250"/>
    <n v="0.3"/>
    <x v="1"/>
  </r>
  <r>
    <x v="2"/>
    <n v="1197831"/>
    <x v="364"/>
    <x v="1"/>
    <s v="Texas"/>
    <s v="Dallas"/>
    <x v="2"/>
    <n v="35"/>
    <n v="475"/>
    <n v="166250"/>
    <n v="49875"/>
    <n v="0.3"/>
    <x v="1"/>
  </r>
  <r>
    <x v="2"/>
    <n v="1197831"/>
    <x v="365"/>
    <x v="1"/>
    <s v="Texas"/>
    <s v="Dallas"/>
    <x v="3"/>
    <n v="35"/>
    <n v="425"/>
    <n v="148750"/>
    <n v="59500"/>
    <n v="0.4"/>
    <x v="1"/>
  </r>
  <r>
    <x v="2"/>
    <n v="1197831"/>
    <x v="366"/>
    <x v="1"/>
    <s v="Texas"/>
    <s v="Dallas"/>
    <x v="4"/>
    <n v="40"/>
    <n v="300"/>
    <n v="120000"/>
    <n v="30000"/>
    <n v="0.25"/>
    <x v="1"/>
  </r>
  <r>
    <x v="2"/>
    <n v="1197831"/>
    <x v="367"/>
    <x v="1"/>
    <s v="Texas"/>
    <s v="Dallas"/>
    <x v="5"/>
    <n v="35"/>
    <n v="500"/>
    <n v="175000"/>
    <n v="78750"/>
    <n v="0.45"/>
    <x v="1"/>
  </r>
  <r>
    <x v="2"/>
    <n v="1197831"/>
    <x v="368"/>
    <x v="1"/>
    <s v="Texas"/>
    <s v="Dallas"/>
    <x v="0"/>
    <n v="30"/>
    <n v="675"/>
    <n v="202500"/>
    <n v="70875"/>
    <n v="0.35"/>
    <x v="1"/>
  </r>
  <r>
    <x v="2"/>
    <n v="1197831"/>
    <x v="369"/>
    <x v="1"/>
    <s v="Texas"/>
    <s v="Dallas"/>
    <x v="1"/>
    <n v="40"/>
    <n v="675"/>
    <n v="270000"/>
    <n v="94500"/>
    <n v="0.35"/>
    <x v="1"/>
  </r>
  <r>
    <x v="2"/>
    <n v="1197831"/>
    <x v="370"/>
    <x v="1"/>
    <s v="Texas"/>
    <s v="Dallas"/>
    <x v="2"/>
    <n v="30"/>
    <n v="500"/>
    <n v="150000"/>
    <n v="52500"/>
    <n v="0.35"/>
    <x v="1"/>
  </r>
  <r>
    <x v="2"/>
    <n v="1197831"/>
    <x v="371"/>
    <x v="1"/>
    <s v="Texas"/>
    <s v="Dallas"/>
    <x v="3"/>
    <n v="35"/>
    <n v="400"/>
    <n v="140000"/>
    <n v="63000"/>
    <n v="0.45"/>
    <x v="1"/>
  </r>
  <r>
    <x v="2"/>
    <n v="1197831"/>
    <x v="372"/>
    <x v="1"/>
    <s v="Texas"/>
    <s v="Dallas"/>
    <x v="4"/>
    <n v="40"/>
    <n v="300"/>
    <n v="120000"/>
    <n v="36000"/>
    <n v="0.3"/>
    <x v="1"/>
  </r>
  <r>
    <x v="2"/>
    <n v="1197831"/>
    <x v="373"/>
    <x v="1"/>
    <s v="Texas"/>
    <s v="Dallas"/>
    <x v="5"/>
    <n v="35"/>
    <n v="450"/>
    <n v="157500"/>
    <n v="78750"/>
    <n v="0.5"/>
    <x v="1"/>
  </r>
  <r>
    <x v="2"/>
    <n v="1197831"/>
    <x v="374"/>
    <x v="1"/>
    <s v="Texas"/>
    <s v="Dallas"/>
    <x v="0"/>
    <n v="20"/>
    <n v="700"/>
    <n v="140000"/>
    <n v="49000"/>
    <n v="0.35"/>
    <x v="1"/>
  </r>
  <r>
    <x v="2"/>
    <n v="1197831"/>
    <x v="375"/>
    <x v="1"/>
    <s v="Texas"/>
    <s v="Dallas"/>
    <x v="1"/>
    <n v="30.000000000000004"/>
    <n v="700"/>
    <n v="210000.00000000003"/>
    <n v="73500"/>
    <n v="0.35"/>
    <x v="1"/>
  </r>
  <r>
    <x v="2"/>
    <n v="1197831"/>
    <x v="376"/>
    <x v="1"/>
    <s v="Texas"/>
    <s v="Dallas"/>
    <x v="2"/>
    <n v="24.999999999999996"/>
    <n v="525"/>
    <n v="131249.99999999997"/>
    <n v="45937.499999999985"/>
    <n v="0.35"/>
    <x v="1"/>
  </r>
  <r>
    <x v="2"/>
    <n v="1197831"/>
    <x v="377"/>
    <x v="1"/>
    <s v="Texas"/>
    <s v="Dallas"/>
    <x v="3"/>
    <n v="30.000000000000004"/>
    <n v="425"/>
    <n v="127500.00000000001"/>
    <n v="57375.000000000007"/>
    <n v="0.45"/>
    <x v="1"/>
  </r>
  <r>
    <x v="2"/>
    <n v="1197831"/>
    <x v="378"/>
    <x v="1"/>
    <s v="Texas"/>
    <s v="Dallas"/>
    <x v="4"/>
    <n v="35"/>
    <n v="325"/>
    <n v="113750"/>
    <n v="34125"/>
    <n v="0.3"/>
    <x v="1"/>
  </r>
  <r>
    <x v="2"/>
    <n v="1197831"/>
    <x v="379"/>
    <x v="1"/>
    <s v="Texas"/>
    <s v="Dallas"/>
    <x v="5"/>
    <n v="30.000000000000004"/>
    <n v="600"/>
    <n v="180000.00000000003"/>
    <n v="90000.000000000015"/>
    <n v="0.5"/>
    <x v="1"/>
  </r>
  <r>
    <x v="2"/>
    <n v="1197831"/>
    <x v="380"/>
    <x v="1"/>
    <s v="Texas"/>
    <s v="Dallas"/>
    <x v="0"/>
    <n v="20"/>
    <n v="750"/>
    <n v="150000"/>
    <n v="52500"/>
    <n v="0.35"/>
    <x v="1"/>
  </r>
  <r>
    <x v="2"/>
    <n v="1197831"/>
    <x v="381"/>
    <x v="1"/>
    <s v="Texas"/>
    <s v="Dallas"/>
    <x v="1"/>
    <n v="30.000000000000004"/>
    <n v="775"/>
    <n v="232500.00000000003"/>
    <n v="81375"/>
    <n v="0.35"/>
    <x v="1"/>
  </r>
  <r>
    <x v="2"/>
    <n v="1197831"/>
    <x v="382"/>
    <x v="1"/>
    <s v="Texas"/>
    <s v="Dallas"/>
    <x v="2"/>
    <n v="24.999999999999996"/>
    <n v="625"/>
    <n v="156249.99999999997"/>
    <n v="54687.499999999985"/>
    <n v="0.35"/>
    <x v="1"/>
  </r>
  <r>
    <x v="2"/>
    <n v="1197831"/>
    <x v="383"/>
    <x v="1"/>
    <s v="Texas"/>
    <s v="Dallas"/>
    <x v="3"/>
    <n v="35"/>
    <n v="550"/>
    <n v="192500"/>
    <n v="86625"/>
    <n v="0.45"/>
    <x v="1"/>
  </r>
  <r>
    <x v="2"/>
    <n v="1197831"/>
    <x v="384"/>
    <x v="1"/>
    <s v="Texas"/>
    <s v="Dallas"/>
    <x v="4"/>
    <n v="50"/>
    <n v="450"/>
    <n v="225000"/>
    <n v="67500"/>
    <n v="0.3"/>
    <x v="1"/>
  </r>
  <r>
    <x v="2"/>
    <n v="1197831"/>
    <x v="385"/>
    <x v="1"/>
    <s v="Texas"/>
    <s v="Dallas"/>
    <x v="5"/>
    <n v="45"/>
    <n v="800"/>
    <n v="360000"/>
    <n v="180000"/>
    <n v="0.5"/>
    <x v="1"/>
  </r>
  <r>
    <x v="2"/>
    <n v="1197831"/>
    <x v="386"/>
    <x v="1"/>
    <s v="Texas"/>
    <s v="Dallas"/>
    <x v="0"/>
    <n v="45"/>
    <n v="800"/>
    <n v="360000"/>
    <n v="125999.99999999999"/>
    <n v="0.35"/>
    <x v="1"/>
  </r>
  <r>
    <x v="2"/>
    <n v="1197831"/>
    <x v="387"/>
    <x v="1"/>
    <s v="Texas"/>
    <s v="Dallas"/>
    <x v="1"/>
    <n v="50"/>
    <n v="800"/>
    <n v="400000"/>
    <n v="140000"/>
    <n v="0.35"/>
    <x v="1"/>
  </r>
  <r>
    <x v="2"/>
    <n v="1197831"/>
    <x v="388"/>
    <x v="1"/>
    <s v="Texas"/>
    <s v="Dallas"/>
    <x v="2"/>
    <n v="45"/>
    <n v="650"/>
    <n v="292500"/>
    <n v="102375"/>
    <n v="0.35"/>
    <x v="1"/>
  </r>
  <r>
    <x v="2"/>
    <n v="1197831"/>
    <x v="389"/>
    <x v="1"/>
    <s v="Texas"/>
    <s v="Dallas"/>
    <x v="3"/>
    <n v="45"/>
    <n v="600"/>
    <n v="270000"/>
    <n v="121500"/>
    <n v="0.45"/>
    <x v="1"/>
  </r>
  <r>
    <x v="2"/>
    <n v="1197831"/>
    <x v="390"/>
    <x v="1"/>
    <s v="Texas"/>
    <s v="Dallas"/>
    <x v="4"/>
    <n v="50"/>
    <n v="500"/>
    <n v="250000"/>
    <n v="75000"/>
    <n v="0.3"/>
    <x v="1"/>
  </r>
  <r>
    <x v="2"/>
    <n v="1197831"/>
    <x v="391"/>
    <x v="1"/>
    <s v="Texas"/>
    <s v="Dallas"/>
    <x v="5"/>
    <n v="55.000000000000007"/>
    <n v="875"/>
    <n v="481250.00000000006"/>
    <n v="240625.00000000003"/>
    <n v="0.5"/>
    <x v="1"/>
  </r>
  <r>
    <x v="2"/>
    <n v="1197831"/>
    <x v="392"/>
    <x v="1"/>
    <s v="Texas"/>
    <s v="Dallas"/>
    <x v="0"/>
    <n v="45"/>
    <n v="825"/>
    <n v="371250"/>
    <n v="148500"/>
    <n v="0.39999999999999997"/>
    <x v="1"/>
  </r>
  <r>
    <x v="2"/>
    <n v="1197831"/>
    <x v="393"/>
    <x v="1"/>
    <s v="Texas"/>
    <s v="Dallas"/>
    <x v="1"/>
    <n v="50"/>
    <n v="825"/>
    <n v="412500"/>
    <n v="165000"/>
    <n v="0.39999999999999997"/>
    <x v="1"/>
  </r>
  <r>
    <x v="2"/>
    <n v="1197831"/>
    <x v="394"/>
    <x v="1"/>
    <s v="Texas"/>
    <s v="Dallas"/>
    <x v="2"/>
    <n v="45"/>
    <n v="975"/>
    <n v="438750"/>
    <n v="175499.99999999997"/>
    <n v="0.39999999999999997"/>
    <x v="1"/>
  </r>
  <r>
    <x v="2"/>
    <n v="1197831"/>
    <x v="395"/>
    <x v="1"/>
    <s v="Texas"/>
    <s v="Dallas"/>
    <x v="3"/>
    <n v="45"/>
    <n v="575"/>
    <n v="258750"/>
    <n v="129375"/>
    <n v="0.5"/>
    <x v="1"/>
  </r>
  <r>
    <x v="2"/>
    <n v="1197831"/>
    <x v="396"/>
    <x v="1"/>
    <s v="Texas"/>
    <s v="Dallas"/>
    <x v="4"/>
    <n v="50"/>
    <n v="575"/>
    <n v="287500"/>
    <n v="100625"/>
    <n v="0.35"/>
    <x v="1"/>
  </r>
  <r>
    <x v="2"/>
    <n v="1197831"/>
    <x v="397"/>
    <x v="1"/>
    <s v="Texas"/>
    <s v="Dallas"/>
    <x v="5"/>
    <n v="60"/>
    <n v="850"/>
    <n v="510000"/>
    <n v="280500"/>
    <n v="0.55000000000000004"/>
    <x v="1"/>
  </r>
  <r>
    <x v="2"/>
    <n v="1197831"/>
    <x v="398"/>
    <x v="1"/>
    <s v="Texas"/>
    <s v="Dallas"/>
    <x v="0"/>
    <n v="50"/>
    <n v="800"/>
    <n v="400000"/>
    <n v="160000"/>
    <n v="0.39999999999999997"/>
    <x v="1"/>
  </r>
  <r>
    <x v="2"/>
    <n v="1197831"/>
    <x v="399"/>
    <x v="1"/>
    <s v="Texas"/>
    <s v="Dallas"/>
    <x v="1"/>
    <n v="55.000000000000007"/>
    <n v="800"/>
    <n v="440000.00000000006"/>
    <n v="176000"/>
    <n v="0.39999999999999997"/>
    <x v="1"/>
  </r>
  <r>
    <x v="2"/>
    <n v="1197831"/>
    <x v="400"/>
    <x v="1"/>
    <s v="Texas"/>
    <s v="Dallas"/>
    <x v="2"/>
    <n v="50"/>
    <n v="975"/>
    <n v="487500"/>
    <n v="194999.99999999997"/>
    <n v="0.39999999999999997"/>
    <x v="1"/>
  </r>
  <r>
    <x v="2"/>
    <n v="1197831"/>
    <x v="401"/>
    <x v="1"/>
    <s v="Texas"/>
    <s v="Dallas"/>
    <x v="3"/>
    <n v="50"/>
    <n v="525"/>
    <n v="262500"/>
    <n v="131250"/>
    <n v="0.5"/>
    <x v="1"/>
  </r>
  <r>
    <x v="2"/>
    <n v="1197831"/>
    <x v="402"/>
    <x v="1"/>
    <s v="Texas"/>
    <s v="Dallas"/>
    <x v="4"/>
    <n v="55.000000000000007"/>
    <n v="525"/>
    <n v="288750.00000000006"/>
    <n v="101062.50000000001"/>
    <n v="0.35"/>
    <x v="1"/>
  </r>
  <r>
    <x v="2"/>
    <n v="1197831"/>
    <x v="403"/>
    <x v="1"/>
    <s v="Texas"/>
    <s v="Dallas"/>
    <x v="5"/>
    <n v="60"/>
    <n v="775"/>
    <n v="465000"/>
    <n v="255750.00000000003"/>
    <n v="0.55000000000000004"/>
    <x v="1"/>
  </r>
  <r>
    <x v="2"/>
    <n v="1197831"/>
    <x v="404"/>
    <x v="1"/>
    <s v="Texas"/>
    <s v="Dallas"/>
    <x v="0"/>
    <n v="55.000000000000007"/>
    <n v="725"/>
    <n v="398750.00000000006"/>
    <n v="159500"/>
    <n v="0.39999999999999997"/>
    <x v="1"/>
  </r>
  <r>
    <x v="2"/>
    <n v="1197831"/>
    <x v="405"/>
    <x v="1"/>
    <s v="Texas"/>
    <s v="Dallas"/>
    <x v="1"/>
    <n v="55.000000000000007"/>
    <n v="675"/>
    <n v="371250.00000000006"/>
    <n v="148500"/>
    <n v="0.39999999999999997"/>
    <x v="1"/>
  </r>
  <r>
    <x v="2"/>
    <n v="1197831"/>
    <x v="406"/>
    <x v="1"/>
    <s v="Texas"/>
    <s v="Dallas"/>
    <x v="2"/>
    <n v="60"/>
    <n v="725"/>
    <n v="435000"/>
    <n v="174000"/>
    <n v="0.39999999999999997"/>
    <x v="1"/>
  </r>
  <r>
    <x v="2"/>
    <n v="1197831"/>
    <x v="407"/>
    <x v="1"/>
    <s v="Texas"/>
    <s v="Dallas"/>
    <x v="3"/>
    <n v="60"/>
    <n v="450"/>
    <n v="270000"/>
    <n v="135000"/>
    <n v="0.5"/>
    <x v="1"/>
  </r>
  <r>
    <x v="2"/>
    <n v="1197831"/>
    <x v="408"/>
    <x v="1"/>
    <s v="Texas"/>
    <s v="Dallas"/>
    <x v="4"/>
    <n v="55.000000000000007"/>
    <n v="450"/>
    <n v="247500.00000000003"/>
    <n v="86625"/>
    <n v="0.35"/>
    <x v="1"/>
  </r>
  <r>
    <x v="2"/>
    <n v="1197831"/>
    <x v="409"/>
    <x v="1"/>
    <s v="Texas"/>
    <s v="Dallas"/>
    <x v="5"/>
    <n v="50"/>
    <n v="675"/>
    <n v="337500"/>
    <n v="185625.00000000003"/>
    <n v="0.55000000000000004"/>
    <x v="1"/>
  </r>
  <r>
    <x v="2"/>
    <n v="1197831"/>
    <x v="410"/>
    <x v="1"/>
    <s v="Texas"/>
    <s v="Dallas"/>
    <x v="0"/>
    <n v="40"/>
    <n v="625"/>
    <n v="250000"/>
    <n v="99999.999999999985"/>
    <n v="0.39999999999999997"/>
    <x v="1"/>
  </r>
  <r>
    <x v="2"/>
    <n v="1197831"/>
    <x v="411"/>
    <x v="1"/>
    <s v="Texas"/>
    <s v="Dallas"/>
    <x v="1"/>
    <n v="40"/>
    <n v="625"/>
    <n v="250000"/>
    <n v="99999.999999999985"/>
    <n v="0.39999999999999997"/>
    <x v="1"/>
  </r>
  <r>
    <x v="2"/>
    <n v="1197831"/>
    <x v="412"/>
    <x v="1"/>
    <s v="Texas"/>
    <s v="Dallas"/>
    <x v="2"/>
    <n v="45"/>
    <n v="575"/>
    <n v="258750"/>
    <n v="103499.99999999999"/>
    <n v="0.39999999999999997"/>
    <x v="1"/>
  </r>
  <r>
    <x v="2"/>
    <n v="1197831"/>
    <x v="413"/>
    <x v="1"/>
    <s v="Texas"/>
    <s v="Dallas"/>
    <x v="3"/>
    <n v="45"/>
    <n v="425"/>
    <n v="191250"/>
    <n v="95625"/>
    <n v="0.5"/>
    <x v="1"/>
  </r>
  <r>
    <x v="2"/>
    <n v="1197831"/>
    <x v="414"/>
    <x v="1"/>
    <s v="Texas"/>
    <s v="Dallas"/>
    <x v="4"/>
    <n v="40"/>
    <n v="400"/>
    <n v="160000"/>
    <n v="56000"/>
    <n v="0.35"/>
    <x v="1"/>
  </r>
  <r>
    <x v="2"/>
    <n v="1197831"/>
    <x v="415"/>
    <x v="1"/>
    <s v="Texas"/>
    <s v="Dallas"/>
    <x v="5"/>
    <n v="50"/>
    <n v="575"/>
    <n v="287500"/>
    <n v="158125"/>
    <n v="0.55000000000000004"/>
    <x v="1"/>
  </r>
  <r>
    <x v="2"/>
    <n v="1197831"/>
    <x v="416"/>
    <x v="1"/>
    <s v="Texas"/>
    <s v="Dallas"/>
    <x v="0"/>
    <n v="40"/>
    <n v="725"/>
    <n v="290000"/>
    <n v="115999.99999999999"/>
    <n v="0.39999999999999997"/>
    <x v="1"/>
  </r>
  <r>
    <x v="2"/>
    <n v="1197831"/>
    <x v="417"/>
    <x v="1"/>
    <s v="Texas"/>
    <s v="Dallas"/>
    <x v="1"/>
    <n v="40"/>
    <n v="725"/>
    <n v="290000"/>
    <n v="115999.99999999999"/>
    <n v="0.39999999999999997"/>
    <x v="1"/>
  </r>
  <r>
    <x v="2"/>
    <n v="1197831"/>
    <x v="418"/>
    <x v="1"/>
    <s v="Texas"/>
    <s v="Dallas"/>
    <x v="2"/>
    <n v="65"/>
    <n v="650"/>
    <n v="422500"/>
    <n v="169000"/>
    <n v="0.39999999999999997"/>
    <x v="1"/>
  </r>
  <r>
    <x v="2"/>
    <n v="1197831"/>
    <x v="419"/>
    <x v="1"/>
    <s v="Texas"/>
    <s v="Dallas"/>
    <x v="3"/>
    <n v="65"/>
    <n v="500"/>
    <n v="325000"/>
    <n v="162500"/>
    <n v="0.5"/>
    <x v="1"/>
  </r>
  <r>
    <x v="2"/>
    <n v="1197831"/>
    <x v="420"/>
    <x v="1"/>
    <s v="Texas"/>
    <s v="Dallas"/>
    <x v="4"/>
    <n v="60"/>
    <n v="475"/>
    <n v="285000"/>
    <n v="99750"/>
    <n v="0.35"/>
    <x v="1"/>
  </r>
  <r>
    <x v="2"/>
    <n v="1197831"/>
    <x v="421"/>
    <x v="1"/>
    <s v="Texas"/>
    <s v="Dallas"/>
    <x v="5"/>
    <n v="70"/>
    <n v="675"/>
    <n v="472500"/>
    <n v="259875.00000000003"/>
    <n v="0.55000000000000004"/>
    <x v="1"/>
  </r>
  <r>
    <x v="2"/>
    <n v="1197831"/>
    <x v="422"/>
    <x v="1"/>
    <s v="Texas"/>
    <s v="Dallas"/>
    <x v="0"/>
    <n v="60"/>
    <n v="825"/>
    <n v="495000"/>
    <n v="197999.99999999997"/>
    <n v="0.39999999999999997"/>
    <x v="1"/>
  </r>
  <r>
    <x v="2"/>
    <n v="1197831"/>
    <x v="423"/>
    <x v="1"/>
    <s v="Texas"/>
    <s v="Dallas"/>
    <x v="1"/>
    <n v="60"/>
    <n v="825"/>
    <n v="495000"/>
    <n v="197999.99999999997"/>
    <n v="0.39999999999999997"/>
    <x v="1"/>
  </r>
  <r>
    <x v="2"/>
    <n v="1197831"/>
    <x v="424"/>
    <x v="1"/>
    <s v="Texas"/>
    <s v="Dallas"/>
    <x v="2"/>
    <n v="65"/>
    <n v="725"/>
    <n v="471250"/>
    <n v="188499.99999999997"/>
    <n v="0.39999999999999997"/>
    <x v="1"/>
  </r>
  <r>
    <x v="2"/>
    <n v="1197831"/>
    <x v="425"/>
    <x v="1"/>
    <s v="Texas"/>
    <s v="Dallas"/>
    <x v="3"/>
    <n v="65"/>
    <n v="575"/>
    <n v="373750"/>
    <n v="186875"/>
    <n v="0.5"/>
    <x v="1"/>
  </r>
  <r>
    <x v="2"/>
    <n v="1197831"/>
    <x v="426"/>
    <x v="1"/>
    <s v="Texas"/>
    <s v="Dallas"/>
    <x v="4"/>
    <n v="60"/>
    <n v="525"/>
    <n v="315000"/>
    <n v="110250"/>
    <n v="0.35"/>
    <x v="1"/>
  </r>
  <r>
    <x v="2"/>
    <n v="1197831"/>
    <x v="427"/>
    <x v="1"/>
    <s v="Texas"/>
    <s v="Dallas"/>
    <x v="5"/>
    <n v="70"/>
    <n v="775"/>
    <n v="542500"/>
    <n v="298375"/>
    <n v="0.55000000000000004"/>
    <x v="1"/>
  </r>
  <r>
    <x v="0"/>
    <n v="1185732"/>
    <x v="428"/>
    <x v="1"/>
    <s v="Texas"/>
    <s v="Dallas"/>
    <x v="0"/>
    <n v="45"/>
    <n v="425"/>
    <n v="191250"/>
    <n v="105187.50000000001"/>
    <n v="0.55000000000000004"/>
    <x v="1"/>
  </r>
  <r>
    <x v="0"/>
    <n v="1185732"/>
    <x v="429"/>
    <x v="1"/>
    <s v="Texas"/>
    <s v="Dallas"/>
    <x v="1"/>
    <n v="45"/>
    <n v="225"/>
    <n v="101250"/>
    <n v="35437.5"/>
    <n v="0.35"/>
    <x v="1"/>
  </r>
  <r>
    <x v="0"/>
    <n v="1185732"/>
    <x v="430"/>
    <x v="1"/>
    <s v="Texas"/>
    <s v="Dallas"/>
    <x v="2"/>
    <n v="35"/>
    <n v="225"/>
    <n v="78750"/>
    <n v="31499.999999999996"/>
    <n v="0.39999999999999997"/>
    <x v="1"/>
  </r>
  <r>
    <x v="0"/>
    <n v="1185732"/>
    <x v="431"/>
    <x v="1"/>
    <s v="Texas"/>
    <s v="Dallas"/>
    <x v="3"/>
    <n v="40"/>
    <n v="75"/>
    <n v="30000"/>
    <n v="11999.999999999998"/>
    <n v="0.39999999999999997"/>
    <x v="1"/>
  </r>
  <r>
    <x v="0"/>
    <n v="1185732"/>
    <x v="432"/>
    <x v="0"/>
    <s v="Pennsylvania"/>
    <s v="Philadelphia"/>
    <x v="4"/>
    <n v="54.999999999999993"/>
    <n v="125"/>
    <n v="68749.999999999985"/>
    <n v="24062.499999999993"/>
    <n v="0.35"/>
    <x v="1"/>
  </r>
  <r>
    <x v="0"/>
    <n v="1185732"/>
    <x v="433"/>
    <x v="0"/>
    <s v="Pennsylvania"/>
    <s v="Philadelphia"/>
    <x v="5"/>
    <n v="45"/>
    <n v="225"/>
    <n v="101250"/>
    <n v="30375"/>
    <n v="0.3"/>
    <x v="1"/>
  </r>
  <r>
    <x v="0"/>
    <n v="1185732"/>
    <x v="434"/>
    <x v="0"/>
    <s v="Pennsylvania"/>
    <s v="Philadelphia"/>
    <x v="0"/>
    <n v="45"/>
    <n v="475"/>
    <n v="213750"/>
    <n v="117562.50000000001"/>
    <n v="0.55000000000000004"/>
    <x v="1"/>
  </r>
  <r>
    <x v="0"/>
    <n v="1185732"/>
    <x v="435"/>
    <x v="0"/>
    <s v="Pennsylvania"/>
    <s v="Philadelphia"/>
    <x v="1"/>
    <n v="45"/>
    <n v="125"/>
    <n v="56250"/>
    <n v="19687.5"/>
    <n v="0.35"/>
    <x v="1"/>
  </r>
  <r>
    <x v="0"/>
    <n v="1185732"/>
    <x v="436"/>
    <x v="0"/>
    <s v="Pennsylvania"/>
    <s v="Philadelphia"/>
    <x v="2"/>
    <n v="35"/>
    <n v="175"/>
    <n v="61250"/>
    <n v="24499.999999999996"/>
    <n v="0.39999999999999997"/>
    <x v="1"/>
  </r>
  <r>
    <x v="0"/>
    <n v="1185732"/>
    <x v="437"/>
    <x v="0"/>
    <s v="Pennsylvania"/>
    <s v="Philadelphia"/>
    <x v="3"/>
    <n v="40"/>
    <n v="50"/>
    <n v="20000"/>
    <n v="7999.9999999999991"/>
    <n v="0.39999999999999997"/>
    <x v="1"/>
  </r>
  <r>
    <x v="0"/>
    <n v="1185732"/>
    <x v="438"/>
    <x v="0"/>
    <s v="Pennsylvania"/>
    <s v="Philadelphia"/>
    <x v="4"/>
    <n v="54.999999999999993"/>
    <n v="125"/>
    <n v="68749.999999999985"/>
    <n v="24062.499999999993"/>
    <n v="0.35"/>
    <x v="1"/>
  </r>
  <r>
    <x v="0"/>
    <n v="1185732"/>
    <x v="439"/>
    <x v="0"/>
    <s v="Pennsylvania"/>
    <s v="Philadelphia"/>
    <x v="5"/>
    <n v="45"/>
    <n v="225"/>
    <n v="101250"/>
    <n v="30375"/>
    <n v="0.3"/>
    <x v="1"/>
  </r>
  <r>
    <x v="0"/>
    <n v="1185732"/>
    <x v="440"/>
    <x v="0"/>
    <s v="Pennsylvania"/>
    <s v="Philadelphia"/>
    <x v="0"/>
    <n v="50"/>
    <n v="445"/>
    <n v="222500"/>
    <n v="122375.00000000001"/>
    <n v="0.55000000000000004"/>
    <x v="1"/>
  </r>
  <r>
    <x v="0"/>
    <n v="1185732"/>
    <x v="441"/>
    <x v="0"/>
    <s v="Pennsylvania"/>
    <s v="Philadelphia"/>
    <x v="1"/>
    <n v="50"/>
    <n v="150"/>
    <n v="75000"/>
    <n v="26250"/>
    <n v="0.35"/>
    <x v="1"/>
  </r>
  <r>
    <x v="0"/>
    <n v="1185732"/>
    <x v="442"/>
    <x v="0"/>
    <s v="Pennsylvania"/>
    <s v="Philadelphia"/>
    <x v="2"/>
    <n v="40"/>
    <n v="175"/>
    <n v="70000"/>
    <n v="27999.999999999996"/>
    <n v="0.39999999999999997"/>
    <x v="1"/>
  </r>
  <r>
    <x v="0"/>
    <n v="1185732"/>
    <x v="443"/>
    <x v="0"/>
    <s v="Pennsylvania"/>
    <s v="Philadelphia"/>
    <x v="3"/>
    <n v="45"/>
    <n v="25"/>
    <n v="11250"/>
    <n v="4500"/>
    <n v="0.39999999999999997"/>
    <x v="1"/>
  </r>
  <r>
    <x v="0"/>
    <n v="1185732"/>
    <x v="444"/>
    <x v="0"/>
    <s v="Pennsylvania"/>
    <s v="Philadelphia"/>
    <x v="4"/>
    <n v="60"/>
    <n v="75"/>
    <n v="45000"/>
    <n v="13500"/>
    <n v="0.3"/>
    <x v="1"/>
  </r>
  <r>
    <x v="0"/>
    <n v="1185732"/>
    <x v="445"/>
    <x v="0"/>
    <s v="Pennsylvania"/>
    <s v="Philadelphia"/>
    <x v="5"/>
    <n v="50"/>
    <n v="175"/>
    <n v="87500"/>
    <n v="21875"/>
    <n v="0.25"/>
    <x v="1"/>
  </r>
  <r>
    <x v="0"/>
    <n v="1185732"/>
    <x v="446"/>
    <x v="0"/>
    <s v="Pennsylvania"/>
    <s v="Philadelphia"/>
    <x v="0"/>
    <n v="50"/>
    <n v="450"/>
    <n v="225000"/>
    <n v="112500"/>
    <n v="0.5"/>
    <x v="1"/>
  </r>
  <r>
    <x v="0"/>
    <n v="1185732"/>
    <x v="447"/>
    <x v="0"/>
    <s v="Pennsylvania"/>
    <s v="Philadelphia"/>
    <x v="1"/>
    <n v="50"/>
    <n v="150"/>
    <n v="75000"/>
    <n v="22500"/>
    <n v="0.3"/>
    <x v="1"/>
  </r>
  <r>
    <x v="0"/>
    <n v="1185732"/>
    <x v="448"/>
    <x v="0"/>
    <s v="Pennsylvania"/>
    <s v="Philadelphia"/>
    <x v="2"/>
    <n v="40"/>
    <n v="150"/>
    <n v="60000"/>
    <n v="21000"/>
    <n v="0.35"/>
    <x v="1"/>
  </r>
  <r>
    <x v="0"/>
    <n v="1185732"/>
    <x v="449"/>
    <x v="0"/>
    <s v="Pennsylvania"/>
    <s v="Philadelphia"/>
    <x v="3"/>
    <n v="45"/>
    <n v="75"/>
    <n v="33750"/>
    <n v="11812.5"/>
    <n v="0.35"/>
    <x v="1"/>
  </r>
  <r>
    <x v="0"/>
    <n v="1185732"/>
    <x v="450"/>
    <x v="0"/>
    <s v="Pennsylvania"/>
    <s v="Philadelphia"/>
    <x v="4"/>
    <n v="60"/>
    <n v="75"/>
    <n v="45000"/>
    <n v="13500"/>
    <n v="0.3"/>
    <x v="1"/>
  </r>
  <r>
    <x v="0"/>
    <n v="1185732"/>
    <x v="451"/>
    <x v="0"/>
    <s v="Pennsylvania"/>
    <s v="Philadelphia"/>
    <x v="5"/>
    <n v="50"/>
    <n v="200"/>
    <n v="100000"/>
    <n v="25000"/>
    <n v="0.25"/>
    <x v="1"/>
  </r>
  <r>
    <x v="0"/>
    <n v="1185732"/>
    <x v="452"/>
    <x v="0"/>
    <s v="Pennsylvania"/>
    <s v="Philadelphia"/>
    <x v="0"/>
    <n v="60"/>
    <n v="470"/>
    <n v="282000"/>
    <n v="141000"/>
    <n v="0.5"/>
    <x v="1"/>
  </r>
  <r>
    <x v="0"/>
    <n v="1185732"/>
    <x v="453"/>
    <x v="0"/>
    <s v="Pennsylvania"/>
    <s v="Philadelphia"/>
    <x v="1"/>
    <n v="60.000000000000007"/>
    <n v="175"/>
    <n v="105000.00000000001"/>
    <n v="31500.000000000004"/>
    <n v="0.3"/>
    <x v="1"/>
  </r>
  <r>
    <x v="0"/>
    <n v="1185732"/>
    <x v="454"/>
    <x v="0"/>
    <s v="Pennsylvania"/>
    <s v="Philadelphia"/>
    <x v="2"/>
    <n v="55.000000000000007"/>
    <n v="150"/>
    <n v="82500.000000000015"/>
    <n v="28875.000000000004"/>
    <n v="0.35"/>
    <x v="1"/>
  </r>
  <r>
    <x v="0"/>
    <n v="1185732"/>
    <x v="455"/>
    <x v="0"/>
    <s v="Pennsylvania"/>
    <s v="Philadelphia"/>
    <x v="3"/>
    <n v="55.000000000000007"/>
    <n v="100"/>
    <n v="55000.000000000007"/>
    <n v="19250"/>
    <n v="0.35"/>
    <x v="1"/>
  </r>
  <r>
    <x v="0"/>
    <n v="1185732"/>
    <x v="456"/>
    <x v="0"/>
    <s v="Pennsylvania"/>
    <s v="Philadelphia"/>
    <x v="4"/>
    <n v="65"/>
    <n v="125"/>
    <n v="81250"/>
    <n v="24375"/>
    <n v="0.3"/>
    <x v="1"/>
  </r>
  <r>
    <x v="0"/>
    <n v="1185732"/>
    <x v="457"/>
    <x v="0"/>
    <s v="Pennsylvania"/>
    <s v="Philadelphia"/>
    <x v="5"/>
    <n v="70"/>
    <n v="250"/>
    <n v="175000"/>
    <n v="52500"/>
    <n v="0.3"/>
    <x v="1"/>
  </r>
  <r>
    <x v="0"/>
    <n v="1185732"/>
    <x v="458"/>
    <x v="0"/>
    <s v="Pennsylvania"/>
    <s v="Philadelphia"/>
    <x v="0"/>
    <n v="65"/>
    <n v="500"/>
    <n v="325000"/>
    <n v="178750"/>
    <n v="0.55000000000000004"/>
    <x v="1"/>
  </r>
  <r>
    <x v="0"/>
    <n v="1185732"/>
    <x v="459"/>
    <x v="0"/>
    <s v="Pennsylvania"/>
    <s v="Philadelphia"/>
    <x v="1"/>
    <n v="60.000000000000007"/>
    <n v="250"/>
    <n v="150000.00000000003"/>
    <n v="52500.000000000007"/>
    <n v="0.35"/>
    <x v="1"/>
  </r>
  <r>
    <x v="0"/>
    <n v="1185732"/>
    <x v="460"/>
    <x v="0"/>
    <s v="Pennsylvania"/>
    <s v="Philadelphia"/>
    <x v="2"/>
    <n v="55.000000000000007"/>
    <n v="175"/>
    <n v="96250.000000000015"/>
    <n v="38500"/>
    <n v="0.39999999999999997"/>
    <x v="1"/>
  </r>
  <r>
    <x v="0"/>
    <n v="1185732"/>
    <x v="461"/>
    <x v="0"/>
    <s v="Pennsylvania"/>
    <s v="Philadelphia"/>
    <x v="3"/>
    <n v="55.000000000000007"/>
    <n v="150"/>
    <n v="82500.000000000015"/>
    <n v="33000"/>
    <n v="0.39999999999999997"/>
    <x v="1"/>
  </r>
  <r>
    <x v="0"/>
    <n v="1185732"/>
    <x v="462"/>
    <x v="0"/>
    <s v="Pennsylvania"/>
    <s v="Philadelphia"/>
    <x v="4"/>
    <n v="65"/>
    <n v="150"/>
    <n v="97500"/>
    <n v="34125"/>
    <n v="0.35"/>
    <x v="1"/>
  </r>
  <r>
    <x v="0"/>
    <n v="1185732"/>
    <x v="463"/>
    <x v="0"/>
    <s v="Pennsylvania"/>
    <s v="Philadelphia"/>
    <x v="5"/>
    <n v="70"/>
    <n v="300"/>
    <n v="210000"/>
    <n v="63000"/>
    <n v="0.3"/>
    <x v="1"/>
  </r>
  <r>
    <x v="0"/>
    <n v="1185732"/>
    <x v="464"/>
    <x v="0"/>
    <s v="Pennsylvania"/>
    <s v="Philadelphia"/>
    <x v="0"/>
    <n v="65"/>
    <n v="500"/>
    <n v="325000"/>
    <n v="178750"/>
    <n v="0.55000000000000004"/>
    <x v="1"/>
  </r>
  <r>
    <x v="0"/>
    <n v="1185732"/>
    <x v="465"/>
    <x v="0"/>
    <s v="Pennsylvania"/>
    <s v="Philadelphia"/>
    <x v="1"/>
    <n v="60.000000000000007"/>
    <n v="300"/>
    <n v="180000.00000000003"/>
    <n v="63000.000000000007"/>
    <n v="0.35"/>
    <x v="1"/>
  </r>
  <r>
    <x v="0"/>
    <n v="1185732"/>
    <x v="466"/>
    <x v="0"/>
    <s v="Pennsylvania"/>
    <s v="Philadelphia"/>
    <x v="2"/>
    <n v="55.000000000000007"/>
    <n v="225"/>
    <n v="123750.00000000001"/>
    <n v="49500"/>
    <n v="0.39999999999999997"/>
    <x v="1"/>
  </r>
  <r>
    <x v="0"/>
    <n v="1185732"/>
    <x v="467"/>
    <x v="0"/>
    <s v="Pennsylvania"/>
    <s v="Philadelphia"/>
    <x v="3"/>
    <n v="55.000000000000007"/>
    <n v="175"/>
    <n v="96250.000000000015"/>
    <n v="38500"/>
    <n v="0.39999999999999997"/>
    <x v="1"/>
  </r>
  <r>
    <x v="0"/>
    <n v="1185732"/>
    <x v="468"/>
    <x v="0"/>
    <s v="Pennsylvania"/>
    <s v="Philadelphia"/>
    <x v="4"/>
    <n v="65"/>
    <n v="200"/>
    <n v="130000"/>
    <n v="45500"/>
    <n v="0.35"/>
    <x v="1"/>
  </r>
  <r>
    <x v="0"/>
    <n v="1185732"/>
    <x v="469"/>
    <x v="0"/>
    <s v="Pennsylvania"/>
    <s v="Philadelphia"/>
    <x v="5"/>
    <n v="70"/>
    <n v="375"/>
    <n v="262500"/>
    <n v="78750"/>
    <n v="0.3"/>
    <x v="1"/>
  </r>
  <r>
    <x v="0"/>
    <n v="1185732"/>
    <x v="470"/>
    <x v="0"/>
    <s v="Pennsylvania"/>
    <s v="Philadelphia"/>
    <x v="0"/>
    <n v="65"/>
    <n v="525"/>
    <n v="341250"/>
    <n v="187687.50000000003"/>
    <n v="0.55000000000000004"/>
    <x v="1"/>
  </r>
  <r>
    <x v="0"/>
    <n v="1185732"/>
    <x v="471"/>
    <x v="0"/>
    <s v="Pennsylvania"/>
    <s v="Philadelphia"/>
    <x v="1"/>
    <n v="60.000000000000007"/>
    <n v="300"/>
    <n v="180000.00000000003"/>
    <n v="63000.000000000007"/>
    <n v="0.35"/>
    <x v="1"/>
  </r>
  <r>
    <x v="0"/>
    <n v="1185732"/>
    <x v="472"/>
    <x v="0"/>
    <s v="Pennsylvania"/>
    <s v="Philadelphia"/>
    <x v="2"/>
    <n v="55.000000000000007"/>
    <n v="225"/>
    <n v="123750.00000000001"/>
    <n v="49500"/>
    <n v="0.39999999999999997"/>
    <x v="1"/>
  </r>
  <r>
    <x v="0"/>
    <n v="1185732"/>
    <x v="473"/>
    <x v="0"/>
    <s v="Pennsylvania"/>
    <s v="Philadelphia"/>
    <x v="3"/>
    <n v="55.000000000000007"/>
    <n v="200"/>
    <n v="110000.00000000001"/>
    <n v="44000"/>
    <n v="0.39999999999999997"/>
    <x v="1"/>
  </r>
  <r>
    <x v="0"/>
    <n v="1185732"/>
    <x v="474"/>
    <x v="0"/>
    <s v="Pennsylvania"/>
    <s v="Philadelphia"/>
    <x v="4"/>
    <n v="65"/>
    <n v="175"/>
    <n v="113750"/>
    <n v="39812.5"/>
    <n v="0.35"/>
    <x v="1"/>
  </r>
  <r>
    <x v="0"/>
    <n v="1185732"/>
    <x v="475"/>
    <x v="0"/>
    <s v="Pennsylvania"/>
    <s v="Philadelphia"/>
    <x v="5"/>
    <n v="70"/>
    <n v="350"/>
    <n v="245000"/>
    <n v="73500"/>
    <n v="0.3"/>
    <x v="1"/>
  </r>
  <r>
    <x v="0"/>
    <n v="1185732"/>
    <x v="476"/>
    <x v="0"/>
    <s v="Pennsylvania"/>
    <s v="Philadelphia"/>
    <x v="0"/>
    <n v="65"/>
    <n v="475"/>
    <n v="308750"/>
    <n v="154375"/>
    <n v="0.5"/>
    <x v="1"/>
  </r>
  <r>
    <x v="0"/>
    <n v="1185732"/>
    <x v="477"/>
    <x v="0"/>
    <s v="Pennsylvania"/>
    <s v="Philadelphia"/>
    <x v="1"/>
    <n v="50"/>
    <n v="275"/>
    <n v="137500"/>
    <n v="41250"/>
    <n v="0.3"/>
    <x v="1"/>
  </r>
  <r>
    <x v="0"/>
    <n v="1185732"/>
    <x v="478"/>
    <x v="0"/>
    <s v="Pennsylvania"/>
    <s v="Philadelphia"/>
    <x v="2"/>
    <n v="45"/>
    <n v="200"/>
    <n v="90000"/>
    <n v="31499.999999999996"/>
    <n v="0.35"/>
    <x v="1"/>
  </r>
  <r>
    <x v="0"/>
    <n v="1185732"/>
    <x v="479"/>
    <x v="0"/>
    <s v="Pennsylvania"/>
    <s v="Philadelphia"/>
    <x v="3"/>
    <n v="45"/>
    <n v="175"/>
    <n v="78750"/>
    <n v="27562.5"/>
    <n v="0.35"/>
    <x v="1"/>
  </r>
  <r>
    <x v="0"/>
    <n v="1185732"/>
    <x v="480"/>
    <x v="0"/>
    <s v="Pennsylvania"/>
    <s v="Philadelphia"/>
    <x v="4"/>
    <n v="54.999999999999993"/>
    <n v="125"/>
    <n v="68749.999999999985"/>
    <n v="20624.999999999996"/>
    <n v="0.3"/>
    <x v="1"/>
  </r>
  <r>
    <x v="0"/>
    <n v="1185732"/>
    <x v="481"/>
    <x v="0"/>
    <s v="Pennsylvania"/>
    <s v="Philadelphia"/>
    <x v="5"/>
    <n v="60"/>
    <n v="225"/>
    <n v="135000"/>
    <n v="33750"/>
    <n v="0.25"/>
    <x v="1"/>
  </r>
  <r>
    <x v="0"/>
    <n v="1185732"/>
    <x v="482"/>
    <x v="0"/>
    <s v="Pennsylvania"/>
    <s v="Philadelphia"/>
    <x v="0"/>
    <n v="60"/>
    <n v="400"/>
    <n v="240000"/>
    <n v="120000"/>
    <n v="0.5"/>
    <x v="1"/>
  </r>
  <r>
    <x v="0"/>
    <n v="1185732"/>
    <x v="483"/>
    <x v="0"/>
    <s v="Pennsylvania"/>
    <s v="Philadelphia"/>
    <x v="1"/>
    <n v="50"/>
    <n v="225"/>
    <n v="112500"/>
    <n v="33750"/>
    <n v="0.3"/>
    <x v="1"/>
  </r>
  <r>
    <x v="0"/>
    <n v="1185732"/>
    <x v="484"/>
    <x v="0"/>
    <s v="Pennsylvania"/>
    <s v="Philadelphia"/>
    <x v="2"/>
    <n v="50"/>
    <n v="125"/>
    <n v="62500"/>
    <n v="21875"/>
    <n v="0.35"/>
    <x v="1"/>
  </r>
  <r>
    <x v="0"/>
    <n v="1185732"/>
    <x v="485"/>
    <x v="0"/>
    <s v="Pennsylvania"/>
    <s v="Philadelphia"/>
    <x v="3"/>
    <n v="50"/>
    <n v="100"/>
    <n v="50000"/>
    <n v="17500"/>
    <n v="0.35"/>
    <x v="1"/>
  </r>
  <r>
    <x v="0"/>
    <n v="1185732"/>
    <x v="486"/>
    <x v="0"/>
    <s v="Pennsylvania"/>
    <s v="Philadelphia"/>
    <x v="4"/>
    <n v="60"/>
    <n v="100"/>
    <n v="60000"/>
    <n v="18000"/>
    <n v="0.3"/>
    <x v="1"/>
  </r>
  <r>
    <x v="0"/>
    <n v="1185732"/>
    <x v="487"/>
    <x v="0"/>
    <s v="Pennsylvania"/>
    <s v="Philadelphia"/>
    <x v="5"/>
    <n v="64.999999999999986"/>
    <n v="225"/>
    <n v="146249.99999999997"/>
    <n v="36562.499999999993"/>
    <n v="0.25"/>
    <x v="1"/>
  </r>
  <r>
    <x v="0"/>
    <n v="1185732"/>
    <x v="488"/>
    <x v="0"/>
    <s v="Pennsylvania"/>
    <s v="Philadelphia"/>
    <x v="0"/>
    <n v="70"/>
    <n v="375"/>
    <n v="262500"/>
    <n v="144375"/>
    <n v="0.55000000000000004"/>
    <x v="1"/>
  </r>
  <r>
    <x v="0"/>
    <n v="1185732"/>
    <x v="489"/>
    <x v="0"/>
    <s v="Pennsylvania"/>
    <s v="Philadelphia"/>
    <x v="1"/>
    <n v="60.000000000000007"/>
    <n v="200"/>
    <n v="120000.00000000001"/>
    <n v="42000"/>
    <n v="0.35"/>
    <x v="1"/>
  </r>
  <r>
    <x v="0"/>
    <n v="1185732"/>
    <x v="490"/>
    <x v="0"/>
    <s v="Pennsylvania"/>
    <s v="Philadelphia"/>
    <x v="2"/>
    <n v="60.000000000000007"/>
    <n v="195"/>
    <n v="117000.00000000001"/>
    <n v="46800"/>
    <n v="0.39999999999999997"/>
    <x v="1"/>
  </r>
  <r>
    <x v="0"/>
    <n v="1185732"/>
    <x v="491"/>
    <x v="0"/>
    <s v="Pennsylvania"/>
    <s v="Philadelphia"/>
    <x v="3"/>
    <n v="60.000000000000007"/>
    <n v="175"/>
    <n v="105000.00000000001"/>
    <n v="42000"/>
    <n v="0.39999999999999997"/>
    <x v="1"/>
  </r>
  <r>
    <x v="0"/>
    <n v="1185732"/>
    <x v="492"/>
    <x v="0"/>
    <s v="Pennsylvania"/>
    <s v="Philadelphia"/>
    <x v="4"/>
    <n v="70"/>
    <n v="150"/>
    <n v="105000"/>
    <n v="36750"/>
    <n v="0.35"/>
    <x v="1"/>
  </r>
  <r>
    <x v="0"/>
    <n v="1185732"/>
    <x v="493"/>
    <x v="0"/>
    <s v="Pennsylvania"/>
    <s v="Philadelphia"/>
    <x v="5"/>
    <n v="75"/>
    <n v="250"/>
    <n v="187500"/>
    <n v="56250"/>
    <n v="0.3"/>
    <x v="1"/>
  </r>
  <r>
    <x v="0"/>
    <n v="1185732"/>
    <x v="494"/>
    <x v="0"/>
    <s v="Pennsylvania"/>
    <s v="Philadelphia"/>
    <x v="0"/>
    <n v="70"/>
    <n v="475"/>
    <n v="332500"/>
    <n v="182875.00000000003"/>
    <n v="0.55000000000000004"/>
    <x v="1"/>
  </r>
  <r>
    <x v="0"/>
    <n v="1185732"/>
    <x v="495"/>
    <x v="0"/>
    <s v="Pennsylvania"/>
    <s v="Philadelphia"/>
    <x v="1"/>
    <n v="60.000000000000007"/>
    <n v="275"/>
    <n v="165000.00000000003"/>
    <n v="57750.000000000007"/>
    <n v="0.35"/>
    <x v="1"/>
  </r>
  <r>
    <x v="0"/>
    <n v="1185732"/>
    <x v="496"/>
    <x v="0"/>
    <s v="Pennsylvania"/>
    <s v="Philadelphia"/>
    <x v="2"/>
    <n v="60.000000000000007"/>
    <n v="225"/>
    <n v="135000.00000000003"/>
    <n v="54000.000000000007"/>
    <n v="0.39999999999999997"/>
    <x v="1"/>
  </r>
  <r>
    <x v="0"/>
    <n v="1185732"/>
    <x v="497"/>
    <x v="0"/>
    <s v="Pennsylvania"/>
    <s v="Philadelphia"/>
    <x v="3"/>
    <n v="60.000000000000007"/>
    <n v="175"/>
    <n v="105000.00000000001"/>
    <n v="42000"/>
    <n v="0.39999999999999997"/>
    <x v="1"/>
  </r>
  <r>
    <x v="0"/>
    <n v="1185732"/>
    <x v="498"/>
    <x v="0"/>
    <s v="Pennsylvania"/>
    <s v="Philadelphia"/>
    <x v="4"/>
    <n v="70"/>
    <n v="175"/>
    <n v="122500"/>
    <n v="42875"/>
    <n v="0.35"/>
    <x v="1"/>
  </r>
  <r>
    <x v="0"/>
    <n v="1185732"/>
    <x v="0"/>
    <x v="0"/>
    <s v="Pennsylvania"/>
    <s v="Philadelphia"/>
    <x v="5"/>
    <n v="75"/>
    <n v="275"/>
    <n v="206250"/>
    <n v="61875"/>
    <n v="0.3"/>
    <x v="1"/>
  </r>
  <r>
    <x v="3"/>
    <n v="1128299"/>
    <x v="1"/>
    <x v="0"/>
    <s v="Pennsylvania"/>
    <s v="Philadelphia"/>
    <x v="0"/>
    <n v="35"/>
    <n v="450"/>
    <n v="157500"/>
    <n v="63000"/>
    <n v="0.4"/>
    <x v="1"/>
  </r>
  <r>
    <x v="3"/>
    <n v="1128299"/>
    <x v="2"/>
    <x v="0"/>
    <s v="Pennsylvania"/>
    <s v="Philadelphia"/>
    <x v="1"/>
    <n v="45"/>
    <n v="450"/>
    <n v="202500"/>
    <n v="50625"/>
    <n v="0.25"/>
    <x v="1"/>
  </r>
  <r>
    <x v="3"/>
    <n v="1128299"/>
    <x v="3"/>
    <x v="0"/>
    <s v="Pennsylvania"/>
    <s v="Philadelphia"/>
    <x v="2"/>
    <n v="45"/>
    <n v="450"/>
    <n v="202500"/>
    <n v="81000"/>
    <n v="0.4"/>
    <x v="1"/>
  </r>
  <r>
    <x v="3"/>
    <n v="1128299"/>
    <x v="4"/>
    <x v="0"/>
    <s v="Pennsylvania"/>
    <s v="Philadelphia"/>
    <x v="3"/>
    <n v="45"/>
    <n v="300"/>
    <n v="135000"/>
    <n v="47250"/>
    <n v="0.35"/>
    <x v="1"/>
  </r>
  <r>
    <x v="3"/>
    <n v="1128299"/>
    <x v="5"/>
    <x v="2"/>
    <s v="Nevada"/>
    <s v="Las Vegas"/>
    <x v="4"/>
    <n v="50"/>
    <n v="250"/>
    <n v="125000"/>
    <n v="68750"/>
    <n v="0.55000000000000004"/>
    <x v="1"/>
  </r>
  <r>
    <x v="3"/>
    <n v="1128299"/>
    <x v="6"/>
    <x v="2"/>
    <s v="Nevada"/>
    <s v="Las Vegas"/>
    <x v="5"/>
    <n v="45"/>
    <n v="475"/>
    <n v="213750"/>
    <n v="42750"/>
    <n v="0.2"/>
    <x v="1"/>
  </r>
  <r>
    <x v="3"/>
    <n v="1128299"/>
    <x v="7"/>
    <x v="2"/>
    <s v="Nevada"/>
    <s v="Las Vegas"/>
    <x v="0"/>
    <n v="35"/>
    <n v="525"/>
    <n v="183750"/>
    <n v="73500"/>
    <n v="0.4"/>
    <x v="1"/>
  </r>
  <r>
    <x v="3"/>
    <n v="1128299"/>
    <x v="499"/>
    <x v="2"/>
    <s v="Nevada"/>
    <s v="Las Vegas"/>
    <x v="1"/>
    <n v="45"/>
    <n v="425"/>
    <n v="191250"/>
    <n v="47812.5"/>
    <n v="0.25"/>
    <x v="1"/>
  </r>
  <r>
    <x v="3"/>
    <n v="1128299"/>
    <x v="500"/>
    <x v="2"/>
    <s v="Nevada"/>
    <s v="Las Vegas"/>
    <x v="2"/>
    <n v="45"/>
    <n v="425"/>
    <n v="191250"/>
    <n v="76500"/>
    <n v="0.4"/>
    <x v="1"/>
  </r>
  <r>
    <x v="3"/>
    <n v="1128299"/>
    <x v="501"/>
    <x v="2"/>
    <s v="Nevada"/>
    <s v="Las Vegas"/>
    <x v="3"/>
    <n v="45"/>
    <n v="275"/>
    <n v="123750"/>
    <n v="43312.5"/>
    <n v="0.35"/>
    <x v="1"/>
  </r>
  <r>
    <x v="3"/>
    <n v="1128299"/>
    <x v="502"/>
    <x v="2"/>
    <s v="Nevada"/>
    <s v="Las Vegas"/>
    <x v="4"/>
    <n v="50"/>
    <n v="200"/>
    <n v="100000"/>
    <n v="55000.000000000007"/>
    <n v="0.55000000000000004"/>
    <x v="1"/>
  </r>
  <r>
    <x v="3"/>
    <n v="1128299"/>
    <x v="503"/>
    <x v="2"/>
    <s v="Nevada"/>
    <s v="Las Vegas"/>
    <x v="5"/>
    <n v="45"/>
    <n v="400"/>
    <n v="180000"/>
    <n v="36000"/>
    <n v="0.2"/>
    <x v="1"/>
  </r>
  <r>
    <x v="3"/>
    <n v="1128299"/>
    <x v="504"/>
    <x v="2"/>
    <s v="Nevada"/>
    <s v="Las Vegas"/>
    <x v="0"/>
    <n v="45"/>
    <n v="550"/>
    <n v="247500"/>
    <n v="99000"/>
    <n v="0.4"/>
    <x v="1"/>
  </r>
  <r>
    <x v="3"/>
    <n v="1128299"/>
    <x v="505"/>
    <x v="2"/>
    <s v="Nevada"/>
    <s v="Las Vegas"/>
    <x v="1"/>
    <n v="54.999999999999993"/>
    <n v="400"/>
    <n v="219999.99999999997"/>
    <n v="54999.999999999993"/>
    <n v="0.25"/>
    <x v="1"/>
  </r>
  <r>
    <x v="3"/>
    <n v="1128299"/>
    <x v="506"/>
    <x v="2"/>
    <s v="Nevada"/>
    <s v="Las Vegas"/>
    <x v="2"/>
    <n v="54.999999999999993"/>
    <n v="400"/>
    <n v="219999.99999999997"/>
    <n v="88000"/>
    <n v="0.4"/>
    <x v="1"/>
  </r>
  <r>
    <x v="3"/>
    <n v="1128299"/>
    <x v="507"/>
    <x v="2"/>
    <s v="Nevada"/>
    <s v="Las Vegas"/>
    <x v="3"/>
    <n v="54.999999999999993"/>
    <n v="300"/>
    <n v="164999.99999999997"/>
    <n v="57749.999999999985"/>
    <n v="0.35"/>
    <x v="1"/>
  </r>
  <r>
    <x v="3"/>
    <n v="1128299"/>
    <x v="508"/>
    <x v="2"/>
    <s v="Nevada"/>
    <s v="Las Vegas"/>
    <x v="4"/>
    <n v="60"/>
    <n v="175"/>
    <n v="105000"/>
    <n v="57750.000000000007"/>
    <n v="0.55000000000000004"/>
    <x v="1"/>
  </r>
  <r>
    <x v="3"/>
    <n v="1128299"/>
    <x v="509"/>
    <x v="2"/>
    <s v="Nevada"/>
    <s v="Las Vegas"/>
    <x v="5"/>
    <n v="54.999999999999993"/>
    <n v="375"/>
    <n v="206249.99999999997"/>
    <n v="41250"/>
    <n v="0.2"/>
    <x v="1"/>
  </r>
  <r>
    <x v="3"/>
    <n v="1128299"/>
    <x v="510"/>
    <x v="2"/>
    <s v="Nevada"/>
    <s v="Las Vegas"/>
    <x v="0"/>
    <n v="60"/>
    <n v="550"/>
    <n v="330000"/>
    <n v="132000"/>
    <n v="0.4"/>
    <x v="1"/>
  </r>
  <r>
    <x v="3"/>
    <n v="1128299"/>
    <x v="8"/>
    <x v="2"/>
    <s v="Nevada"/>
    <s v="Las Vegas"/>
    <x v="1"/>
    <n v="65"/>
    <n v="350"/>
    <n v="227500"/>
    <n v="56875"/>
    <n v="0.25"/>
    <x v="1"/>
  </r>
  <r>
    <x v="3"/>
    <n v="1128299"/>
    <x v="9"/>
    <x v="2"/>
    <s v="Nevada"/>
    <s v="Las Vegas"/>
    <x v="2"/>
    <n v="65"/>
    <n v="400"/>
    <n v="260000"/>
    <n v="104000"/>
    <n v="0.4"/>
    <x v="1"/>
  </r>
  <r>
    <x v="3"/>
    <n v="1128299"/>
    <x v="10"/>
    <x v="2"/>
    <s v="Nevada"/>
    <s v="Las Vegas"/>
    <x v="3"/>
    <n v="60"/>
    <n v="300"/>
    <n v="180000"/>
    <n v="62999.999999999993"/>
    <n v="0.35"/>
    <x v="1"/>
  </r>
  <r>
    <x v="3"/>
    <n v="1128299"/>
    <x v="11"/>
    <x v="2"/>
    <s v="Nevada"/>
    <s v="Las Vegas"/>
    <x v="4"/>
    <n v="65"/>
    <n v="200"/>
    <n v="130000"/>
    <n v="71500"/>
    <n v="0.55000000000000004"/>
    <x v="1"/>
  </r>
  <r>
    <x v="3"/>
    <n v="1128299"/>
    <x v="12"/>
    <x v="2"/>
    <s v="Nevada"/>
    <s v="Las Vegas"/>
    <x v="5"/>
    <n v="80"/>
    <n v="350"/>
    <n v="280000"/>
    <n v="56000"/>
    <n v="0.2"/>
    <x v="1"/>
  </r>
  <r>
    <x v="3"/>
    <n v="1128299"/>
    <x v="13"/>
    <x v="2"/>
    <s v="Nevada"/>
    <s v="Las Vegas"/>
    <x v="0"/>
    <n v="60"/>
    <n v="550"/>
    <n v="330000"/>
    <n v="148500"/>
    <n v="0.45"/>
    <x v="1"/>
  </r>
  <r>
    <x v="3"/>
    <n v="1128299"/>
    <x v="14"/>
    <x v="2"/>
    <s v="Nevada"/>
    <s v="Las Vegas"/>
    <x v="1"/>
    <n v="65"/>
    <n v="400"/>
    <n v="260000"/>
    <n v="78000"/>
    <n v="0.3"/>
    <x v="1"/>
  </r>
  <r>
    <x v="3"/>
    <n v="1128299"/>
    <x v="15"/>
    <x v="2"/>
    <s v="Nevada"/>
    <s v="Las Vegas"/>
    <x v="2"/>
    <n v="65"/>
    <n v="400"/>
    <n v="260000"/>
    <n v="117000"/>
    <n v="0.45"/>
    <x v="1"/>
  </r>
  <r>
    <x v="3"/>
    <n v="1128299"/>
    <x v="16"/>
    <x v="2"/>
    <s v="Nevada"/>
    <s v="Las Vegas"/>
    <x v="3"/>
    <n v="60"/>
    <n v="300"/>
    <n v="180000"/>
    <n v="72000"/>
    <n v="0.39999999999999997"/>
    <x v="1"/>
  </r>
  <r>
    <x v="3"/>
    <n v="1128299"/>
    <x v="17"/>
    <x v="2"/>
    <s v="Nevada"/>
    <s v="Las Vegas"/>
    <x v="4"/>
    <n v="65"/>
    <n v="200"/>
    <n v="130000"/>
    <n v="78000.000000000015"/>
    <n v="0.60000000000000009"/>
    <x v="1"/>
  </r>
  <r>
    <x v="3"/>
    <n v="1128299"/>
    <x v="18"/>
    <x v="2"/>
    <s v="Nevada"/>
    <s v="Las Vegas"/>
    <x v="5"/>
    <n v="80"/>
    <n v="450"/>
    <n v="360000"/>
    <n v="90000"/>
    <n v="0.25"/>
    <x v="1"/>
  </r>
  <r>
    <x v="3"/>
    <n v="1128299"/>
    <x v="19"/>
    <x v="2"/>
    <s v="Nevada"/>
    <s v="Las Vegas"/>
    <x v="0"/>
    <n v="60"/>
    <n v="700"/>
    <n v="420000"/>
    <n v="189000"/>
    <n v="0.45"/>
    <x v="1"/>
  </r>
  <r>
    <x v="3"/>
    <n v="1128299"/>
    <x v="20"/>
    <x v="2"/>
    <s v="Nevada"/>
    <s v="Las Vegas"/>
    <x v="1"/>
    <n v="65"/>
    <n v="550"/>
    <n v="357500"/>
    <n v="107250"/>
    <n v="0.3"/>
    <x v="1"/>
  </r>
  <r>
    <x v="3"/>
    <n v="1128299"/>
    <x v="21"/>
    <x v="2"/>
    <s v="Nevada"/>
    <s v="Las Vegas"/>
    <x v="2"/>
    <n v="65"/>
    <n v="550"/>
    <n v="357500"/>
    <n v="160875"/>
    <n v="0.45"/>
    <x v="1"/>
  </r>
  <r>
    <x v="3"/>
    <n v="1128299"/>
    <x v="22"/>
    <x v="2"/>
    <s v="Nevada"/>
    <s v="Las Vegas"/>
    <x v="3"/>
    <n v="60"/>
    <n v="425"/>
    <n v="255000"/>
    <n v="101999.99999999999"/>
    <n v="0.39999999999999997"/>
    <x v="1"/>
  </r>
  <r>
    <x v="3"/>
    <n v="1128299"/>
    <x v="23"/>
    <x v="2"/>
    <s v="Nevada"/>
    <s v="Las Vegas"/>
    <x v="4"/>
    <n v="65"/>
    <n v="300"/>
    <n v="195000"/>
    <n v="117000.00000000001"/>
    <n v="0.60000000000000009"/>
    <x v="1"/>
  </r>
  <r>
    <x v="3"/>
    <n v="1128299"/>
    <x v="24"/>
    <x v="2"/>
    <s v="Nevada"/>
    <s v="Las Vegas"/>
    <x v="5"/>
    <n v="80"/>
    <n v="600"/>
    <n v="480000"/>
    <n v="120000"/>
    <n v="0.25"/>
    <x v="1"/>
  </r>
  <r>
    <x v="3"/>
    <n v="1128299"/>
    <x v="25"/>
    <x v="2"/>
    <s v="Nevada"/>
    <s v="Las Vegas"/>
    <x v="0"/>
    <n v="60"/>
    <n v="750"/>
    <n v="450000"/>
    <n v="180000"/>
    <n v="0.4"/>
    <x v="1"/>
  </r>
  <r>
    <x v="3"/>
    <n v="1128299"/>
    <x v="26"/>
    <x v="2"/>
    <s v="Nevada"/>
    <s v="Las Vegas"/>
    <x v="1"/>
    <n v="65"/>
    <n v="600"/>
    <n v="390000"/>
    <n v="97500"/>
    <n v="0.25"/>
    <x v="1"/>
  </r>
  <r>
    <x v="3"/>
    <n v="1128299"/>
    <x v="27"/>
    <x v="2"/>
    <s v="Nevada"/>
    <s v="Las Vegas"/>
    <x v="2"/>
    <n v="65"/>
    <n v="550"/>
    <n v="357500"/>
    <n v="143000"/>
    <n v="0.4"/>
    <x v="0"/>
  </r>
  <r>
    <x v="3"/>
    <n v="1128299"/>
    <x v="28"/>
    <x v="2"/>
    <s v="Nevada"/>
    <s v="Las Vegas"/>
    <x v="3"/>
    <n v="60"/>
    <n v="450"/>
    <n v="270000"/>
    <n v="94500"/>
    <n v="0.35"/>
    <x v="0"/>
  </r>
  <r>
    <x v="3"/>
    <n v="1128299"/>
    <x v="511"/>
    <x v="2"/>
    <s v="Nevada"/>
    <s v="Las Vegas"/>
    <x v="4"/>
    <n v="65"/>
    <n v="500"/>
    <n v="325000"/>
    <n v="178750"/>
    <n v="0.55000000000000004"/>
    <x v="0"/>
  </r>
  <r>
    <x v="3"/>
    <n v="1128299"/>
    <x v="512"/>
    <x v="2"/>
    <s v="Nevada"/>
    <s v="Las Vegas"/>
    <x v="5"/>
    <n v="80"/>
    <n v="500"/>
    <n v="400000"/>
    <n v="80000"/>
    <n v="0.2"/>
    <x v="0"/>
  </r>
  <r>
    <x v="3"/>
    <n v="1128299"/>
    <x v="513"/>
    <x v="2"/>
    <s v="Nevada"/>
    <s v="Las Vegas"/>
    <x v="0"/>
    <n v="65"/>
    <n v="700"/>
    <n v="455000"/>
    <n v="182000"/>
    <n v="0.4"/>
    <x v="0"/>
  </r>
  <r>
    <x v="3"/>
    <n v="1128299"/>
    <x v="514"/>
    <x v="2"/>
    <s v="Nevada"/>
    <s v="Las Vegas"/>
    <x v="1"/>
    <n v="70"/>
    <n v="650"/>
    <n v="455000"/>
    <n v="113750"/>
    <n v="0.25"/>
    <x v="0"/>
  </r>
  <r>
    <x v="3"/>
    <n v="1128299"/>
    <x v="515"/>
    <x v="2"/>
    <s v="Nevada"/>
    <s v="Las Vegas"/>
    <x v="2"/>
    <n v="65"/>
    <n v="525"/>
    <n v="341250"/>
    <n v="136500"/>
    <n v="0.4"/>
    <x v="0"/>
  </r>
  <r>
    <x v="3"/>
    <n v="1128299"/>
    <x v="516"/>
    <x v="2"/>
    <s v="Nevada"/>
    <s v="Las Vegas"/>
    <x v="3"/>
    <n v="65"/>
    <n v="475"/>
    <n v="308750"/>
    <n v="108062.5"/>
    <n v="0.35"/>
    <x v="0"/>
  </r>
  <r>
    <x v="3"/>
    <n v="1128299"/>
    <x v="517"/>
    <x v="2"/>
    <s v="Nevada"/>
    <s v="Las Vegas"/>
    <x v="4"/>
    <n v="75"/>
    <n v="475"/>
    <n v="356250"/>
    <n v="195937.50000000003"/>
    <n v="0.55000000000000004"/>
    <x v="0"/>
  </r>
  <r>
    <x v="3"/>
    <n v="1128299"/>
    <x v="518"/>
    <x v="2"/>
    <s v="Nevada"/>
    <s v="Las Vegas"/>
    <x v="5"/>
    <n v="80"/>
    <n v="400"/>
    <n v="320000"/>
    <n v="64000"/>
    <n v="0.2"/>
    <x v="0"/>
  </r>
  <r>
    <x v="3"/>
    <n v="1128299"/>
    <x v="519"/>
    <x v="2"/>
    <s v="Nevada"/>
    <s v="Las Vegas"/>
    <x v="0"/>
    <n v="60.000000000000007"/>
    <n v="600"/>
    <n v="360000.00000000006"/>
    <n v="126000.00000000003"/>
    <n v="0.35000000000000003"/>
    <x v="0"/>
  </r>
  <r>
    <x v="3"/>
    <n v="1128299"/>
    <x v="520"/>
    <x v="2"/>
    <s v="Nevada"/>
    <s v="Las Vegas"/>
    <x v="1"/>
    <n v="65.000000000000014"/>
    <n v="600"/>
    <n v="390000.00000000006"/>
    <n v="78000.000000000015"/>
    <n v="0.2"/>
    <x v="0"/>
  </r>
  <r>
    <x v="3"/>
    <n v="1128299"/>
    <x v="521"/>
    <x v="2"/>
    <s v="Nevada"/>
    <s v="Las Vegas"/>
    <x v="2"/>
    <n v="60.000000000000007"/>
    <n v="450"/>
    <n v="270000.00000000006"/>
    <n v="94500.000000000029"/>
    <n v="0.35000000000000003"/>
    <x v="0"/>
  </r>
  <r>
    <x v="3"/>
    <n v="1128299"/>
    <x v="522"/>
    <x v="2"/>
    <s v="Nevada"/>
    <s v="Las Vegas"/>
    <x v="3"/>
    <n v="60.000000000000007"/>
    <n v="400"/>
    <n v="240000.00000000003"/>
    <n v="72000"/>
    <n v="0.3"/>
    <x v="0"/>
  </r>
  <r>
    <x v="3"/>
    <n v="1128299"/>
    <x v="523"/>
    <x v="2"/>
    <s v="Nevada"/>
    <s v="Las Vegas"/>
    <x v="4"/>
    <n v="70"/>
    <n v="400"/>
    <n v="280000"/>
    <n v="140000.00000000003"/>
    <n v="0.50000000000000011"/>
    <x v="0"/>
  </r>
  <r>
    <x v="3"/>
    <n v="1128299"/>
    <x v="524"/>
    <x v="2"/>
    <s v="Nevada"/>
    <s v="Las Vegas"/>
    <x v="5"/>
    <n v="75.000000000000014"/>
    <n v="450"/>
    <n v="337500.00000000006"/>
    <n v="50625.000000000015"/>
    <n v="0.15000000000000002"/>
    <x v="0"/>
  </r>
  <r>
    <x v="3"/>
    <n v="1128299"/>
    <x v="525"/>
    <x v="2"/>
    <s v="Nevada"/>
    <s v="Las Vegas"/>
    <x v="0"/>
    <n v="60.000000000000007"/>
    <n v="550"/>
    <n v="330000.00000000006"/>
    <n v="115500.00000000003"/>
    <n v="0.35000000000000003"/>
    <x v="0"/>
  </r>
  <r>
    <x v="3"/>
    <n v="1128299"/>
    <x v="526"/>
    <x v="2"/>
    <s v="Nevada"/>
    <s v="Las Vegas"/>
    <x v="1"/>
    <n v="65.000000000000014"/>
    <n v="550"/>
    <n v="357500.00000000006"/>
    <n v="71500.000000000015"/>
    <n v="0.2"/>
    <x v="0"/>
  </r>
  <r>
    <x v="3"/>
    <n v="1128299"/>
    <x v="527"/>
    <x v="2"/>
    <s v="Nevada"/>
    <s v="Las Vegas"/>
    <x v="2"/>
    <n v="60.000000000000007"/>
    <n v="375"/>
    <n v="225000.00000000003"/>
    <n v="78750.000000000015"/>
    <n v="0.35000000000000003"/>
    <x v="0"/>
  </r>
  <r>
    <x v="3"/>
    <n v="1128299"/>
    <x v="528"/>
    <x v="2"/>
    <s v="Nevada"/>
    <s v="Las Vegas"/>
    <x v="3"/>
    <n v="60.000000000000007"/>
    <n v="350"/>
    <n v="210000.00000000003"/>
    <n v="63000.000000000007"/>
    <n v="0.3"/>
    <x v="0"/>
  </r>
  <r>
    <x v="3"/>
    <n v="1128299"/>
    <x v="529"/>
    <x v="2"/>
    <s v="Nevada"/>
    <s v="Las Vegas"/>
    <x v="4"/>
    <n v="70"/>
    <n v="325"/>
    <n v="227500"/>
    <n v="113750.00000000003"/>
    <n v="0.50000000000000011"/>
    <x v="0"/>
  </r>
  <r>
    <x v="3"/>
    <n v="1128299"/>
    <x v="530"/>
    <x v="2"/>
    <s v="Nevada"/>
    <s v="Las Vegas"/>
    <x v="5"/>
    <n v="75.000000000000014"/>
    <n v="375"/>
    <n v="281250.00000000006"/>
    <n v="42187.500000000015"/>
    <n v="0.15000000000000002"/>
    <x v="0"/>
  </r>
  <r>
    <x v="3"/>
    <n v="1128299"/>
    <x v="29"/>
    <x v="2"/>
    <s v="Nevada"/>
    <s v="Las Vegas"/>
    <x v="0"/>
    <n v="60.000000000000007"/>
    <n v="575"/>
    <n v="345000.00000000006"/>
    <n v="120750.00000000003"/>
    <n v="0.35000000000000003"/>
    <x v="0"/>
  </r>
  <r>
    <x v="3"/>
    <n v="1128299"/>
    <x v="30"/>
    <x v="2"/>
    <s v="Nevada"/>
    <s v="Las Vegas"/>
    <x v="1"/>
    <n v="65.000000000000014"/>
    <n v="575"/>
    <n v="373750.00000000006"/>
    <n v="74750.000000000015"/>
    <n v="0.2"/>
    <x v="0"/>
  </r>
  <r>
    <x v="3"/>
    <n v="1128299"/>
    <x v="31"/>
    <x v="2"/>
    <s v="Nevada"/>
    <s v="Las Vegas"/>
    <x v="2"/>
    <n v="60.000000000000007"/>
    <n v="425"/>
    <n v="255000.00000000003"/>
    <n v="89250.000000000015"/>
    <n v="0.35000000000000003"/>
    <x v="0"/>
  </r>
  <r>
    <x v="3"/>
    <n v="1128299"/>
    <x v="32"/>
    <x v="2"/>
    <s v="Nevada"/>
    <s v="Las Vegas"/>
    <x v="3"/>
    <n v="60.000000000000007"/>
    <n v="400"/>
    <n v="240000.00000000003"/>
    <n v="72000"/>
    <n v="0.3"/>
    <x v="0"/>
  </r>
  <r>
    <x v="3"/>
    <n v="1128299"/>
    <x v="33"/>
    <x v="2"/>
    <s v="Nevada"/>
    <s v="Las Vegas"/>
    <x v="4"/>
    <n v="70"/>
    <n v="350"/>
    <n v="245000"/>
    <n v="122500.00000000003"/>
    <n v="0.50000000000000011"/>
    <x v="0"/>
  </r>
  <r>
    <x v="3"/>
    <n v="1128299"/>
    <x v="34"/>
    <x v="2"/>
    <s v="Nevada"/>
    <s v="Las Vegas"/>
    <x v="5"/>
    <n v="75.000000000000014"/>
    <n v="475"/>
    <n v="356250.00000000006"/>
    <n v="53437.500000000015"/>
    <n v="0.15000000000000002"/>
    <x v="0"/>
  </r>
  <r>
    <x v="3"/>
    <n v="1128299"/>
    <x v="35"/>
    <x v="2"/>
    <s v="Nevada"/>
    <s v="Las Vegas"/>
    <x v="0"/>
    <n v="60.000000000000007"/>
    <n v="675"/>
    <n v="405000.00000000006"/>
    <n v="141750.00000000003"/>
    <n v="0.35000000000000003"/>
    <x v="0"/>
  </r>
  <r>
    <x v="3"/>
    <n v="1128299"/>
    <x v="36"/>
    <x v="2"/>
    <s v="Nevada"/>
    <s v="Las Vegas"/>
    <x v="1"/>
    <n v="65.000000000000014"/>
    <n v="675"/>
    <n v="438750.00000000012"/>
    <n v="87750.000000000029"/>
    <n v="0.2"/>
    <x v="0"/>
  </r>
  <r>
    <x v="3"/>
    <n v="1128299"/>
    <x v="37"/>
    <x v="2"/>
    <s v="Nevada"/>
    <s v="Las Vegas"/>
    <x v="2"/>
    <n v="60.000000000000007"/>
    <n v="475"/>
    <n v="285000.00000000006"/>
    <n v="99750.000000000029"/>
    <n v="0.35000000000000003"/>
    <x v="0"/>
  </r>
  <r>
    <x v="3"/>
    <n v="1128299"/>
    <x v="38"/>
    <x v="2"/>
    <s v="Nevada"/>
    <s v="Las Vegas"/>
    <x v="3"/>
    <n v="60.000000000000007"/>
    <n v="475"/>
    <n v="285000.00000000006"/>
    <n v="85500.000000000015"/>
    <n v="0.3"/>
    <x v="0"/>
  </r>
  <r>
    <x v="3"/>
    <n v="1128299"/>
    <x v="39"/>
    <x v="2"/>
    <s v="Nevada"/>
    <s v="Las Vegas"/>
    <x v="4"/>
    <n v="70"/>
    <n v="400"/>
    <n v="280000"/>
    <n v="140000.00000000003"/>
    <n v="0.50000000000000011"/>
    <x v="0"/>
  </r>
  <r>
    <x v="3"/>
    <n v="1128299"/>
    <x v="40"/>
    <x v="2"/>
    <s v="Nevada"/>
    <s v="Las Vegas"/>
    <x v="5"/>
    <n v="75.000000000000014"/>
    <n v="500"/>
    <n v="375000.00000000006"/>
    <n v="56250.000000000015"/>
    <n v="0.15000000000000002"/>
    <x v="0"/>
  </r>
  <r>
    <x v="3"/>
    <n v="1128299"/>
    <x v="41"/>
    <x v="2"/>
    <s v="Nevada"/>
    <s v="Las Vegas"/>
    <x v="0"/>
    <n v="30"/>
    <n v="425"/>
    <n v="127500"/>
    <n v="44625.000000000007"/>
    <n v="0.35000000000000003"/>
    <x v="0"/>
  </r>
  <r>
    <x v="3"/>
    <n v="1128299"/>
    <x v="42"/>
    <x v="2"/>
    <s v="Nevada"/>
    <s v="Las Vegas"/>
    <x v="1"/>
    <n v="40"/>
    <n v="425"/>
    <n v="170000"/>
    <n v="34000"/>
    <n v="0.2"/>
    <x v="0"/>
  </r>
  <r>
    <x v="3"/>
    <n v="1128299"/>
    <x v="43"/>
    <x v="2"/>
    <s v="Nevada"/>
    <s v="Las Vegas"/>
    <x v="2"/>
    <n v="40"/>
    <n v="425"/>
    <n v="170000"/>
    <n v="59500.000000000007"/>
    <n v="0.35000000000000003"/>
    <x v="0"/>
  </r>
  <r>
    <x v="3"/>
    <n v="1128299"/>
    <x v="44"/>
    <x v="2"/>
    <s v="Nevada"/>
    <s v="Las Vegas"/>
    <x v="3"/>
    <n v="40"/>
    <n v="275"/>
    <n v="110000"/>
    <n v="33000"/>
    <n v="0.3"/>
    <x v="0"/>
  </r>
  <r>
    <x v="3"/>
    <n v="1128299"/>
    <x v="531"/>
    <x v="2"/>
    <s v="Colorado"/>
    <s v="Denver"/>
    <x v="4"/>
    <n v="45"/>
    <n v="225"/>
    <n v="101250"/>
    <n v="50625"/>
    <n v="0.5"/>
    <x v="0"/>
  </r>
  <r>
    <x v="3"/>
    <n v="1128299"/>
    <x v="532"/>
    <x v="2"/>
    <s v="Colorado"/>
    <s v="Denver"/>
    <x v="5"/>
    <n v="40"/>
    <n v="475"/>
    <n v="190000"/>
    <n v="28500.000000000004"/>
    <n v="0.15000000000000002"/>
    <x v="0"/>
  </r>
  <r>
    <x v="3"/>
    <n v="1128299"/>
    <x v="533"/>
    <x v="2"/>
    <s v="Colorado"/>
    <s v="Denver"/>
    <x v="0"/>
    <n v="30"/>
    <n v="525"/>
    <n v="157500"/>
    <n v="55125.000000000007"/>
    <n v="0.35000000000000003"/>
    <x v="0"/>
  </r>
  <r>
    <x v="3"/>
    <n v="1128299"/>
    <x v="534"/>
    <x v="2"/>
    <s v="Colorado"/>
    <s v="Denver"/>
    <x v="1"/>
    <n v="40"/>
    <n v="425"/>
    <n v="170000"/>
    <n v="34000"/>
    <n v="0.2"/>
    <x v="0"/>
  </r>
  <r>
    <x v="3"/>
    <n v="1128299"/>
    <x v="535"/>
    <x v="2"/>
    <s v="Colorado"/>
    <s v="Denver"/>
    <x v="2"/>
    <n v="40"/>
    <n v="425"/>
    <n v="170000"/>
    <n v="59500.000000000007"/>
    <n v="0.35000000000000003"/>
    <x v="0"/>
  </r>
  <r>
    <x v="3"/>
    <n v="1128299"/>
    <x v="536"/>
    <x v="2"/>
    <s v="Colorado"/>
    <s v="Denver"/>
    <x v="3"/>
    <n v="40"/>
    <n v="275"/>
    <n v="110000"/>
    <n v="33000"/>
    <n v="0.3"/>
    <x v="0"/>
  </r>
  <r>
    <x v="3"/>
    <n v="1128299"/>
    <x v="537"/>
    <x v="2"/>
    <s v="Colorado"/>
    <s v="Denver"/>
    <x v="4"/>
    <n v="45"/>
    <n v="200"/>
    <n v="90000"/>
    <n v="45000"/>
    <n v="0.5"/>
    <x v="0"/>
  </r>
  <r>
    <x v="3"/>
    <n v="1128299"/>
    <x v="538"/>
    <x v="2"/>
    <s v="Colorado"/>
    <s v="Denver"/>
    <x v="5"/>
    <n v="40"/>
    <n v="400"/>
    <n v="160000"/>
    <n v="24000.000000000004"/>
    <n v="0.15000000000000002"/>
    <x v="0"/>
  </r>
  <r>
    <x v="3"/>
    <n v="1128299"/>
    <x v="539"/>
    <x v="2"/>
    <s v="Colorado"/>
    <s v="Denver"/>
    <x v="0"/>
    <n v="40"/>
    <n v="550"/>
    <n v="220000"/>
    <n v="77000.000000000015"/>
    <n v="0.35000000000000003"/>
    <x v="0"/>
  </r>
  <r>
    <x v="3"/>
    <n v="1128299"/>
    <x v="540"/>
    <x v="2"/>
    <s v="Colorado"/>
    <s v="Denver"/>
    <x v="1"/>
    <n v="49.999999999999993"/>
    <n v="400"/>
    <n v="199999.99999999997"/>
    <n v="40000"/>
    <n v="0.2"/>
    <x v="0"/>
  </r>
  <r>
    <x v="3"/>
    <n v="1128299"/>
    <x v="541"/>
    <x v="2"/>
    <s v="Colorado"/>
    <s v="Denver"/>
    <x v="2"/>
    <n v="54.999999999999993"/>
    <n v="400"/>
    <n v="219999.99999999997"/>
    <n v="77000"/>
    <n v="0.35000000000000003"/>
    <x v="0"/>
  </r>
  <r>
    <x v="3"/>
    <n v="1128299"/>
    <x v="542"/>
    <x v="2"/>
    <s v="Colorado"/>
    <s v="Denver"/>
    <x v="3"/>
    <n v="54.999999999999993"/>
    <n v="300"/>
    <n v="164999.99999999997"/>
    <n v="49499.999999999993"/>
    <n v="0.3"/>
    <x v="0"/>
  </r>
  <r>
    <x v="3"/>
    <n v="1128299"/>
    <x v="45"/>
    <x v="2"/>
    <s v="Colorado"/>
    <s v="Denver"/>
    <x v="4"/>
    <n v="60"/>
    <n v="150"/>
    <n v="90000"/>
    <n v="45000"/>
    <n v="0.5"/>
    <x v="0"/>
  </r>
  <r>
    <x v="3"/>
    <n v="1128299"/>
    <x v="543"/>
    <x v="2"/>
    <s v="Colorado"/>
    <s v="Denver"/>
    <x v="5"/>
    <n v="54.999999999999993"/>
    <n v="350"/>
    <n v="192499.99999999997"/>
    <n v="28875"/>
    <n v="0.15000000000000002"/>
    <x v="0"/>
  </r>
  <r>
    <x v="3"/>
    <n v="1128299"/>
    <x v="544"/>
    <x v="2"/>
    <s v="Colorado"/>
    <s v="Denver"/>
    <x v="0"/>
    <n v="60"/>
    <n v="525"/>
    <n v="315000"/>
    <n v="110250.00000000001"/>
    <n v="0.35000000000000003"/>
    <x v="0"/>
  </r>
  <r>
    <x v="3"/>
    <n v="1128299"/>
    <x v="545"/>
    <x v="2"/>
    <s v="Colorado"/>
    <s v="Denver"/>
    <x v="1"/>
    <n v="65"/>
    <n v="325"/>
    <n v="211250"/>
    <n v="42250"/>
    <n v="0.2"/>
    <x v="0"/>
  </r>
  <r>
    <x v="3"/>
    <n v="1128299"/>
    <x v="546"/>
    <x v="2"/>
    <s v="Colorado"/>
    <s v="Denver"/>
    <x v="2"/>
    <n v="65"/>
    <n v="375"/>
    <n v="243750"/>
    <n v="85312.500000000015"/>
    <n v="0.35000000000000003"/>
    <x v="0"/>
  </r>
  <r>
    <x v="3"/>
    <n v="1128299"/>
    <x v="547"/>
    <x v="2"/>
    <s v="Colorado"/>
    <s v="Denver"/>
    <x v="3"/>
    <n v="60"/>
    <n v="275"/>
    <n v="165000"/>
    <n v="49500"/>
    <n v="0.3"/>
    <x v="0"/>
  </r>
  <r>
    <x v="3"/>
    <n v="1128299"/>
    <x v="548"/>
    <x v="2"/>
    <s v="Colorado"/>
    <s v="Denver"/>
    <x v="4"/>
    <n v="65"/>
    <n v="175"/>
    <n v="113750"/>
    <n v="56875"/>
    <n v="0.5"/>
    <x v="0"/>
  </r>
  <r>
    <x v="3"/>
    <n v="1128299"/>
    <x v="549"/>
    <x v="2"/>
    <s v="Colorado"/>
    <s v="Denver"/>
    <x v="5"/>
    <n v="80"/>
    <n v="325"/>
    <n v="260000"/>
    <n v="39000.000000000007"/>
    <n v="0.15000000000000002"/>
    <x v="0"/>
  </r>
  <r>
    <x v="3"/>
    <n v="1128299"/>
    <x v="550"/>
    <x v="2"/>
    <s v="Colorado"/>
    <s v="Denver"/>
    <x v="0"/>
    <n v="60"/>
    <n v="525"/>
    <n v="315000"/>
    <n v="157500"/>
    <n v="0.5"/>
    <x v="0"/>
  </r>
  <r>
    <x v="3"/>
    <n v="1128299"/>
    <x v="551"/>
    <x v="2"/>
    <s v="Colorado"/>
    <s v="Denver"/>
    <x v="1"/>
    <n v="65"/>
    <n v="375"/>
    <n v="243750"/>
    <n v="85312.5"/>
    <n v="0.35"/>
    <x v="0"/>
  </r>
  <r>
    <x v="3"/>
    <n v="1128299"/>
    <x v="552"/>
    <x v="2"/>
    <s v="Colorado"/>
    <s v="Denver"/>
    <x v="2"/>
    <n v="65"/>
    <n v="375"/>
    <n v="243750"/>
    <n v="121875"/>
    <n v="0.5"/>
    <x v="0"/>
  </r>
  <r>
    <x v="3"/>
    <n v="1128299"/>
    <x v="553"/>
    <x v="2"/>
    <s v="Colorado"/>
    <s v="Denver"/>
    <x v="3"/>
    <n v="60"/>
    <n v="275"/>
    <n v="165000"/>
    <n v="74249.999999999985"/>
    <n v="0.44999999999999996"/>
    <x v="0"/>
  </r>
  <r>
    <x v="3"/>
    <n v="1128299"/>
    <x v="554"/>
    <x v="2"/>
    <s v="Colorado"/>
    <s v="Denver"/>
    <x v="4"/>
    <n v="65"/>
    <n v="175"/>
    <n v="113750"/>
    <n v="73937.500000000015"/>
    <n v="0.65000000000000013"/>
    <x v="0"/>
  </r>
  <r>
    <x v="3"/>
    <n v="1128299"/>
    <x v="555"/>
    <x v="2"/>
    <s v="Colorado"/>
    <s v="Denver"/>
    <x v="5"/>
    <n v="80"/>
    <n v="475"/>
    <n v="380000"/>
    <n v="114000"/>
    <n v="0.3"/>
    <x v="0"/>
  </r>
  <r>
    <x v="3"/>
    <n v="1128299"/>
    <x v="556"/>
    <x v="2"/>
    <s v="Colorado"/>
    <s v="Denver"/>
    <x v="0"/>
    <n v="60"/>
    <n v="725"/>
    <n v="435000"/>
    <n v="217500"/>
    <n v="0.5"/>
    <x v="0"/>
  </r>
  <r>
    <x v="3"/>
    <n v="1128299"/>
    <x v="557"/>
    <x v="2"/>
    <s v="Colorado"/>
    <s v="Denver"/>
    <x v="1"/>
    <n v="65"/>
    <n v="575"/>
    <n v="373750"/>
    <n v="130812.49999999999"/>
    <n v="0.35"/>
    <x v="0"/>
  </r>
  <r>
    <x v="3"/>
    <n v="1128299"/>
    <x v="558"/>
    <x v="2"/>
    <s v="Colorado"/>
    <s v="Denver"/>
    <x v="2"/>
    <n v="65"/>
    <n v="575"/>
    <n v="373750"/>
    <n v="186875"/>
    <n v="0.5"/>
    <x v="0"/>
  </r>
  <r>
    <x v="3"/>
    <n v="1128299"/>
    <x v="46"/>
    <x v="2"/>
    <s v="Colorado"/>
    <s v="Denver"/>
    <x v="3"/>
    <n v="65"/>
    <n v="450"/>
    <n v="292500"/>
    <n v="131625"/>
    <n v="0.44999999999999996"/>
    <x v="0"/>
  </r>
  <r>
    <x v="3"/>
    <n v="1128299"/>
    <x v="47"/>
    <x v="2"/>
    <s v="Colorado"/>
    <s v="Denver"/>
    <x v="4"/>
    <n v="70"/>
    <n v="325"/>
    <n v="227500"/>
    <n v="147875.00000000003"/>
    <n v="0.65000000000000013"/>
    <x v="0"/>
  </r>
  <r>
    <x v="3"/>
    <n v="1128299"/>
    <x v="48"/>
    <x v="2"/>
    <s v="Colorado"/>
    <s v="Denver"/>
    <x v="5"/>
    <n v="85.000000000000014"/>
    <n v="625"/>
    <n v="531250.00000000012"/>
    <n v="159375.00000000003"/>
    <n v="0.3"/>
    <x v="0"/>
  </r>
  <r>
    <x v="3"/>
    <n v="1128299"/>
    <x v="49"/>
    <x v="2"/>
    <s v="Colorado"/>
    <s v="Denver"/>
    <x v="0"/>
    <n v="65"/>
    <n v="775"/>
    <n v="503750"/>
    <n v="226687.5"/>
    <n v="0.45"/>
    <x v="0"/>
  </r>
  <r>
    <x v="3"/>
    <n v="1128299"/>
    <x v="50"/>
    <x v="2"/>
    <s v="Colorado"/>
    <s v="Denver"/>
    <x v="1"/>
    <n v="70"/>
    <n v="625"/>
    <n v="437500"/>
    <n v="131250"/>
    <n v="0.3"/>
    <x v="0"/>
  </r>
  <r>
    <x v="3"/>
    <n v="1128299"/>
    <x v="51"/>
    <x v="2"/>
    <s v="Colorado"/>
    <s v="Denver"/>
    <x v="2"/>
    <n v="70"/>
    <n v="575"/>
    <n v="402500"/>
    <n v="181125"/>
    <n v="0.45"/>
    <x v="0"/>
  </r>
  <r>
    <x v="3"/>
    <n v="1128299"/>
    <x v="52"/>
    <x v="2"/>
    <s v="Colorado"/>
    <s v="Denver"/>
    <x v="3"/>
    <n v="65"/>
    <n v="475"/>
    <n v="308750"/>
    <n v="123499.99999999999"/>
    <n v="0.39999999999999997"/>
    <x v="0"/>
  </r>
  <r>
    <x v="3"/>
    <n v="1128299"/>
    <x v="53"/>
    <x v="2"/>
    <s v="Colorado"/>
    <s v="Denver"/>
    <x v="4"/>
    <n v="70"/>
    <n v="525"/>
    <n v="367500"/>
    <n v="220500.00000000003"/>
    <n v="0.60000000000000009"/>
    <x v="0"/>
  </r>
  <r>
    <x v="3"/>
    <n v="1128299"/>
    <x v="54"/>
    <x v="2"/>
    <s v="Colorado"/>
    <s v="Denver"/>
    <x v="5"/>
    <n v="85.000000000000014"/>
    <n v="525"/>
    <n v="446250.00000000006"/>
    <n v="111562.50000000001"/>
    <n v="0.25"/>
    <x v="0"/>
  </r>
  <r>
    <x v="3"/>
    <n v="1128299"/>
    <x v="55"/>
    <x v="2"/>
    <s v="Colorado"/>
    <s v="Denver"/>
    <x v="0"/>
    <n v="70"/>
    <n v="725"/>
    <n v="507500"/>
    <n v="228375"/>
    <n v="0.45"/>
    <x v="0"/>
  </r>
  <r>
    <x v="3"/>
    <n v="1128299"/>
    <x v="56"/>
    <x v="2"/>
    <s v="Colorado"/>
    <s v="Denver"/>
    <x v="1"/>
    <n v="75.000000000000014"/>
    <n v="675"/>
    <n v="506250.00000000012"/>
    <n v="151875.00000000003"/>
    <n v="0.3"/>
    <x v="0"/>
  </r>
  <r>
    <x v="3"/>
    <n v="1128299"/>
    <x v="57"/>
    <x v="2"/>
    <s v="Colorado"/>
    <s v="Denver"/>
    <x v="2"/>
    <n v="70"/>
    <n v="550"/>
    <n v="385000"/>
    <n v="173250"/>
    <n v="0.45"/>
    <x v="0"/>
  </r>
  <r>
    <x v="3"/>
    <n v="1128299"/>
    <x v="58"/>
    <x v="2"/>
    <s v="Colorado"/>
    <s v="Denver"/>
    <x v="3"/>
    <n v="70"/>
    <n v="500"/>
    <n v="350000"/>
    <n v="140000"/>
    <n v="0.39999999999999997"/>
    <x v="0"/>
  </r>
  <r>
    <x v="3"/>
    <n v="1128299"/>
    <x v="59"/>
    <x v="2"/>
    <s v="Colorado"/>
    <s v="Denver"/>
    <x v="4"/>
    <n v="75"/>
    <n v="500"/>
    <n v="375000"/>
    <n v="225000.00000000003"/>
    <n v="0.60000000000000009"/>
    <x v="0"/>
  </r>
  <r>
    <x v="3"/>
    <n v="1128299"/>
    <x v="60"/>
    <x v="2"/>
    <s v="Colorado"/>
    <s v="Denver"/>
    <x v="5"/>
    <n v="80"/>
    <n v="400"/>
    <n v="320000"/>
    <n v="80000"/>
    <n v="0.25"/>
    <x v="0"/>
  </r>
  <r>
    <x v="3"/>
    <n v="1128299"/>
    <x v="61"/>
    <x v="2"/>
    <s v="Colorado"/>
    <s v="Denver"/>
    <x v="0"/>
    <n v="65.000000000000014"/>
    <n v="600"/>
    <n v="390000.00000000006"/>
    <n v="156000.00000000003"/>
    <n v="0.4"/>
    <x v="0"/>
  </r>
  <r>
    <x v="3"/>
    <n v="1128299"/>
    <x v="62"/>
    <x v="2"/>
    <s v="Colorado"/>
    <s v="Denver"/>
    <x v="1"/>
    <n v="70.000000000000014"/>
    <n v="600"/>
    <n v="420000.00000000006"/>
    <n v="105000.00000000001"/>
    <n v="0.25"/>
    <x v="0"/>
  </r>
  <r>
    <x v="3"/>
    <n v="1128299"/>
    <x v="63"/>
    <x v="2"/>
    <s v="Colorado"/>
    <s v="Denver"/>
    <x v="2"/>
    <n v="65.000000000000014"/>
    <n v="450"/>
    <n v="292500.00000000006"/>
    <n v="117000.00000000003"/>
    <n v="0.4"/>
    <x v="0"/>
  </r>
  <r>
    <x v="3"/>
    <n v="1128299"/>
    <x v="64"/>
    <x v="2"/>
    <s v="Colorado"/>
    <s v="Denver"/>
    <x v="3"/>
    <n v="65.000000000000014"/>
    <n v="400"/>
    <n v="260000.00000000006"/>
    <n v="91000.000000000015"/>
    <n v="0.35"/>
    <x v="0"/>
  </r>
  <r>
    <x v="3"/>
    <n v="1128299"/>
    <x v="65"/>
    <x v="2"/>
    <s v="Colorado"/>
    <s v="Denver"/>
    <x v="4"/>
    <n v="75.000000000000014"/>
    <n v="400"/>
    <n v="300000.00000000006"/>
    <n v="165000.00000000009"/>
    <n v="0.55000000000000016"/>
    <x v="0"/>
  </r>
  <r>
    <x v="3"/>
    <n v="1128299"/>
    <x v="66"/>
    <x v="2"/>
    <s v="Colorado"/>
    <s v="Denver"/>
    <x v="5"/>
    <n v="70"/>
    <n v="425"/>
    <n v="297500"/>
    <n v="59500"/>
    <n v="0.2"/>
    <x v="0"/>
  </r>
  <r>
    <x v="3"/>
    <n v="1128299"/>
    <x v="559"/>
    <x v="2"/>
    <s v="Colorado"/>
    <s v="Denver"/>
    <x v="0"/>
    <n v="55.000000000000007"/>
    <n v="525"/>
    <n v="288750.00000000006"/>
    <n v="115500.00000000003"/>
    <n v="0.4"/>
    <x v="0"/>
  </r>
  <r>
    <x v="3"/>
    <n v="1128299"/>
    <x v="560"/>
    <x v="2"/>
    <s v="Colorado"/>
    <s v="Denver"/>
    <x v="1"/>
    <n v="60.000000000000007"/>
    <n v="525"/>
    <n v="315000.00000000006"/>
    <n v="78750.000000000015"/>
    <n v="0.25"/>
    <x v="0"/>
  </r>
  <r>
    <x v="3"/>
    <n v="1128299"/>
    <x v="561"/>
    <x v="2"/>
    <s v="Colorado"/>
    <s v="Denver"/>
    <x v="2"/>
    <n v="55.000000000000007"/>
    <n v="350"/>
    <n v="192500.00000000003"/>
    <n v="77000.000000000015"/>
    <n v="0.4"/>
    <x v="0"/>
  </r>
  <r>
    <x v="3"/>
    <n v="1128299"/>
    <x v="562"/>
    <x v="2"/>
    <s v="Colorado"/>
    <s v="Denver"/>
    <x v="3"/>
    <n v="55.000000000000007"/>
    <n v="325"/>
    <n v="178750.00000000003"/>
    <n v="62562.500000000007"/>
    <n v="0.35"/>
    <x v="0"/>
  </r>
  <r>
    <x v="3"/>
    <n v="1128299"/>
    <x v="563"/>
    <x v="2"/>
    <s v="Colorado"/>
    <s v="Denver"/>
    <x v="4"/>
    <n v="65"/>
    <n v="300"/>
    <n v="195000"/>
    <n v="107250.00000000003"/>
    <n v="0.55000000000000016"/>
    <x v="0"/>
  </r>
  <r>
    <x v="3"/>
    <n v="1128299"/>
    <x v="564"/>
    <x v="2"/>
    <s v="Colorado"/>
    <s v="Denver"/>
    <x v="5"/>
    <n v="70"/>
    <n v="350"/>
    <n v="245000"/>
    <n v="49000"/>
    <n v="0.2"/>
    <x v="0"/>
  </r>
  <r>
    <x v="3"/>
    <n v="1128299"/>
    <x v="565"/>
    <x v="2"/>
    <s v="Colorado"/>
    <s v="Denver"/>
    <x v="0"/>
    <n v="55.000000000000007"/>
    <n v="575"/>
    <n v="316250.00000000006"/>
    <n v="126500.00000000003"/>
    <n v="0.4"/>
    <x v="0"/>
  </r>
  <r>
    <x v="3"/>
    <n v="1128299"/>
    <x v="566"/>
    <x v="2"/>
    <s v="Colorado"/>
    <s v="Denver"/>
    <x v="1"/>
    <n v="60.000000000000007"/>
    <n v="575"/>
    <n v="345000.00000000006"/>
    <n v="86250.000000000015"/>
    <n v="0.25"/>
    <x v="0"/>
  </r>
  <r>
    <x v="3"/>
    <n v="1128299"/>
    <x v="567"/>
    <x v="2"/>
    <s v="Colorado"/>
    <s v="Denver"/>
    <x v="2"/>
    <n v="55.000000000000007"/>
    <n v="425"/>
    <n v="233750.00000000003"/>
    <n v="93500.000000000015"/>
    <n v="0.4"/>
    <x v="0"/>
  </r>
  <r>
    <x v="3"/>
    <n v="1128299"/>
    <x v="568"/>
    <x v="2"/>
    <s v="Colorado"/>
    <s v="Denver"/>
    <x v="3"/>
    <n v="65.000000000000014"/>
    <n v="400"/>
    <n v="260000.00000000006"/>
    <n v="91000.000000000015"/>
    <n v="0.35"/>
    <x v="0"/>
  </r>
  <r>
    <x v="3"/>
    <n v="1128299"/>
    <x v="569"/>
    <x v="2"/>
    <s v="Colorado"/>
    <s v="Denver"/>
    <x v="4"/>
    <n v="75.000000000000014"/>
    <n v="375"/>
    <n v="281250.00000000006"/>
    <n v="154687.50000000009"/>
    <n v="0.55000000000000016"/>
    <x v="0"/>
  </r>
  <r>
    <x v="3"/>
    <n v="1128299"/>
    <x v="570"/>
    <x v="2"/>
    <s v="Colorado"/>
    <s v="Denver"/>
    <x v="5"/>
    <n v="80.000000000000014"/>
    <n v="500"/>
    <n v="400000.00000000006"/>
    <n v="80000.000000000015"/>
    <n v="0.2"/>
    <x v="0"/>
  </r>
  <r>
    <x v="3"/>
    <n v="1128299"/>
    <x v="571"/>
    <x v="2"/>
    <s v="Colorado"/>
    <s v="Denver"/>
    <x v="0"/>
    <n v="65.000000000000014"/>
    <n v="700"/>
    <n v="455000.00000000012"/>
    <n v="182000.00000000006"/>
    <n v="0.4"/>
    <x v="0"/>
  </r>
  <r>
    <x v="3"/>
    <n v="1128299"/>
    <x v="572"/>
    <x v="2"/>
    <s v="Colorado"/>
    <s v="Denver"/>
    <x v="1"/>
    <n v="70.000000000000014"/>
    <n v="700"/>
    <n v="490000.00000000012"/>
    <n v="122500.00000000003"/>
    <n v="0.25"/>
    <x v="0"/>
  </r>
  <r>
    <x v="3"/>
    <n v="1128299"/>
    <x v="573"/>
    <x v="2"/>
    <s v="Colorado"/>
    <s v="Denver"/>
    <x v="2"/>
    <n v="65.000000000000014"/>
    <n v="500"/>
    <n v="325000.00000000006"/>
    <n v="130000.00000000003"/>
    <n v="0.4"/>
    <x v="0"/>
  </r>
  <r>
    <x v="3"/>
    <n v="1128299"/>
    <x v="574"/>
    <x v="2"/>
    <s v="Colorado"/>
    <s v="Denver"/>
    <x v="3"/>
    <n v="65.000000000000014"/>
    <n v="500"/>
    <n v="325000.00000000006"/>
    <n v="113750.00000000001"/>
    <n v="0.35"/>
    <x v="0"/>
  </r>
  <r>
    <x v="3"/>
    <n v="1128299"/>
    <x v="575"/>
    <x v="2"/>
    <s v="Colorado"/>
    <s v="Denver"/>
    <x v="4"/>
    <n v="75.000000000000014"/>
    <n v="425"/>
    <n v="318750.00000000006"/>
    <n v="175312.50000000009"/>
    <n v="0.55000000000000016"/>
    <x v="0"/>
  </r>
  <r>
    <x v="3"/>
    <n v="1128299"/>
    <x v="576"/>
    <x v="2"/>
    <s v="Colorado"/>
    <s v="Denver"/>
    <x v="5"/>
    <n v="80.000000000000014"/>
    <n v="525"/>
    <n v="420000.00000000006"/>
    <n v="84000.000000000015"/>
    <n v="0.2"/>
    <x v="0"/>
  </r>
  <r>
    <x v="3"/>
    <n v="1128299"/>
    <x v="577"/>
    <x v="2"/>
    <s v="Colorado"/>
    <s v="Denver"/>
    <x v="0"/>
    <n v="40"/>
    <n v="450"/>
    <n v="180000"/>
    <n v="54000"/>
    <n v="0.3"/>
    <x v="0"/>
  </r>
  <r>
    <x v="3"/>
    <n v="1128299"/>
    <x v="578"/>
    <x v="2"/>
    <s v="Colorado"/>
    <s v="Denver"/>
    <x v="1"/>
    <n v="50"/>
    <n v="450"/>
    <n v="225000"/>
    <n v="56250"/>
    <n v="0.25"/>
    <x v="0"/>
  </r>
  <r>
    <x v="3"/>
    <n v="1128299"/>
    <x v="579"/>
    <x v="2"/>
    <s v="Colorado"/>
    <s v="Denver"/>
    <x v="2"/>
    <n v="50"/>
    <n v="450"/>
    <n v="225000"/>
    <n v="56250"/>
    <n v="0.25"/>
    <x v="0"/>
  </r>
  <r>
    <x v="3"/>
    <n v="1128299"/>
    <x v="580"/>
    <x v="2"/>
    <s v="Colorado"/>
    <s v="Denver"/>
    <x v="3"/>
    <n v="50"/>
    <n v="300"/>
    <n v="150000"/>
    <n v="45000"/>
    <n v="0.3"/>
    <x v="0"/>
  </r>
  <r>
    <x v="3"/>
    <n v="1128299"/>
    <x v="581"/>
    <x v="2"/>
    <s v="Washington"/>
    <s v="Seattle"/>
    <x v="4"/>
    <n v="55.000000000000007"/>
    <n v="250"/>
    <n v="137500.00000000003"/>
    <n v="34375.000000000007"/>
    <n v="0.25"/>
    <x v="0"/>
  </r>
  <r>
    <x v="3"/>
    <n v="1128299"/>
    <x v="582"/>
    <x v="2"/>
    <s v="Washington"/>
    <s v="Seattle"/>
    <x v="5"/>
    <n v="50"/>
    <n v="500"/>
    <n v="250000"/>
    <n v="50000"/>
    <n v="0.2"/>
    <x v="0"/>
  </r>
  <r>
    <x v="3"/>
    <n v="1128299"/>
    <x v="583"/>
    <x v="2"/>
    <s v="Washington"/>
    <s v="Seattle"/>
    <x v="0"/>
    <n v="40"/>
    <n v="550"/>
    <n v="220000"/>
    <n v="66000"/>
    <n v="0.3"/>
    <x v="0"/>
  </r>
  <r>
    <x v="3"/>
    <n v="1128299"/>
    <x v="584"/>
    <x v="2"/>
    <s v="Washington"/>
    <s v="Seattle"/>
    <x v="1"/>
    <n v="50"/>
    <n v="450"/>
    <n v="225000"/>
    <n v="56250"/>
    <n v="0.25"/>
    <x v="0"/>
  </r>
  <r>
    <x v="3"/>
    <n v="1128299"/>
    <x v="585"/>
    <x v="2"/>
    <s v="Washington"/>
    <s v="Seattle"/>
    <x v="2"/>
    <n v="50"/>
    <n v="450"/>
    <n v="225000"/>
    <n v="56250"/>
    <n v="0.25"/>
    <x v="0"/>
  </r>
  <r>
    <x v="3"/>
    <n v="1128299"/>
    <x v="586"/>
    <x v="2"/>
    <s v="Washington"/>
    <s v="Seattle"/>
    <x v="3"/>
    <n v="50"/>
    <n v="300"/>
    <n v="150000"/>
    <n v="45000"/>
    <n v="0.3"/>
    <x v="0"/>
  </r>
  <r>
    <x v="3"/>
    <n v="1128299"/>
    <x v="587"/>
    <x v="2"/>
    <s v="Washington"/>
    <s v="Seattle"/>
    <x v="4"/>
    <n v="55.000000000000007"/>
    <n v="225"/>
    <n v="123750.00000000001"/>
    <n v="30937.500000000004"/>
    <n v="0.25"/>
    <x v="0"/>
  </r>
  <r>
    <x v="3"/>
    <n v="1128299"/>
    <x v="588"/>
    <x v="2"/>
    <s v="Washington"/>
    <s v="Seattle"/>
    <x v="5"/>
    <n v="50"/>
    <n v="425"/>
    <n v="212500"/>
    <n v="42500"/>
    <n v="0.2"/>
    <x v="0"/>
  </r>
  <r>
    <x v="3"/>
    <n v="1128299"/>
    <x v="589"/>
    <x v="2"/>
    <s v="Washington"/>
    <s v="Seattle"/>
    <x v="0"/>
    <n v="50"/>
    <n v="575"/>
    <n v="287500"/>
    <n v="86250"/>
    <n v="0.3"/>
    <x v="0"/>
  </r>
  <r>
    <x v="3"/>
    <n v="1128299"/>
    <x v="590"/>
    <x v="2"/>
    <s v="Washington"/>
    <s v="Seattle"/>
    <x v="1"/>
    <n v="60"/>
    <n v="425"/>
    <n v="255000"/>
    <n v="63750"/>
    <n v="0.25"/>
    <x v="0"/>
  </r>
  <r>
    <x v="3"/>
    <n v="1128299"/>
    <x v="591"/>
    <x v="2"/>
    <s v="Washington"/>
    <s v="Seattle"/>
    <x v="2"/>
    <n v="64.999999999999986"/>
    <n v="425"/>
    <n v="276249.99999999994"/>
    <n v="69062.499999999985"/>
    <n v="0.25"/>
    <x v="0"/>
  </r>
  <r>
    <x v="3"/>
    <n v="1128299"/>
    <x v="592"/>
    <x v="2"/>
    <s v="Washington"/>
    <s v="Seattle"/>
    <x v="3"/>
    <n v="64.999999999999986"/>
    <n v="325"/>
    <n v="211249.99999999994"/>
    <n v="63374.999999999978"/>
    <n v="0.3"/>
    <x v="0"/>
  </r>
  <r>
    <x v="3"/>
    <n v="1128299"/>
    <x v="593"/>
    <x v="2"/>
    <s v="Washington"/>
    <s v="Seattle"/>
    <x v="4"/>
    <n v="70"/>
    <n v="175"/>
    <n v="122500"/>
    <n v="30625"/>
    <n v="0.25"/>
    <x v="0"/>
  </r>
  <r>
    <x v="3"/>
    <n v="1128299"/>
    <x v="594"/>
    <x v="2"/>
    <s v="Washington"/>
    <s v="Seattle"/>
    <x v="5"/>
    <n v="64.999999999999986"/>
    <n v="375"/>
    <n v="243749.99999999994"/>
    <n v="48749.999999999993"/>
    <n v="0.2"/>
    <x v="0"/>
  </r>
  <r>
    <x v="3"/>
    <n v="1128299"/>
    <x v="595"/>
    <x v="2"/>
    <s v="Washington"/>
    <s v="Seattle"/>
    <x v="0"/>
    <n v="70"/>
    <n v="550"/>
    <n v="385000"/>
    <n v="115500"/>
    <n v="0.3"/>
    <x v="0"/>
  </r>
  <r>
    <x v="3"/>
    <n v="1128299"/>
    <x v="596"/>
    <x v="2"/>
    <s v="Washington"/>
    <s v="Seattle"/>
    <x v="1"/>
    <n v="75"/>
    <n v="350"/>
    <n v="262500"/>
    <n v="65625"/>
    <n v="0.25"/>
    <x v="0"/>
  </r>
  <r>
    <x v="3"/>
    <n v="1128299"/>
    <x v="597"/>
    <x v="2"/>
    <s v="Washington"/>
    <s v="Seattle"/>
    <x v="2"/>
    <n v="75"/>
    <n v="400"/>
    <n v="300000"/>
    <n v="75000"/>
    <n v="0.25"/>
    <x v="0"/>
  </r>
  <r>
    <x v="3"/>
    <n v="1128299"/>
    <x v="598"/>
    <x v="2"/>
    <s v="Washington"/>
    <s v="Seattle"/>
    <x v="3"/>
    <n v="60"/>
    <n v="300"/>
    <n v="180000"/>
    <n v="54000"/>
    <n v="0.3"/>
    <x v="0"/>
  </r>
  <r>
    <x v="3"/>
    <n v="1128299"/>
    <x v="599"/>
    <x v="2"/>
    <s v="Washington"/>
    <s v="Seattle"/>
    <x v="4"/>
    <n v="65"/>
    <n v="200"/>
    <n v="130000"/>
    <n v="32500"/>
    <n v="0.25"/>
    <x v="0"/>
  </r>
  <r>
    <x v="3"/>
    <n v="1128299"/>
    <x v="600"/>
    <x v="2"/>
    <s v="Washington"/>
    <s v="Seattle"/>
    <x v="5"/>
    <n v="80"/>
    <n v="350"/>
    <n v="280000"/>
    <n v="56000"/>
    <n v="0.2"/>
    <x v="0"/>
  </r>
  <r>
    <x v="3"/>
    <n v="1128299"/>
    <x v="601"/>
    <x v="2"/>
    <s v="Washington"/>
    <s v="Seattle"/>
    <x v="0"/>
    <n v="60"/>
    <n v="550"/>
    <n v="330000"/>
    <n v="99000"/>
    <n v="0.3"/>
    <x v="0"/>
  </r>
  <r>
    <x v="3"/>
    <n v="1128299"/>
    <x v="602"/>
    <x v="2"/>
    <s v="Washington"/>
    <s v="Seattle"/>
    <x v="1"/>
    <n v="65"/>
    <n v="400"/>
    <n v="260000"/>
    <n v="65000"/>
    <n v="0.25"/>
    <x v="0"/>
  </r>
  <r>
    <x v="3"/>
    <n v="1128299"/>
    <x v="603"/>
    <x v="2"/>
    <s v="Washington"/>
    <s v="Seattle"/>
    <x v="2"/>
    <n v="65"/>
    <n v="400"/>
    <n v="260000"/>
    <n v="65000"/>
    <n v="0.25"/>
    <x v="0"/>
  </r>
  <r>
    <x v="3"/>
    <n v="1128299"/>
    <x v="604"/>
    <x v="2"/>
    <s v="Washington"/>
    <s v="Seattle"/>
    <x v="3"/>
    <n v="60"/>
    <n v="300"/>
    <n v="180000"/>
    <n v="54000"/>
    <n v="0.3"/>
    <x v="0"/>
  </r>
  <r>
    <x v="3"/>
    <n v="1128299"/>
    <x v="605"/>
    <x v="2"/>
    <s v="Washington"/>
    <s v="Seattle"/>
    <x v="4"/>
    <n v="65"/>
    <n v="200"/>
    <n v="130000"/>
    <n v="32500"/>
    <n v="0.25"/>
    <x v="0"/>
  </r>
  <r>
    <x v="3"/>
    <n v="1128299"/>
    <x v="606"/>
    <x v="2"/>
    <s v="Washington"/>
    <s v="Seattle"/>
    <x v="5"/>
    <n v="80"/>
    <n v="500"/>
    <n v="400000"/>
    <n v="80000"/>
    <n v="0.2"/>
    <x v="0"/>
  </r>
  <r>
    <x v="3"/>
    <n v="1128299"/>
    <x v="607"/>
    <x v="2"/>
    <s v="Washington"/>
    <s v="Seattle"/>
    <x v="0"/>
    <n v="75"/>
    <n v="750"/>
    <n v="562500"/>
    <n v="168750"/>
    <n v="0.3"/>
    <x v="0"/>
  </r>
  <r>
    <x v="3"/>
    <n v="1128299"/>
    <x v="608"/>
    <x v="2"/>
    <s v="Washington"/>
    <s v="Seattle"/>
    <x v="1"/>
    <n v="80"/>
    <n v="625"/>
    <n v="500000"/>
    <n v="125000"/>
    <n v="0.25"/>
    <x v="0"/>
  </r>
  <r>
    <x v="3"/>
    <n v="1128299"/>
    <x v="609"/>
    <x v="2"/>
    <s v="Washington"/>
    <s v="Seattle"/>
    <x v="2"/>
    <n v="80"/>
    <n v="625"/>
    <n v="500000"/>
    <n v="125000"/>
    <n v="0.25"/>
    <x v="0"/>
  </r>
  <r>
    <x v="3"/>
    <n v="1128299"/>
    <x v="610"/>
    <x v="2"/>
    <s v="Washington"/>
    <s v="Seattle"/>
    <x v="3"/>
    <n v="80"/>
    <n v="500"/>
    <n v="400000"/>
    <n v="120000"/>
    <n v="0.3"/>
    <x v="0"/>
  </r>
  <r>
    <x v="3"/>
    <n v="1128299"/>
    <x v="611"/>
    <x v="2"/>
    <s v="Washington"/>
    <s v="Seattle"/>
    <x v="4"/>
    <n v="85.000000000000014"/>
    <n v="375"/>
    <n v="318750.00000000006"/>
    <n v="79687.500000000015"/>
    <n v="0.25"/>
    <x v="0"/>
  </r>
  <r>
    <x v="3"/>
    <n v="1128299"/>
    <x v="612"/>
    <x v="2"/>
    <s v="Washington"/>
    <s v="Seattle"/>
    <x v="5"/>
    <n v="100"/>
    <n v="675"/>
    <n v="675000"/>
    <n v="135000"/>
    <n v="0.2"/>
    <x v="0"/>
  </r>
  <r>
    <x v="3"/>
    <n v="1128299"/>
    <x v="613"/>
    <x v="2"/>
    <s v="Washington"/>
    <s v="Seattle"/>
    <x v="0"/>
    <n v="80"/>
    <n v="825"/>
    <n v="660000"/>
    <n v="198000"/>
    <n v="0.3"/>
    <x v="0"/>
  </r>
  <r>
    <x v="3"/>
    <n v="1128299"/>
    <x v="614"/>
    <x v="2"/>
    <s v="Washington"/>
    <s v="Seattle"/>
    <x v="1"/>
    <n v="85.000000000000014"/>
    <n v="675"/>
    <n v="573750.00000000012"/>
    <n v="143437.50000000003"/>
    <n v="0.25"/>
    <x v="0"/>
  </r>
  <r>
    <x v="3"/>
    <n v="1128299"/>
    <x v="615"/>
    <x v="2"/>
    <s v="Washington"/>
    <s v="Seattle"/>
    <x v="2"/>
    <n v="85.000000000000014"/>
    <n v="625"/>
    <n v="531250.00000000012"/>
    <n v="132812.50000000003"/>
    <n v="0.25"/>
    <x v="0"/>
  </r>
  <r>
    <x v="3"/>
    <n v="1128299"/>
    <x v="616"/>
    <x v="2"/>
    <s v="Washington"/>
    <s v="Seattle"/>
    <x v="3"/>
    <n v="80"/>
    <n v="525"/>
    <n v="420000"/>
    <n v="126000"/>
    <n v="0.3"/>
    <x v="0"/>
  </r>
  <r>
    <x v="3"/>
    <n v="1128299"/>
    <x v="617"/>
    <x v="2"/>
    <s v="Washington"/>
    <s v="Seattle"/>
    <x v="4"/>
    <n v="85.000000000000014"/>
    <n v="575"/>
    <n v="488750.00000000006"/>
    <n v="122187.50000000001"/>
    <n v="0.25"/>
    <x v="0"/>
  </r>
  <r>
    <x v="3"/>
    <n v="1128299"/>
    <x v="618"/>
    <x v="2"/>
    <s v="Washington"/>
    <s v="Seattle"/>
    <x v="5"/>
    <n v="100"/>
    <n v="575"/>
    <n v="575000"/>
    <n v="115000"/>
    <n v="0.2"/>
    <x v="0"/>
  </r>
  <r>
    <x v="3"/>
    <n v="1128299"/>
    <x v="619"/>
    <x v="2"/>
    <s v="Washington"/>
    <s v="Seattle"/>
    <x v="0"/>
    <n v="85.000000000000014"/>
    <n v="775"/>
    <n v="658750.00000000012"/>
    <n v="197625.00000000003"/>
    <n v="0.3"/>
    <x v="0"/>
  </r>
  <r>
    <x v="3"/>
    <n v="1128299"/>
    <x v="620"/>
    <x v="2"/>
    <s v="Washington"/>
    <s v="Seattle"/>
    <x v="1"/>
    <n v="80.000000000000014"/>
    <n v="750"/>
    <n v="600000.00000000012"/>
    <n v="150000.00000000003"/>
    <n v="0.25"/>
    <x v="0"/>
  </r>
  <r>
    <x v="3"/>
    <n v="1128299"/>
    <x v="621"/>
    <x v="2"/>
    <s v="Washington"/>
    <s v="Seattle"/>
    <x v="2"/>
    <n v="75.000000000000014"/>
    <n v="625"/>
    <n v="468750.00000000012"/>
    <n v="117187.50000000003"/>
    <n v="0.25"/>
    <x v="0"/>
  </r>
  <r>
    <x v="3"/>
    <n v="1128299"/>
    <x v="622"/>
    <x v="2"/>
    <s v="Washington"/>
    <s v="Seattle"/>
    <x v="3"/>
    <n v="75.000000000000014"/>
    <n v="575"/>
    <n v="431250.00000000006"/>
    <n v="129375.00000000001"/>
    <n v="0.3"/>
    <x v="0"/>
  </r>
  <r>
    <x v="3"/>
    <n v="1128299"/>
    <x v="623"/>
    <x v="2"/>
    <s v="Washington"/>
    <s v="Seattle"/>
    <x v="4"/>
    <n v="75"/>
    <n v="575"/>
    <n v="431250"/>
    <n v="107812.5"/>
    <n v="0.25"/>
    <x v="0"/>
  </r>
  <r>
    <x v="3"/>
    <n v="1128299"/>
    <x v="624"/>
    <x v="2"/>
    <s v="Washington"/>
    <s v="Seattle"/>
    <x v="5"/>
    <n v="80"/>
    <n v="400"/>
    <n v="320000"/>
    <n v="64000"/>
    <n v="0.2"/>
    <x v="0"/>
  </r>
  <r>
    <x v="3"/>
    <n v="1128299"/>
    <x v="625"/>
    <x v="2"/>
    <s v="Washington"/>
    <s v="Seattle"/>
    <x v="0"/>
    <n v="70.000000000000014"/>
    <n v="600"/>
    <n v="420000.00000000006"/>
    <n v="126000.00000000001"/>
    <n v="0.3"/>
    <x v="0"/>
  </r>
  <r>
    <x v="3"/>
    <n v="1128299"/>
    <x v="626"/>
    <x v="2"/>
    <s v="Washington"/>
    <s v="Seattle"/>
    <x v="1"/>
    <n v="75.000000000000028"/>
    <n v="600"/>
    <n v="450000.00000000017"/>
    <n v="112500.00000000004"/>
    <n v="0.25"/>
    <x v="0"/>
  </r>
  <r>
    <x v="3"/>
    <n v="1128299"/>
    <x v="627"/>
    <x v="2"/>
    <s v="Washington"/>
    <s v="Seattle"/>
    <x v="2"/>
    <n v="70.000000000000014"/>
    <n v="450"/>
    <n v="315000.00000000006"/>
    <n v="78750.000000000015"/>
    <n v="0.25"/>
    <x v="0"/>
  </r>
  <r>
    <x v="3"/>
    <n v="1128299"/>
    <x v="628"/>
    <x v="2"/>
    <s v="Washington"/>
    <s v="Seattle"/>
    <x v="3"/>
    <n v="70.000000000000014"/>
    <n v="400"/>
    <n v="280000.00000000006"/>
    <n v="84000.000000000015"/>
    <n v="0.3"/>
    <x v="0"/>
  </r>
  <r>
    <x v="3"/>
    <n v="1128299"/>
    <x v="629"/>
    <x v="2"/>
    <s v="Washington"/>
    <s v="Seattle"/>
    <x v="4"/>
    <n v="80.000000000000014"/>
    <n v="425"/>
    <n v="340000.00000000006"/>
    <n v="85000.000000000015"/>
    <n v="0.25"/>
    <x v="0"/>
  </r>
  <r>
    <x v="3"/>
    <n v="1128299"/>
    <x v="67"/>
    <x v="2"/>
    <s v="Washington"/>
    <s v="Seattle"/>
    <x v="5"/>
    <n v="65"/>
    <n v="450"/>
    <n v="292500"/>
    <n v="58500"/>
    <n v="0.2"/>
    <x v="0"/>
  </r>
  <r>
    <x v="3"/>
    <n v="1128299"/>
    <x v="68"/>
    <x v="2"/>
    <s v="Washington"/>
    <s v="Seattle"/>
    <x v="0"/>
    <n v="60.000000000000007"/>
    <n v="550"/>
    <n v="330000.00000000006"/>
    <n v="99000.000000000015"/>
    <n v="0.3"/>
    <x v="0"/>
  </r>
  <r>
    <x v="3"/>
    <n v="1128299"/>
    <x v="69"/>
    <x v="2"/>
    <s v="Washington"/>
    <s v="Seattle"/>
    <x v="1"/>
    <n v="65.000000000000014"/>
    <n v="550"/>
    <n v="357500.00000000006"/>
    <n v="89375.000000000015"/>
    <n v="0.25"/>
    <x v="0"/>
  </r>
  <r>
    <x v="3"/>
    <n v="1128299"/>
    <x v="70"/>
    <x v="2"/>
    <s v="Washington"/>
    <s v="Seattle"/>
    <x v="2"/>
    <n v="60.000000000000007"/>
    <n v="375"/>
    <n v="225000.00000000003"/>
    <n v="56250.000000000007"/>
    <n v="0.25"/>
    <x v="0"/>
  </r>
  <r>
    <x v="3"/>
    <n v="1128299"/>
    <x v="71"/>
    <x v="2"/>
    <s v="Washington"/>
    <s v="Seattle"/>
    <x v="3"/>
    <n v="60.000000000000007"/>
    <n v="350"/>
    <n v="210000.00000000003"/>
    <n v="63000.000000000007"/>
    <n v="0.3"/>
    <x v="0"/>
  </r>
  <r>
    <x v="3"/>
    <n v="1128299"/>
    <x v="72"/>
    <x v="2"/>
    <s v="Washington"/>
    <s v="Seattle"/>
    <x v="4"/>
    <n v="70"/>
    <n v="325"/>
    <n v="227500"/>
    <n v="56875"/>
    <n v="0.25"/>
    <x v="0"/>
  </r>
  <r>
    <x v="3"/>
    <n v="1128299"/>
    <x v="73"/>
    <x v="2"/>
    <s v="Washington"/>
    <s v="Seattle"/>
    <x v="5"/>
    <n v="75.000000000000014"/>
    <n v="375"/>
    <n v="281250.00000000006"/>
    <n v="56250.000000000015"/>
    <n v="0.2"/>
    <x v="0"/>
  </r>
  <r>
    <x v="3"/>
    <n v="1128299"/>
    <x v="74"/>
    <x v="2"/>
    <s v="Washington"/>
    <s v="Seattle"/>
    <x v="0"/>
    <n v="60.000000000000007"/>
    <n v="600"/>
    <n v="360000.00000000006"/>
    <n v="108000.00000000001"/>
    <n v="0.3"/>
    <x v="0"/>
  </r>
  <r>
    <x v="3"/>
    <n v="1128299"/>
    <x v="75"/>
    <x v="2"/>
    <s v="Washington"/>
    <s v="Seattle"/>
    <x v="1"/>
    <n v="65.000000000000014"/>
    <n v="625"/>
    <n v="406250.00000000012"/>
    <n v="101562.50000000003"/>
    <n v="0.25"/>
    <x v="0"/>
  </r>
  <r>
    <x v="3"/>
    <n v="1128299"/>
    <x v="76"/>
    <x v="2"/>
    <s v="Washington"/>
    <s v="Seattle"/>
    <x v="2"/>
    <n v="60.000000000000007"/>
    <n v="475"/>
    <n v="285000.00000000006"/>
    <n v="71250.000000000015"/>
    <n v="0.25"/>
    <x v="0"/>
  </r>
  <r>
    <x v="3"/>
    <n v="1128299"/>
    <x v="77"/>
    <x v="2"/>
    <s v="Washington"/>
    <s v="Seattle"/>
    <x v="3"/>
    <n v="70.000000000000014"/>
    <n v="450"/>
    <n v="315000.00000000006"/>
    <n v="94500.000000000015"/>
    <n v="0.3"/>
    <x v="0"/>
  </r>
  <r>
    <x v="3"/>
    <n v="1128299"/>
    <x v="78"/>
    <x v="2"/>
    <s v="Washington"/>
    <s v="Seattle"/>
    <x v="4"/>
    <n v="90.000000000000014"/>
    <n v="425"/>
    <n v="382500.00000000006"/>
    <n v="95625.000000000015"/>
    <n v="0.25"/>
    <x v="0"/>
  </r>
  <r>
    <x v="3"/>
    <n v="1128299"/>
    <x v="79"/>
    <x v="2"/>
    <s v="Washington"/>
    <s v="Seattle"/>
    <x v="5"/>
    <n v="95.000000000000014"/>
    <n v="550"/>
    <n v="522500.00000000006"/>
    <n v="104500.00000000001"/>
    <n v="0.2"/>
    <x v="0"/>
  </r>
  <r>
    <x v="3"/>
    <n v="1128299"/>
    <x v="80"/>
    <x v="2"/>
    <s v="Washington"/>
    <s v="Seattle"/>
    <x v="0"/>
    <n v="80.000000000000014"/>
    <n v="750"/>
    <n v="600000.00000000012"/>
    <n v="180000.00000000003"/>
    <n v="0.3"/>
    <x v="0"/>
  </r>
  <r>
    <x v="3"/>
    <n v="1128299"/>
    <x v="81"/>
    <x v="2"/>
    <s v="Washington"/>
    <s v="Seattle"/>
    <x v="1"/>
    <n v="85.000000000000014"/>
    <n v="750"/>
    <n v="637500.00000000012"/>
    <n v="159375.00000000003"/>
    <n v="0.25"/>
    <x v="0"/>
  </r>
  <r>
    <x v="3"/>
    <n v="1128299"/>
    <x v="82"/>
    <x v="2"/>
    <s v="Washington"/>
    <s v="Seattle"/>
    <x v="2"/>
    <n v="80.000000000000014"/>
    <n v="550"/>
    <n v="440000.00000000006"/>
    <n v="110000.00000000001"/>
    <n v="0.25"/>
    <x v="0"/>
  </r>
  <r>
    <x v="3"/>
    <n v="1128299"/>
    <x v="83"/>
    <x v="2"/>
    <s v="Washington"/>
    <s v="Seattle"/>
    <x v="3"/>
    <n v="80.000000000000014"/>
    <n v="550"/>
    <n v="440000.00000000006"/>
    <n v="132000"/>
    <n v="0.3"/>
    <x v="0"/>
  </r>
  <r>
    <x v="3"/>
    <n v="1128299"/>
    <x v="84"/>
    <x v="2"/>
    <s v="Washington"/>
    <s v="Seattle"/>
    <x v="4"/>
    <n v="90.000000000000014"/>
    <n v="475"/>
    <n v="427500.00000000006"/>
    <n v="106875.00000000001"/>
    <n v="0.25"/>
    <x v="0"/>
  </r>
  <r>
    <x v="3"/>
    <n v="1128299"/>
    <x v="85"/>
    <x v="2"/>
    <s v="Washington"/>
    <s v="Seattle"/>
    <x v="5"/>
    <n v="95.000000000000014"/>
    <n v="575"/>
    <n v="546250.00000000012"/>
    <n v="109250.00000000003"/>
    <n v="0.2"/>
    <x v="0"/>
  </r>
  <r>
    <x v="0"/>
    <n v="1185732"/>
    <x v="86"/>
    <x v="2"/>
    <s v="Washington"/>
    <s v="Seattle"/>
    <x v="0"/>
    <n v="45"/>
    <n v="1050"/>
    <n v="472500"/>
    <n v="212625"/>
    <n v="0.45"/>
    <x v="0"/>
  </r>
  <r>
    <x v="0"/>
    <n v="1185732"/>
    <x v="87"/>
    <x v="2"/>
    <s v="Washington"/>
    <s v="Seattle"/>
    <x v="1"/>
    <n v="45"/>
    <n v="850"/>
    <n v="382500"/>
    <n v="133875"/>
    <n v="0.35"/>
    <x v="0"/>
  </r>
  <r>
    <x v="0"/>
    <n v="1185732"/>
    <x v="88"/>
    <x v="2"/>
    <s v="Washington"/>
    <s v="Seattle"/>
    <x v="2"/>
    <n v="35"/>
    <n v="850"/>
    <n v="297500"/>
    <n v="74375"/>
    <n v="0.25"/>
    <x v="0"/>
  </r>
  <r>
    <x v="0"/>
    <n v="1185732"/>
    <x v="89"/>
    <x v="2"/>
    <s v="Washington"/>
    <s v="Seattle"/>
    <x v="3"/>
    <n v="40"/>
    <n v="700"/>
    <n v="280000"/>
    <n v="84000"/>
    <n v="0.3"/>
    <x v="0"/>
  </r>
  <r>
    <x v="0"/>
    <n v="1185732"/>
    <x v="90"/>
    <x v="4"/>
    <s v="Florida"/>
    <s v="Miami"/>
    <x v="4"/>
    <n v="55.000000000000007"/>
    <n v="750"/>
    <n v="412500.00000000006"/>
    <n v="144375"/>
    <n v="0.35"/>
    <x v="0"/>
  </r>
  <r>
    <x v="0"/>
    <n v="1185732"/>
    <x v="91"/>
    <x v="4"/>
    <s v="Florida"/>
    <s v="Miami"/>
    <x v="5"/>
    <n v="45"/>
    <n v="850"/>
    <n v="382500"/>
    <n v="191250"/>
    <n v="0.5"/>
    <x v="0"/>
  </r>
  <r>
    <x v="0"/>
    <n v="1185732"/>
    <x v="92"/>
    <x v="4"/>
    <s v="Florida"/>
    <s v="Miami"/>
    <x v="0"/>
    <n v="45"/>
    <n v="1100"/>
    <n v="495000"/>
    <n v="222750"/>
    <n v="0.45"/>
    <x v="0"/>
  </r>
  <r>
    <x v="0"/>
    <n v="1185732"/>
    <x v="93"/>
    <x v="4"/>
    <s v="Florida"/>
    <s v="Miami"/>
    <x v="1"/>
    <n v="45"/>
    <n v="750"/>
    <n v="337500"/>
    <n v="118124.99999999999"/>
    <n v="0.35"/>
    <x v="0"/>
  </r>
  <r>
    <x v="0"/>
    <n v="1185732"/>
    <x v="94"/>
    <x v="4"/>
    <s v="Florida"/>
    <s v="Miami"/>
    <x v="2"/>
    <n v="35"/>
    <n v="800"/>
    <n v="280000"/>
    <n v="70000"/>
    <n v="0.25"/>
    <x v="0"/>
  </r>
  <r>
    <x v="3"/>
    <n v="1185732"/>
    <x v="95"/>
    <x v="4"/>
    <s v="Florida"/>
    <s v="Miami"/>
    <x v="3"/>
    <n v="40"/>
    <n v="675"/>
    <n v="270000"/>
    <n v="81000"/>
    <n v="0.3"/>
    <x v="0"/>
  </r>
  <r>
    <x v="0"/>
    <n v="1185732"/>
    <x v="96"/>
    <x v="4"/>
    <s v="Florida"/>
    <s v="Miami"/>
    <x v="4"/>
    <n v="55.000000000000007"/>
    <n v="750"/>
    <n v="412500.00000000006"/>
    <n v="144375"/>
    <n v="0.35"/>
    <x v="0"/>
  </r>
  <r>
    <x v="0"/>
    <n v="1185732"/>
    <x v="97"/>
    <x v="4"/>
    <s v="Florida"/>
    <s v="Miami"/>
    <x v="5"/>
    <n v="45"/>
    <n v="850"/>
    <n v="382500"/>
    <n v="191250"/>
    <n v="0.5"/>
    <x v="0"/>
  </r>
  <r>
    <x v="0"/>
    <n v="1185732"/>
    <x v="98"/>
    <x v="4"/>
    <s v="Florida"/>
    <s v="Miami"/>
    <x v="0"/>
    <n v="45"/>
    <n v="1070"/>
    <n v="481500"/>
    <n v="216675"/>
    <n v="0.45"/>
    <x v="0"/>
  </r>
  <r>
    <x v="0"/>
    <n v="1185732"/>
    <x v="99"/>
    <x v="4"/>
    <s v="Florida"/>
    <s v="Miami"/>
    <x v="1"/>
    <n v="45"/>
    <n v="750"/>
    <n v="337500"/>
    <n v="118124.99999999999"/>
    <n v="0.35"/>
    <x v="0"/>
  </r>
  <r>
    <x v="0"/>
    <n v="1185732"/>
    <x v="100"/>
    <x v="4"/>
    <s v="Florida"/>
    <s v="Miami"/>
    <x v="2"/>
    <n v="35"/>
    <n v="775"/>
    <n v="271250"/>
    <n v="67812.5"/>
    <n v="0.25"/>
    <x v="0"/>
  </r>
  <r>
    <x v="0"/>
    <n v="1185732"/>
    <x v="101"/>
    <x v="4"/>
    <s v="Florida"/>
    <s v="Miami"/>
    <x v="3"/>
    <n v="40"/>
    <n v="625"/>
    <n v="250000"/>
    <n v="75000"/>
    <n v="0.3"/>
    <x v="0"/>
  </r>
  <r>
    <x v="0"/>
    <n v="1185732"/>
    <x v="102"/>
    <x v="4"/>
    <s v="Florida"/>
    <s v="Miami"/>
    <x v="4"/>
    <n v="55.000000000000007"/>
    <n v="675"/>
    <n v="371250.00000000006"/>
    <n v="129937.50000000001"/>
    <n v="0.35"/>
    <x v="0"/>
  </r>
  <r>
    <x v="0"/>
    <n v="1185732"/>
    <x v="103"/>
    <x v="4"/>
    <s v="Florida"/>
    <s v="Miami"/>
    <x v="5"/>
    <n v="45"/>
    <n v="775"/>
    <n v="348750"/>
    <n v="174375"/>
    <n v="0.5"/>
    <x v="0"/>
  </r>
  <r>
    <x v="0"/>
    <n v="1185732"/>
    <x v="53"/>
    <x v="4"/>
    <s v="Florida"/>
    <s v="Miami"/>
    <x v="0"/>
    <n v="45"/>
    <n v="1025"/>
    <n v="461250"/>
    <n v="207562.5"/>
    <n v="0.45"/>
    <x v="0"/>
  </r>
  <r>
    <x v="0"/>
    <n v="1185732"/>
    <x v="53"/>
    <x v="4"/>
    <s v="Florida"/>
    <s v="Miami"/>
    <x v="1"/>
    <n v="45"/>
    <n v="725"/>
    <n v="326250"/>
    <n v="114187.5"/>
    <n v="0.35"/>
    <x v="0"/>
  </r>
  <r>
    <x v="3"/>
    <n v="1185732"/>
    <x v="53"/>
    <x v="4"/>
    <s v="Florida"/>
    <s v="Miami"/>
    <x v="2"/>
    <n v="35"/>
    <n v="725"/>
    <n v="253750"/>
    <n v="63437.5"/>
    <n v="0.25"/>
    <x v="0"/>
  </r>
  <r>
    <x v="3"/>
    <n v="1185732"/>
    <x v="53"/>
    <x v="4"/>
    <s v="Florida"/>
    <s v="Miami"/>
    <x v="3"/>
    <n v="40"/>
    <n v="650"/>
    <n v="260000"/>
    <n v="78000"/>
    <n v="0.3"/>
    <x v="0"/>
  </r>
  <r>
    <x v="3"/>
    <n v="1185732"/>
    <x v="53"/>
    <x v="4"/>
    <s v="Florida"/>
    <s v="Miami"/>
    <x v="4"/>
    <n v="55.000000000000007"/>
    <n v="675"/>
    <n v="371250.00000000006"/>
    <n v="129937.50000000001"/>
    <n v="0.35"/>
    <x v="0"/>
  </r>
  <r>
    <x v="3"/>
    <n v="1185732"/>
    <x v="53"/>
    <x v="4"/>
    <s v="Florida"/>
    <s v="Miami"/>
    <x v="5"/>
    <n v="45"/>
    <n v="800"/>
    <n v="360000"/>
    <n v="180000"/>
    <n v="0.5"/>
    <x v="0"/>
  </r>
  <r>
    <x v="3"/>
    <n v="1185732"/>
    <x v="53"/>
    <x v="4"/>
    <s v="Florida"/>
    <s v="Miami"/>
    <x v="0"/>
    <n v="55.000000000000007"/>
    <n v="1070"/>
    <n v="588500.00000000012"/>
    <n v="264825.00000000006"/>
    <n v="0.45"/>
    <x v="0"/>
  </r>
  <r>
    <x v="3"/>
    <n v="1185732"/>
    <x v="53"/>
    <x v="4"/>
    <s v="Florida"/>
    <s v="Miami"/>
    <x v="1"/>
    <n v="55.000000000000007"/>
    <n v="775"/>
    <n v="426250.00000000006"/>
    <n v="149187.5"/>
    <n v="0.35"/>
    <x v="0"/>
  </r>
  <r>
    <x v="3"/>
    <n v="1185732"/>
    <x v="53"/>
    <x v="4"/>
    <s v="Florida"/>
    <s v="Miami"/>
    <x v="2"/>
    <n v="50"/>
    <n v="750"/>
    <n v="375000"/>
    <n v="93750"/>
    <n v="0.25"/>
    <x v="0"/>
  </r>
  <r>
    <x v="3"/>
    <n v="1185732"/>
    <x v="53"/>
    <x v="4"/>
    <s v="Florida"/>
    <s v="Miami"/>
    <x v="3"/>
    <n v="50"/>
    <n v="700"/>
    <n v="350000"/>
    <n v="105000"/>
    <n v="0.3"/>
    <x v="0"/>
  </r>
  <r>
    <x v="3"/>
    <n v="1185732"/>
    <x v="53"/>
    <x v="4"/>
    <s v="Florida"/>
    <s v="Miami"/>
    <x v="4"/>
    <n v="60"/>
    <n v="725"/>
    <n v="435000"/>
    <n v="152250"/>
    <n v="0.35"/>
    <x v="0"/>
  </r>
  <r>
    <x v="3"/>
    <n v="1185732"/>
    <x v="53"/>
    <x v="4"/>
    <s v="Florida"/>
    <s v="Miami"/>
    <x v="5"/>
    <n v="65"/>
    <n v="825"/>
    <n v="536250"/>
    <n v="268125"/>
    <n v="0.5"/>
    <x v="0"/>
  </r>
  <r>
    <x v="3"/>
    <n v="1185732"/>
    <x v="53"/>
    <x v="4"/>
    <s v="Florida"/>
    <s v="Miami"/>
    <x v="0"/>
    <n v="60"/>
    <n v="1075"/>
    <n v="645000"/>
    <n v="290250"/>
    <n v="0.45"/>
    <x v="0"/>
  </r>
  <r>
    <x v="3"/>
    <n v="1185732"/>
    <x v="53"/>
    <x v="4"/>
    <s v="Florida"/>
    <s v="Miami"/>
    <x v="1"/>
    <n v="55.000000000000007"/>
    <n v="825"/>
    <n v="453750.00000000006"/>
    <n v="158812.5"/>
    <n v="0.35"/>
    <x v="0"/>
  </r>
  <r>
    <x v="3"/>
    <n v="1185732"/>
    <x v="118"/>
    <x v="4"/>
    <s v="Florida"/>
    <s v="Miami"/>
    <x v="2"/>
    <n v="50"/>
    <n v="800"/>
    <n v="400000"/>
    <n v="100000"/>
    <n v="0.25"/>
    <x v="0"/>
  </r>
  <r>
    <x v="3"/>
    <n v="1185732"/>
    <x v="119"/>
    <x v="4"/>
    <s v="Florida"/>
    <s v="Miami"/>
    <x v="3"/>
    <n v="50"/>
    <n v="775"/>
    <n v="387500"/>
    <n v="116250"/>
    <n v="0.3"/>
    <x v="0"/>
  </r>
  <r>
    <x v="3"/>
    <n v="1185732"/>
    <x v="120"/>
    <x v="4"/>
    <s v="Florida"/>
    <s v="Miami"/>
    <x v="4"/>
    <n v="65"/>
    <n v="775"/>
    <n v="503750"/>
    <n v="176312.5"/>
    <n v="0.35"/>
    <x v="0"/>
  </r>
  <r>
    <x v="3"/>
    <n v="1185732"/>
    <x v="121"/>
    <x v="4"/>
    <s v="Florida"/>
    <s v="Miami"/>
    <x v="5"/>
    <n v="70"/>
    <n v="925"/>
    <n v="647500"/>
    <n v="323750"/>
    <n v="0.5"/>
    <x v="0"/>
  </r>
  <r>
    <x v="3"/>
    <n v="1185732"/>
    <x v="122"/>
    <x v="4"/>
    <s v="Florida"/>
    <s v="Miami"/>
    <x v="0"/>
    <n v="65"/>
    <n v="1150"/>
    <n v="747500"/>
    <n v="336375"/>
    <n v="0.45"/>
    <x v="0"/>
  </r>
  <r>
    <x v="3"/>
    <n v="1185732"/>
    <x v="123"/>
    <x v="4"/>
    <s v="Florida"/>
    <s v="Miami"/>
    <x v="1"/>
    <n v="60.000000000000007"/>
    <n v="900"/>
    <n v="540000.00000000012"/>
    <n v="189000.00000000003"/>
    <n v="0.35"/>
    <x v="0"/>
  </r>
  <r>
    <x v="3"/>
    <n v="1185732"/>
    <x v="124"/>
    <x v="4"/>
    <s v="Florida"/>
    <s v="Miami"/>
    <x v="2"/>
    <n v="55.000000000000007"/>
    <n v="825"/>
    <n v="453750.00000000006"/>
    <n v="113437.50000000001"/>
    <n v="0.25"/>
    <x v="0"/>
  </r>
  <r>
    <x v="3"/>
    <n v="1185732"/>
    <x v="125"/>
    <x v="4"/>
    <s v="Florida"/>
    <s v="Miami"/>
    <x v="3"/>
    <n v="55.000000000000007"/>
    <n v="775"/>
    <n v="426250.00000000006"/>
    <n v="127875.00000000001"/>
    <n v="0.3"/>
    <x v="0"/>
  </r>
  <r>
    <x v="3"/>
    <n v="1185732"/>
    <x v="126"/>
    <x v="4"/>
    <s v="Florida"/>
    <s v="Miami"/>
    <x v="4"/>
    <n v="65"/>
    <n v="800"/>
    <n v="520000"/>
    <n v="182000"/>
    <n v="0.35"/>
    <x v="0"/>
  </r>
  <r>
    <x v="3"/>
    <n v="1185732"/>
    <x v="127"/>
    <x v="4"/>
    <s v="Florida"/>
    <s v="Miami"/>
    <x v="5"/>
    <n v="70"/>
    <n v="975"/>
    <n v="682500"/>
    <n v="341250"/>
    <n v="0.5"/>
    <x v="0"/>
  </r>
  <r>
    <x v="3"/>
    <n v="1185732"/>
    <x v="630"/>
    <x v="4"/>
    <s v="Florida"/>
    <s v="Miami"/>
    <x v="0"/>
    <n v="65"/>
    <n v="1125"/>
    <n v="731250"/>
    <n v="329062.5"/>
    <n v="0.45"/>
    <x v="0"/>
  </r>
  <r>
    <x v="3"/>
    <n v="1185732"/>
    <x v="631"/>
    <x v="4"/>
    <s v="Florida"/>
    <s v="Miami"/>
    <x v="1"/>
    <n v="60.000000000000007"/>
    <n v="900"/>
    <n v="540000.00000000012"/>
    <n v="189000.00000000003"/>
    <n v="0.35"/>
    <x v="0"/>
  </r>
  <r>
    <x v="3"/>
    <n v="1185732"/>
    <x v="632"/>
    <x v="4"/>
    <s v="Florida"/>
    <s v="Miami"/>
    <x v="2"/>
    <n v="55.000000000000007"/>
    <n v="825"/>
    <n v="453750.00000000006"/>
    <n v="113437.50000000001"/>
    <n v="0.25"/>
    <x v="0"/>
  </r>
  <r>
    <x v="0"/>
    <n v="1185732"/>
    <x v="633"/>
    <x v="4"/>
    <s v="Florida"/>
    <s v="Miami"/>
    <x v="3"/>
    <n v="45"/>
    <n v="775"/>
    <n v="348750"/>
    <n v="104625"/>
    <n v="0.3"/>
    <x v="0"/>
  </r>
  <r>
    <x v="0"/>
    <n v="1185732"/>
    <x v="634"/>
    <x v="4"/>
    <s v="Florida"/>
    <s v="Miami"/>
    <x v="4"/>
    <n v="55.000000000000007"/>
    <n v="750"/>
    <n v="412500.00000000006"/>
    <n v="144375"/>
    <n v="0.35"/>
    <x v="0"/>
  </r>
  <r>
    <x v="0"/>
    <n v="1185732"/>
    <x v="635"/>
    <x v="4"/>
    <s v="Florida"/>
    <s v="Miami"/>
    <x v="5"/>
    <n v="60.000000000000007"/>
    <n v="925"/>
    <n v="555000.00000000012"/>
    <n v="277500.00000000006"/>
    <n v="0.5"/>
    <x v="0"/>
  </r>
  <r>
    <x v="0"/>
    <n v="1185732"/>
    <x v="636"/>
    <x v="4"/>
    <s v="Florida"/>
    <s v="Miami"/>
    <x v="0"/>
    <n v="55.000000000000007"/>
    <n v="1050"/>
    <n v="577500.00000000012"/>
    <n v="259875.00000000006"/>
    <n v="0.45"/>
    <x v="0"/>
  </r>
  <r>
    <x v="0"/>
    <n v="1185732"/>
    <x v="637"/>
    <x v="4"/>
    <s v="Florida"/>
    <s v="Miami"/>
    <x v="1"/>
    <n v="50.000000000000014"/>
    <n v="850"/>
    <n v="425000.00000000012"/>
    <n v="148750.00000000003"/>
    <n v="0.35"/>
    <x v="0"/>
  </r>
  <r>
    <x v="2"/>
    <n v="1185732"/>
    <x v="638"/>
    <x v="4"/>
    <s v="Florida"/>
    <s v="Miami"/>
    <x v="2"/>
    <n v="45"/>
    <n v="750"/>
    <n v="337500"/>
    <n v="84375"/>
    <n v="0.25"/>
    <x v="0"/>
  </r>
  <r>
    <x v="2"/>
    <n v="1185732"/>
    <x v="639"/>
    <x v="4"/>
    <s v="Florida"/>
    <s v="Miami"/>
    <x v="3"/>
    <n v="45"/>
    <n v="725"/>
    <n v="326250"/>
    <n v="97875"/>
    <n v="0.3"/>
    <x v="0"/>
  </r>
  <r>
    <x v="2"/>
    <n v="1185732"/>
    <x v="640"/>
    <x v="4"/>
    <s v="Florida"/>
    <s v="Miami"/>
    <x v="4"/>
    <n v="55.000000000000007"/>
    <n v="725"/>
    <n v="398750.00000000006"/>
    <n v="139562.5"/>
    <n v="0.35"/>
    <x v="0"/>
  </r>
  <r>
    <x v="2"/>
    <n v="1185732"/>
    <x v="641"/>
    <x v="4"/>
    <s v="Florida"/>
    <s v="Miami"/>
    <x v="5"/>
    <n v="60.000000000000007"/>
    <n v="825"/>
    <n v="495000.00000000006"/>
    <n v="247500.00000000003"/>
    <n v="0.5"/>
    <x v="0"/>
  </r>
  <r>
    <x v="2"/>
    <n v="1185732"/>
    <x v="642"/>
    <x v="4"/>
    <s v="Florida"/>
    <s v="Miami"/>
    <x v="0"/>
    <n v="60.000000000000007"/>
    <n v="1000"/>
    <n v="600000.00000000012"/>
    <n v="270000.00000000006"/>
    <n v="0.45"/>
    <x v="0"/>
  </r>
  <r>
    <x v="2"/>
    <n v="1185732"/>
    <x v="643"/>
    <x v="4"/>
    <s v="Florida"/>
    <s v="Miami"/>
    <x v="1"/>
    <n v="50.000000000000014"/>
    <n v="825"/>
    <n v="412500.00000000012"/>
    <n v="144375.00000000003"/>
    <n v="0.35"/>
    <x v="0"/>
  </r>
  <r>
    <x v="2"/>
    <n v="1185732"/>
    <x v="644"/>
    <x v="4"/>
    <s v="Florida"/>
    <s v="Miami"/>
    <x v="2"/>
    <n v="50.000000000000014"/>
    <n v="725"/>
    <n v="362500.00000000012"/>
    <n v="90625.000000000029"/>
    <n v="0.25"/>
    <x v="0"/>
  </r>
  <r>
    <x v="2"/>
    <n v="1185732"/>
    <x v="645"/>
    <x v="4"/>
    <s v="Florida"/>
    <s v="Miami"/>
    <x v="3"/>
    <n v="50.000000000000014"/>
    <n v="700"/>
    <n v="350000.00000000012"/>
    <n v="105000.00000000003"/>
    <n v="0.3"/>
    <x v="0"/>
  </r>
  <r>
    <x v="2"/>
    <n v="1185732"/>
    <x v="646"/>
    <x v="4"/>
    <s v="Florida"/>
    <s v="Miami"/>
    <x v="4"/>
    <n v="60.000000000000007"/>
    <n v="700"/>
    <n v="420000.00000000006"/>
    <n v="147000"/>
    <n v="0.35"/>
    <x v="0"/>
  </r>
  <r>
    <x v="2"/>
    <n v="1185732"/>
    <x v="647"/>
    <x v="4"/>
    <s v="Florida"/>
    <s v="Miami"/>
    <x v="5"/>
    <n v="65"/>
    <n v="825"/>
    <n v="536250"/>
    <n v="268125"/>
    <n v="0.5"/>
    <x v="0"/>
  </r>
  <r>
    <x v="2"/>
    <n v="1185732"/>
    <x v="648"/>
    <x v="4"/>
    <s v="Florida"/>
    <s v="Miami"/>
    <x v="0"/>
    <n v="60.000000000000007"/>
    <n v="975"/>
    <n v="585000.00000000012"/>
    <n v="263250.00000000006"/>
    <n v="0.45"/>
    <x v="0"/>
  </r>
  <r>
    <x v="2"/>
    <n v="1185732"/>
    <x v="649"/>
    <x v="4"/>
    <s v="Florida"/>
    <s v="Miami"/>
    <x v="1"/>
    <n v="50.000000000000014"/>
    <n v="800"/>
    <n v="400000.00000000012"/>
    <n v="140000.00000000003"/>
    <n v="0.35"/>
    <x v="0"/>
  </r>
  <r>
    <x v="2"/>
    <n v="1185732"/>
    <x v="650"/>
    <x v="4"/>
    <s v="Florida"/>
    <s v="Miami"/>
    <x v="2"/>
    <n v="50.000000000000014"/>
    <n v="745"/>
    <n v="372500.00000000012"/>
    <n v="93125.000000000029"/>
    <n v="0.25"/>
    <x v="0"/>
  </r>
  <r>
    <x v="2"/>
    <n v="1185732"/>
    <x v="651"/>
    <x v="4"/>
    <s v="Florida"/>
    <s v="Miami"/>
    <x v="3"/>
    <n v="50.000000000000014"/>
    <n v="775"/>
    <n v="387500.00000000012"/>
    <n v="116250.00000000003"/>
    <n v="0.3"/>
    <x v="0"/>
  </r>
  <r>
    <x v="2"/>
    <n v="1185732"/>
    <x v="652"/>
    <x v="4"/>
    <s v="Florida"/>
    <s v="Miami"/>
    <x v="4"/>
    <n v="65"/>
    <n v="750"/>
    <n v="487500"/>
    <n v="170625"/>
    <n v="0.35"/>
    <x v="0"/>
  </r>
  <r>
    <x v="2"/>
    <n v="1185732"/>
    <x v="653"/>
    <x v="4"/>
    <s v="Florida"/>
    <s v="Miami"/>
    <x v="5"/>
    <n v="70"/>
    <n v="850"/>
    <n v="595000"/>
    <n v="297500"/>
    <n v="0.5"/>
    <x v="0"/>
  </r>
  <r>
    <x v="2"/>
    <n v="1185732"/>
    <x v="575"/>
    <x v="4"/>
    <s v="Florida"/>
    <s v="Miami"/>
    <x v="0"/>
    <n v="65"/>
    <n v="1075"/>
    <n v="698750"/>
    <n v="314437.5"/>
    <n v="0.45"/>
    <x v="0"/>
  </r>
  <r>
    <x v="2"/>
    <n v="1185732"/>
    <x v="575"/>
    <x v="4"/>
    <s v="Florida"/>
    <s v="Miami"/>
    <x v="1"/>
    <n v="55.000000000000007"/>
    <n v="875"/>
    <n v="481250.00000000006"/>
    <n v="168437.5"/>
    <n v="0.35"/>
    <x v="0"/>
  </r>
  <r>
    <x v="2"/>
    <n v="1185732"/>
    <x v="575"/>
    <x v="4"/>
    <s v="Florida"/>
    <s v="Miami"/>
    <x v="2"/>
    <n v="55.000000000000007"/>
    <n v="825"/>
    <n v="453750.00000000006"/>
    <n v="113437.50000000001"/>
    <n v="0.25"/>
    <x v="0"/>
  </r>
  <r>
    <x v="2"/>
    <n v="1185732"/>
    <x v="575"/>
    <x v="4"/>
    <s v="Florida"/>
    <s v="Miami"/>
    <x v="3"/>
    <n v="55.000000000000007"/>
    <n v="775"/>
    <n v="426250.00000000006"/>
    <n v="127875.00000000001"/>
    <n v="0.3"/>
    <x v="0"/>
  </r>
  <r>
    <x v="0"/>
    <n v="1185732"/>
    <x v="575"/>
    <x v="4"/>
    <s v="Florida"/>
    <s v="Miami"/>
    <x v="4"/>
    <n v="65"/>
    <n v="775"/>
    <n v="503750"/>
    <n v="176312.5"/>
    <n v="0.35"/>
    <x v="0"/>
  </r>
  <r>
    <x v="0"/>
    <n v="1185732"/>
    <x v="575"/>
    <x v="4"/>
    <s v="Florida"/>
    <s v="Miami"/>
    <x v="5"/>
    <n v="70"/>
    <n v="875"/>
    <n v="612500"/>
    <n v="306250"/>
    <n v="0.5"/>
    <x v="0"/>
  </r>
  <r>
    <x v="0"/>
    <n v="1185732"/>
    <x v="654"/>
    <x v="4"/>
    <s v="Florida"/>
    <s v="Miami"/>
    <x v="0"/>
    <n v="35"/>
    <n v="450"/>
    <n v="157500"/>
    <n v="55125.000000000007"/>
    <n v="0.35000000000000003"/>
    <x v="0"/>
  </r>
  <r>
    <x v="0"/>
    <n v="1185732"/>
    <x v="655"/>
    <x v="4"/>
    <s v="Florida"/>
    <s v="Miami"/>
    <x v="1"/>
    <n v="35"/>
    <n v="250"/>
    <n v="87500"/>
    <n v="26250"/>
    <n v="0.3"/>
    <x v="0"/>
  </r>
  <r>
    <x v="0"/>
    <n v="1185732"/>
    <x v="656"/>
    <x v="4"/>
    <s v="Florida"/>
    <s v="Miami"/>
    <x v="2"/>
    <n v="25"/>
    <n v="250"/>
    <n v="62500"/>
    <n v="18750"/>
    <n v="0.3"/>
    <x v="0"/>
  </r>
  <r>
    <x v="0"/>
    <n v="1185732"/>
    <x v="128"/>
    <x v="4"/>
    <s v="Florida"/>
    <s v="Miami"/>
    <x v="3"/>
    <n v="30.000000000000004"/>
    <n v="100"/>
    <n v="30000.000000000004"/>
    <n v="10500.000000000002"/>
    <n v="0.35000000000000003"/>
    <x v="0"/>
  </r>
  <r>
    <x v="0"/>
    <n v="1185732"/>
    <x v="129"/>
    <x v="3"/>
    <s v="Minnesota"/>
    <s v="Minneapolis"/>
    <x v="4"/>
    <n v="44.999999999999993"/>
    <n v="150"/>
    <n v="67499.999999999985"/>
    <n v="20249.999999999996"/>
    <n v="0.3"/>
    <x v="0"/>
  </r>
  <r>
    <x v="0"/>
    <n v="1185732"/>
    <x v="130"/>
    <x v="3"/>
    <s v="Minnesota"/>
    <s v="Minneapolis"/>
    <x v="5"/>
    <n v="35"/>
    <n v="250"/>
    <n v="87500"/>
    <n v="39375"/>
    <n v="0.45"/>
    <x v="0"/>
  </r>
  <r>
    <x v="0"/>
    <n v="1185732"/>
    <x v="131"/>
    <x v="3"/>
    <s v="Minnesota"/>
    <s v="Minneapolis"/>
    <x v="0"/>
    <n v="35"/>
    <n v="500"/>
    <n v="175000"/>
    <n v="61250.000000000007"/>
    <n v="0.35000000000000003"/>
    <x v="0"/>
  </r>
  <r>
    <x v="0"/>
    <n v="1185732"/>
    <x v="132"/>
    <x v="3"/>
    <s v="Minnesota"/>
    <s v="Minneapolis"/>
    <x v="1"/>
    <n v="35"/>
    <n v="150"/>
    <n v="52500"/>
    <n v="15750"/>
    <n v="0.3"/>
    <x v="0"/>
  </r>
  <r>
    <x v="0"/>
    <n v="1185732"/>
    <x v="133"/>
    <x v="3"/>
    <s v="Minnesota"/>
    <s v="Minneapolis"/>
    <x v="2"/>
    <n v="25"/>
    <n v="200"/>
    <n v="50000"/>
    <n v="15000"/>
    <n v="0.3"/>
    <x v="0"/>
  </r>
  <r>
    <x v="0"/>
    <n v="1185732"/>
    <x v="134"/>
    <x v="3"/>
    <s v="Minnesota"/>
    <s v="Minneapolis"/>
    <x v="3"/>
    <n v="30.000000000000004"/>
    <n v="75"/>
    <n v="22500.000000000004"/>
    <n v="7875.0000000000018"/>
    <n v="0.35000000000000003"/>
    <x v="0"/>
  </r>
  <r>
    <x v="0"/>
    <n v="1185732"/>
    <x v="135"/>
    <x v="3"/>
    <s v="Minnesota"/>
    <s v="Minneapolis"/>
    <x v="4"/>
    <n v="44.999999999999993"/>
    <n v="150"/>
    <n v="67499.999999999985"/>
    <n v="20249.999999999996"/>
    <n v="0.3"/>
    <x v="0"/>
  </r>
  <r>
    <x v="0"/>
    <n v="1185732"/>
    <x v="136"/>
    <x v="3"/>
    <s v="Minnesota"/>
    <s v="Minneapolis"/>
    <x v="5"/>
    <n v="35"/>
    <n v="225"/>
    <n v="78750"/>
    <n v="35437.5"/>
    <n v="0.45"/>
    <x v="0"/>
  </r>
  <r>
    <x v="0"/>
    <n v="1185732"/>
    <x v="137"/>
    <x v="3"/>
    <s v="Minnesota"/>
    <s v="Minneapolis"/>
    <x v="0"/>
    <n v="40"/>
    <n v="445"/>
    <n v="178000"/>
    <n v="62300.000000000007"/>
    <n v="0.35000000000000003"/>
    <x v="0"/>
  </r>
  <r>
    <x v="0"/>
    <n v="1185732"/>
    <x v="138"/>
    <x v="3"/>
    <s v="Minnesota"/>
    <s v="Minneapolis"/>
    <x v="1"/>
    <n v="40"/>
    <n v="125"/>
    <n v="50000"/>
    <n v="15000"/>
    <n v="0.3"/>
    <x v="0"/>
  </r>
  <r>
    <x v="0"/>
    <n v="1185732"/>
    <x v="139"/>
    <x v="3"/>
    <s v="Minnesota"/>
    <s v="Minneapolis"/>
    <x v="2"/>
    <n v="30.000000000000004"/>
    <n v="175"/>
    <n v="52500.000000000007"/>
    <n v="15750.000000000002"/>
    <n v="0.3"/>
    <x v="0"/>
  </r>
  <r>
    <x v="0"/>
    <n v="1185732"/>
    <x v="140"/>
    <x v="3"/>
    <s v="Minnesota"/>
    <s v="Minneapolis"/>
    <x v="3"/>
    <n v="35"/>
    <n v="25"/>
    <n v="8750"/>
    <n v="3062.5000000000005"/>
    <n v="0.35000000000000003"/>
    <x v="0"/>
  </r>
  <r>
    <x v="0"/>
    <n v="1185732"/>
    <x v="141"/>
    <x v="3"/>
    <s v="Minnesota"/>
    <s v="Minneapolis"/>
    <x v="4"/>
    <n v="50"/>
    <n v="75"/>
    <n v="37500"/>
    <n v="11250"/>
    <n v="0.3"/>
    <x v="0"/>
  </r>
  <r>
    <x v="0"/>
    <n v="1185732"/>
    <x v="142"/>
    <x v="3"/>
    <s v="Minnesota"/>
    <s v="Minneapolis"/>
    <x v="5"/>
    <n v="40"/>
    <n v="175"/>
    <n v="70000"/>
    <n v="31500"/>
    <n v="0.45"/>
    <x v="0"/>
  </r>
  <r>
    <x v="0"/>
    <n v="1185732"/>
    <x v="143"/>
    <x v="3"/>
    <s v="Minnesota"/>
    <s v="Minneapolis"/>
    <x v="0"/>
    <n v="40"/>
    <n v="400"/>
    <n v="160000"/>
    <n v="56000.000000000007"/>
    <n v="0.35000000000000003"/>
    <x v="0"/>
  </r>
  <r>
    <x v="0"/>
    <n v="1185732"/>
    <x v="144"/>
    <x v="3"/>
    <s v="Minnesota"/>
    <s v="Minneapolis"/>
    <x v="1"/>
    <n v="40"/>
    <n v="100"/>
    <n v="40000"/>
    <n v="12000"/>
    <n v="0.3"/>
    <x v="0"/>
  </r>
  <r>
    <x v="0"/>
    <n v="1185732"/>
    <x v="145"/>
    <x v="3"/>
    <s v="Minnesota"/>
    <s v="Minneapolis"/>
    <x v="2"/>
    <n v="30.000000000000004"/>
    <n v="100"/>
    <n v="30000.000000000004"/>
    <n v="9000"/>
    <n v="0.3"/>
    <x v="0"/>
  </r>
  <r>
    <x v="0"/>
    <n v="1185732"/>
    <x v="146"/>
    <x v="3"/>
    <s v="Minnesota"/>
    <s v="Minneapolis"/>
    <x v="3"/>
    <n v="35"/>
    <n v="25"/>
    <n v="8750"/>
    <n v="3062.5000000000005"/>
    <n v="0.35000000000000003"/>
    <x v="0"/>
  </r>
  <r>
    <x v="0"/>
    <n v="1185732"/>
    <x v="147"/>
    <x v="3"/>
    <s v="Minnesota"/>
    <s v="Minneapolis"/>
    <x v="4"/>
    <n v="50"/>
    <n v="50"/>
    <n v="25000"/>
    <n v="7500"/>
    <n v="0.3"/>
    <x v="0"/>
  </r>
  <r>
    <x v="0"/>
    <n v="1185732"/>
    <x v="148"/>
    <x v="3"/>
    <s v="Minnesota"/>
    <s v="Minneapolis"/>
    <x v="5"/>
    <n v="40"/>
    <n v="175"/>
    <n v="70000"/>
    <n v="31500"/>
    <n v="0.45"/>
    <x v="0"/>
  </r>
  <r>
    <x v="0"/>
    <n v="1185732"/>
    <x v="149"/>
    <x v="3"/>
    <s v="Minnesota"/>
    <s v="Minneapolis"/>
    <x v="0"/>
    <n v="50"/>
    <n v="445"/>
    <n v="222500"/>
    <n v="77875.000000000015"/>
    <n v="0.35000000000000003"/>
    <x v="0"/>
  </r>
  <r>
    <x v="0"/>
    <n v="1185732"/>
    <x v="150"/>
    <x v="3"/>
    <s v="Minnesota"/>
    <s v="Minneapolis"/>
    <x v="1"/>
    <n v="45.000000000000007"/>
    <n v="150"/>
    <n v="67500.000000000015"/>
    <n v="20250.000000000004"/>
    <n v="0.3"/>
    <x v="0"/>
  </r>
  <r>
    <x v="0"/>
    <n v="1185732"/>
    <x v="151"/>
    <x v="3"/>
    <s v="Minnesota"/>
    <s v="Minneapolis"/>
    <x v="2"/>
    <n v="40"/>
    <n v="125"/>
    <n v="50000"/>
    <n v="15000"/>
    <n v="0.3"/>
    <x v="0"/>
  </r>
  <r>
    <x v="0"/>
    <n v="1185732"/>
    <x v="152"/>
    <x v="3"/>
    <s v="Minnesota"/>
    <s v="Minneapolis"/>
    <x v="3"/>
    <n v="40"/>
    <n v="50"/>
    <n v="20000"/>
    <n v="7000.0000000000009"/>
    <n v="0.35000000000000003"/>
    <x v="0"/>
  </r>
  <r>
    <x v="0"/>
    <n v="1185732"/>
    <x v="153"/>
    <x v="3"/>
    <s v="Minnesota"/>
    <s v="Minneapolis"/>
    <x v="4"/>
    <n v="54.999999999999993"/>
    <n v="75"/>
    <n v="41249.999999999993"/>
    <n v="12374.999999999998"/>
    <n v="0.3"/>
    <x v="0"/>
  </r>
  <r>
    <x v="0"/>
    <n v="1185732"/>
    <x v="154"/>
    <x v="3"/>
    <s v="Minnesota"/>
    <s v="Minneapolis"/>
    <x v="5"/>
    <n v="60"/>
    <n v="175"/>
    <n v="105000"/>
    <n v="47250"/>
    <n v="0.45"/>
    <x v="0"/>
  </r>
  <r>
    <x v="0"/>
    <n v="1185732"/>
    <x v="657"/>
    <x v="3"/>
    <s v="Minnesota"/>
    <s v="Minneapolis"/>
    <x v="0"/>
    <n v="45"/>
    <n v="425"/>
    <n v="191250"/>
    <n v="66937.5"/>
    <n v="0.35000000000000003"/>
    <x v="1"/>
  </r>
  <r>
    <x v="0"/>
    <n v="1185732"/>
    <x v="658"/>
    <x v="3"/>
    <s v="Minnesota"/>
    <s v="Minneapolis"/>
    <x v="1"/>
    <n v="40.000000000000007"/>
    <n v="175"/>
    <n v="70000.000000000015"/>
    <n v="21000.000000000004"/>
    <n v="0.3"/>
    <x v="1"/>
  </r>
  <r>
    <x v="0"/>
    <n v="1185732"/>
    <x v="659"/>
    <x v="3"/>
    <s v="Minnesota"/>
    <s v="Minneapolis"/>
    <x v="2"/>
    <n v="35"/>
    <n v="175"/>
    <n v="61250"/>
    <n v="18375"/>
    <n v="0.3"/>
    <x v="1"/>
  </r>
  <r>
    <x v="0"/>
    <n v="1185732"/>
    <x v="660"/>
    <x v="3"/>
    <s v="Minnesota"/>
    <s v="Minneapolis"/>
    <x v="3"/>
    <n v="35"/>
    <n v="150"/>
    <n v="52500"/>
    <n v="18375"/>
    <n v="0.35000000000000003"/>
    <x v="1"/>
  </r>
  <r>
    <x v="0"/>
    <n v="1185732"/>
    <x v="661"/>
    <x v="3"/>
    <s v="Minnesota"/>
    <s v="Minneapolis"/>
    <x v="4"/>
    <n v="50"/>
    <n v="150"/>
    <n v="75000"/>
    <n v="22500"/>
    <n v="0.3"/>
    <x v="1"/>
  </r>
  <r>
    <x v="0"/>
    <n v="1185732"/>
    <x v="662"/>
    <x v="3"/>
    <s v="Minnesota"/>
    <s v="Minneapolis"/>
    <x v="5"/>
    <n v="55.000000000000007"/>
    <n v="325"/>
    <n v="178750.00000000003"/>
    <n v="80437.500000000015"/>
    <n v="0.45"/>
    <x v="1"/>
  </r>
  <r>
    <x v="0"/>
    <n v="1185732"/>
    <x v="663"/>
    <x v="3"/>
    <s v="Minnesota"/>
    <s v="Minneapolis"/>
    <x v="0"/>
    <n v="50"/>
    <n v="550"/>
    <n v="275000"/>
    <n v="96250.000000000015"/>
    <n v="0.35000000000000003"/>
    <x v="1"/>
  </r>
  <r>
    <x v="0"/>
    <n v="1185732"/>
    <x v="664"/>
    <x v="3"/>
    <s v="Minnesota"/>
    <s v="Minneapolis"/>
    <x v="1"/>
    <n v="45.000000000000007"/>
    <n v="300"/>
    <n v="135000.00000000003"/>
    <n v="40500.000000000007"/>
    <n v="0.3"/>
    <x v="1"/>
  </r>
  <r>
    <x v="0"/>
    <n v="1185732"/>
    <x v="665"/>
    <x v="3"/>
    <s v="Minnesota"/>
    <s v="Minneapolis"/>
    <x v="2"/>
    <n v="40"/>
    <n v="225"/>
    <n v="90000"/>
    <n v="27000"/>
    <n v="0.3"/>
    <x v="1"/>
  </r>
  <r>
    <x v="0"/>
    <n v="1185732"/>
    <x v="666"/>
    <x v="3"/>
    <s v="Minnesota"/>
    <s v="Minneapolis"/>
    <x v="3"/>
    <n v="40"/>
    <n v="175"/>
    <n v="70000"/>
    <n v="24500.000000000004"/>
    <n v="0.35000000000000003"/>
    <x v="1"/>
  </r>
  <r>
    <x v="0"/>
    <n v="1185732"/>
    <x v="667"/>
    <x v="3"/>
    <s v="Minnesota"/>
    <s v="Minneapolis"/>
    <x v="4"/>
    <n v="50"/>
    <n v="200"/>
    <n v="100000"/>
    <n v="30000"/>
    <n v="0.3"/>
    <x v="1"/>
  </r>
  <r>
    <x v="0"/>
    <n v="1185732"/>
    <x v="668"/>
    <x v="3"/>
    <s v="Minnesota"/>
    <s v="Minneapolis"/>
    <x v="5"/>
    <n v="55.000000000000007"/>
    <n v="375"/>
    <n v="206250.00000000003"/>
    <n v="92812.500000000015"/>
    <n v="0.45"/>
    <x v="1"/>
  </r>
  <r>
    <x v="0"/>
    <n v="1185732"/>
    <x v="669"/>
    <x v="3"/>
    <s v="Minnesota"/>
    <s v="Minneapolis"/>
    <x v="0"/>
    <n v="50"/>
    <n v="525"/>
    <n v="262500"/>
    <n v="91875.000000000015"/>
    <n v="0.35000000000000003"/>
    <x v="1"/>
  </r>
  <r>
    <x v="0"/>
    <n v="1185732"/>
    <x v="670"/>
    <x v="3"/>
    <s v="Minnesota"/>
    <s v="Minneapolis"/>
    <x v="1"/>
    <n v="45.000000000000007"/>
    <n v="300"/>
    <n v="135000.00000000003"/>
    <n v="40500.000000000007"/>
    <n v="0.3"/>
    <x v="1"/>
  </r>
  <r>
    <x v="0"/>
    <n v="1185732"/>
    <x v="671"/>
    <x v="3"/>
    <s v="Minnesota"/>
    <s v="Minneapolis"/>
    <x v="2"/>
    <n v="40"/>
    <n v="225"/>
    <n v="90000"/>
    <n v="27000"/>
    <n v="0.3"/>
    <x v="1"/>
  </r>
  <r>
    <x v="0"/>
    <n v="1185732"/>
    <x v="672"/>
    <x v="3"/>
    <s v="Minnesota"/>
    <s v="Minneapolis"/>
    <x v="3"/>
    <n v="35"/>
    <n v="175"/>
    <n v="61250"/>
    <n v="21437.500000000004"/>
    <n v="0.35000000000000003"/>
    <x v="1"/>
  </r>
  <r>
    <x v="0"/>
    <n v="1185732"/>
    <x v="673"/>
    <x v="3"/>
    <s v="Minnesota"/>
    <s v="Minneapolis"/>
    <x v="4"/>
    <n v="45"/>
    <n v="150"/>
    <n v="67500"/>
    <n v="20250"/>
    <n v="0.3"/>
    <x v="1"/>
  </r>
  <r>
    <x v="0"/>
    <n v="1185732"/>
    <x v="674"/>
    <x v="3"/>
    <s v="Minnesota"/>
    <s v="Minneapolis"/>
    <x v="5"/>
    <n v="50"/>
    <n v="325"/>
    <n v="162500"/>
    <n v="73125"/>
    <n v="0.45"/>
    <x v="1"/>
  </r>
  <r>
    <x v="0"/>
    <n v="1185732"/>
    <x v="675"/>
    <x v="3"/>
    <s v="Minnesota"/>
    <s v="Minneapolis"/>
    <x v="0"/>
    <n v="45"/>
    <n v="450"/>
    <n v="202500"/>
    <n v="70875"/>
    <n v="0.35000000000000003"/>
    <x v="1"/>
  </r>
  <r>
    <x v="0"/>
    <n v="1185732"/>
    <x v="676"/>
    <x v="3"/>
    <s v="Minnesota"/>
    <s v="Minneapolis"/>
    <x v="1"/>
    <n v="40.000000000000007"/>
    <n v="250"/>
    <n v="100000.00000000001"/>
    <n v="30000.000000000004"/>
    <n v="0.3"/>
    <x v="1"/>
  </r>
  <r>
    <x v="0"/>
    <n v="1185732"/>
    <x v="677"/>
    <x v="3"/>
    <s v="Minnesota"/>
    <s v="Minneapolis"/>
    <x v="2"/>
    <n v="25"/>
    <n v="150"/>
    <n v="37500"/>
    <n v="11250"/>
    <n v="0.3"/>
    <x v="1"/>
  </r>
  <r>
    <x v="0"/>
    <n v="1185732"/>
    <x v="678"/>
    <x v="3"/>
    <s v="Minnesota"/>
    <s v="Minneapolis"/>
    <x v="3"/>
    <n v="25"/>
    <n v="125"/>
    <n v="31250"/>
    <n v="10937.500000000002"/>
    <n v="0.35000000000000003"/>
    <x v="1"/>
  </r>
  <r>
    <x v="0"/>
    <n v="1185732"/>
    <x v="679"/>
    <x v="3"/>
    <s v="Minnesota"/>
    <s v="Minneapolis"/>
    <x v="4"/>
    <n v="35"/>
    <n v="125"/>
    <n v="43750"/>
    <n v="13125"/>
    <n v="0.3"/>
    <x v="1"/>
  </r>
  <r>
    <x v="0"/>
    <n v="1185732"/>
    <x v="680"/>
    <x v="3"/>
    <s v="Minnesota"/>
    <s v="Minneapolis"/>
    <x v="5"/>
    <n v="40"/>
    <n v="200"/>
    <n v="80000"/>
    <n v="36000"/>
    <n v="0.45"/>
    <x v="1"/>
  </r>
  <r>
    <x v="0"/>
    <n v="1185732"/>
    <x v="681"/>
    <x v="3"/>
    <s v="Minnesota"/>
    <s v="Minneapolis"/>
    <x v="0"/>
    <n v="44.999999999999993"/>
    <n v="375"/>
    <n v="168749.99999999997"/>
    <n v="59062.499999999993"/>
    <n v="0.35000000000000003"/>
    <x v="1"/>
  </r>
  <r>
    <x v="0"/>
    <n v="1185732"/>
    <x v="682"/>
    <x v="3"/>
    <s v="Minnesota"/>
    <s v="Minneapolis"/>
    <x v="1"/>
    <n v="35"/>
    <n v="200"/>
    <n v="70000"/>
    <n v="21000"/>
    <n v="0.3"/>
    <x v="1"/>
  </r>
  <r>
    <x v="0"/>
    <n v="1185732"/>
    <x v="683"/>
    <x v="3"/>
    <s v="Minnesota"/>
    <s v="Minneapolis"/>
    <x v="2"/>
    <n v="35"/>
    <n v="100"/>
    <n v="35000"/>
    <n v="10500"/>
    <n v="0.3"/>
    <x v="1"/>
  </r>
  <r>
    <x v="0"/>
    <n v="1185732"/>
    <x v="684"/>
    <x v="3"/>
    <s v="Minnesota"/>
    <s v="Minneapolis"/>
    <x v="3"/>
    <n v="35"/>
    <n v="75"/>
    <n v="26250"/>
    <n v="9187.5"/>
    <n v="0.35000000000000003"/>
    <x v="1"/>
  </r>
  <r>
    <x v="0"/>
    <n v="1185732"/>
    <x v="685"/>
    <x v="3"/>
    <s v="Minnesota"/>
    <s v="Minneapolis"/>
    <x v="4"/>
    <n v="44.999999999999993"/>
    <n v="75"/>
    <n v="33749.999999999993"/>
    <n v="10124.999999999998"/>
    <n v="0.3"/>
    <x v="1"/>
  </r>
  <r>
    <x v="0"/>
    <n v="1185732"/>
    <x v="686"/>
    <x v="3"/>
    <s v="Minnesota"/>
    <s v="Minneapolis"/>
    <x v="5"/>
    <n v="49.999999999999986"/>
    <n v="200"/>
    <n v="99999.999999999971"/>
    <n v="44999.999999999985"/>
    <n v="0.45"/>
    <x v="1"/>
  </r>
  <r>
    <x v="0"/>
    <n v="1185732"/>
    <x v="687"/>
    <x v="3"/>
    <s v="Minnesota"/>
    <s v="Minneapolis"/>
    <x v="0"/>
    <n v="50"/>
    <n v="350"/>
    <n v="175000"/>
    <n v="61250.000000000007"/>
    <n v="0.35000000000000003"/>
    <x v="1"/>
  </r>
  <r>
    <x v="0"/>
    <n v="1185732"/>
    <x v="688"/>
    <x v="3"/>
    <s v="Minnesota"/>
    <s v="Minneapolis"/>
    <x v="1"/>
    <n v="40"/>
    <n v="200"/>
    <n v="80000"/>
    <n v="24000"/>
    <n v="0.3"/>
    <x v="1"/>
  </r>
  <r>
    <x v="0"/>
    <n v="1185732"/>
    <x v="689"/>
    <x v="3"/>
    <s v="Minnesota"/>
    <s v="Minneapolis"/>
    <x v="2"/>
    <n v="40"/>
    <n v="145"/>
    <n v="58000"/>
    <n v="17400"/>
    <n v="0.3"/>
    <x v="1"/>
  </r>
  <r>
    <x v="0"/>
    <n v="1185732"/>
    <x v="690"/>
    <x v="3"/>
    <s v="Minnesota"/>
    <s v="Minneapolis"/>
    <x v="3"/>
    <n v="40"/>
    <n v="150"/>
    <n v="60000"/>
    <n v="21000.000000000004"/>
    <n v="0.35000000000000003"/>
    <x v="1"/>
  </r>
  <r>
    <x v="0"/>
    <n v="1185732"/>
    <x v="691"/>
    <x v="3"/>
    <s v="Minnesota"/>
    <s v="Minneapolis"/>
    <x v="4"/>
    <n v="54.999999999999993"/>
    <n v="125"/>
    <n v="68749.999999999985"/>
    <n v="20624.999999999996"/>
    <n v="0.3"/>
    <x v="1"/>
  </r>
  <r>
    <x v="0"/>
    <n v="1185732"/>
    <x v="692"/>
    <x v="3"/>
    <s v="Minnesota"/>
    <s v="Minneapolis"/>
    <x v="5"/>
    <n v="59.999999999999986"/>
    <n v="225"/>
    <n v="134999.99999999997"/>
    <n v="60749.999999999985"/>
    <n v="0.45"/>
    <x v="1"/>
  </r>
  <r>
    <x v="0"/>
    <n v="1185732"/>
    <x v="155"/>
    <x v="3"/>
    <s v="Minnesota"/>
    <s v="Minneapolis"/>
    <x v="0"/>
    <n v="54.999999999999993"/>
    <n v="475"/>
    <n v="261249.99999999997"/>
    <n v="91437.5"/>
    <n v="0.35000000000000003"/>
    <x v="1"/>
  </r>
  <r>
    <x v="0"/>
    <n v="1185732"/>
    <x v="156"/>
    <x v="3"/>
    <s v="Minnesota"/>
    <s v="Minneapolis"/>
    <x v="1"/>
    <n v="45"/>
    <n v="275"/>
    <n v="123750"/>
    <n v="37125"/>
    <n v="0.3"/>
    <x v="1"/>
  </r>
  <r>
    <x v="0"/>
    <n v="1185732"/>
    <x v="157"/>
    <x v="3"/>
    <s v="Minnesota"/>
    <s v="Minneapolis"/>
    <x v="2"/>
    <n v="45"/>
    <n v="225"/>
    <n v="101250"/>
    <n v="30375"/>
    <n v="0.3"/>
    <x v="1"/>
  </r>
  <r>
    <x v="0"/>
    <n v="1185732"/>
    <x v="158"/>
    <x v="3"/>
    <s v="Minnesota"/>
    <s v="Minneapolis"/>
    <x v="3"/>
    <n v="45"/>
    <n v="175"/>
    <n v="78750"/>
    <n v="27562.500000000004"/>
    <n v="0.35000000000000003"/>
    <x v="1"/>
  </r>
  <r>
    <x v="0"/>
    <n v="1185732"/>
    <x v="159"/>
    <x v="3"/>
    <s v="Minnesota"/>
    <s v="Minneapolis"/>
    <x v="4"/>
    <n v="54.999999999999993"/>
    <n v="175"/>
    <n v="96249.999999999985"/>
    <n v="28874.999999999996"/>
    <n v="0.3"/>
    <x v="1"/>
  </r>
  <r>
    <x v="0"/>
    <n v="1185732"/>
    <x v="160"/>
    <x v="3"/>
    <s v="Minnesota"/>
    <s v="Minneapolis"/>
    <x v="5"/>
    <n v="59.999999999999986"/>
    <n v="275"/>
    <n v="164999.99999999997"/>
    <n v="74249.999999999985"/>
    <n v="0.45"/>
    <x v="1"/>
  </r>
  <r>
    <x v="4"/>
    <n v="1189833"/>
    <x v="161"/>
    <x v="3"/>
    <s v="Minnesota"/>
    <s v="Minneapolis"/>
    <x v="0"/>
    <n v="35"/>
    <n v="475"/>
    <n v="166250"/>
    <n v="74812.5"/>
    <n v="0.45"/>
    <x v="1"/>
  </r>
  <r>
    <x v="4"/>
    <n v="1189833"/>
    <x v="162"/>
    <x v="3"/>
    <s v="Minnesota"/>
    <s v="Minneapolis"/>
    <x v="1"/>
    <n v="45"/>
    <n v="475"/>
    <n v="213750"/>
    <n v="64125"/>
    <n v="0.3"/>
    <x v="1"/>
  </r>
  <r>
    <x v="4"/>
    <n v="1189833"/>
    <x v="163"/>
    <x v="3"/>
    <s v="Minnesota"/>
    <s v="Minneapolis"/>
    <x v="2"/>
    <n v="45"/>
    <n v="475"/>
    <n v="213750"/>
    <n v="96187.5"/>
    <n v="0.45"/>
    <x v="1"/>
  </r>
  <r>
    <x v="4"/>
    <n v="1189833"/>
    <x v="164"/>
    <x v="3"/>
    <s v="Minnesota"/>
    <s v="Minneapolis"/>
    <x v="3"/>
    <n v="45"/>
    <n v="325"/>
    <n v="146250"/>
    <n v="58499.999999999993"/>
    <n v="0.39999999999999997"/>
    <x v="1"/>
  </r>
  <r>
    <x v="4"/>
    <n v="1189833"/>
    <x v="165"/>
    <x v="3"/>
    <s v="Montana"/>
    <s v="Billings"/>
    <x v="4"/>
    <n v="50"/>
    <n v="275"/>
    <n v="137500"/>
    <n v="82500.000000000015"/>
    <n v="0.60000000000000009"/>
    <x v="1"/>
  </r>
  <r>
    <x v="4"/>
    <n v="1189833"/>
    <x v="166"/>
    <x v="3"/>
    <s v="Montana"/>
    <s v="Billings"/>
    <x v="5"/>
    <n v="45"/>
    <n v="475"/>
    <n v="213750"/>
    <n v="53437.5"/>
    <n v="0.25"/>
    <x v="1"/>
  </r>
  <r>
    <x v="4"/>
    <n v="1189833"/>
    <x v="167"/>
    <x v="3"/>
    <s v="Montana"/>
    <s v="Billings"/>
    <x v="0"/>
    <n v="35"/>
    <n v="525"/>
    <n v="183750"/>
    <n v="82687.5"/>
    <n v="0.45"/>
    <x v="1"/>
  </r>
  <r>
    <x v="4"/>
    <n v="1189833"/>
    <x v="168"/>
    <x v="3"/>
    <s v="Montana"/>
    <s v="Billings"/>
    <x v="1"/>
    <n v="45"/>
    <n v="425"/>
    <n v="191250"/>
    <n v="57375"/>
    <n v="0.3"/>
    <x v="1"/>
  </r>
  <r>
    <x v="4"/>
    <n v="1189833"/>
    <x v="169"/>
    <x v="3"/>
    <s v="Montana"/>
    <s v="Billings"/>
    <x v="2"/>
    <n v="45"/>
    <n v="450"/>
    <n v="202500"/>
    <n v="91125"/>
    <n v="0.45"/>
    <x v="1"/>
  </r>
  <r>
    <x v="4"/>
    <n v="1189833"/>
    <x v="170"/>
    <x v="3"/>
    <s v="Montana"/>
    <s v="Billings"/>
    <x v="3"/>
    <n v="45"/>
    <n v="300"/>
    <n v="135000"/>
    <n v="53999.999999999993"/>
    <n v="0.39999999999999997"/>
    <x v="1"/>
  </r>
  <r>
    <x v="4"/>
    <n v="1189833"/>
    <x v="171"/>
    <x v="3"/>
    <s v="Montana"/>
    <s v="Billings"/>
    <x v="4"/>
    <n v="50"/>
    <n v="225"/>
    <n v="112500"/>
    <n v="67500.000000000015"/>
    <n v="0.60000000000000009"/>
    <x v="1"/>
  </r>
  <r>
    <x v="4"/>
    <n v="1189833"/>
    <x v="172"/>
    <x v="3"/>
    <s v="Montana"/>
    <s v="Billings"/>
    <x v="5"/>
    <n v="45"/>
    <n v="425"/>
    <n v="191250"/>
    <n v="47812.5"/>
    <n v="0.25"/>
    <x v="1"/>
  </r>
  <r>
    <x v="4"/>
    <n v="1189833"/>
    <x v="173"/>
    <x v="3"/>
    <s v="Montana"/>
    <s v="Billings"/>
    <x v="0"/>
    <n v="35"/>
    <n v="575"/>
    <n v="201250"/>
    <n v="90562.5"/>
    <n v="0.45"/>
    <x v="1"/>
  </r>
  <r>
    <x v="4"/>
    <n v="1189833"/>
    <x v="174"/>
    <x v="3"/>
    <s v="Montana"/>
    <s v="Billings"/>
    <x v="1"/>
    <n v="45"/>
    <n v="425"/>
    <n v="191250"/>
    <n v="57375"/>
    <n v="0.3"/>
    <x v="1"/>
  </r>
  <r>
    <x v="4"/>
    <n v="1189833"/>
    <x v="175"/>
    <x v="3"/>
    <s v="Montana"/>
    <s v="Billings"/>
    <x v="2"/>
    <n v="45"/>
    <n v="425"/>
    <n v="191250"/>
    <n v="86062.5"/>
    <n v="0.45"/>
    <x v="1"/>
  </r>
  <r>
    <x v="4"/>
    <n v="1189833"/>
    <x v="176"/>
    <x v="3"/>
    <s v="Montana"/>
    <s v="Billings"/>
    <x v="3"/>
    <n v="45"/>
    <n v="325"/>
    <n v="146250"/>
    <n v="58499.999999999993"/>
    <n v="0.39999999999999997"/>
    <x v="1"/>
  </r>
  <r>
    <x v="4"/>
    <n v="1189833"/>
    <x v="177"/>
    <x v="3"/>
    <s v="Montana"/>
    <s v="Billings"/>
    <x v="4"/>
    <n v="50"/>
    <n v="200"/>
    <n v="100000"/>
    <n v="60000.000000000007"/>
    <n v="0.60000000000000009"/>
    <x v="1"/>
  </r>
  <r>
    <x v="4"/>
    <n v="1189833"/>
    <x v="178"/>
    <x v="3"/>
    <s v="Montana"/>
    <s v="Billings"/>
    <x v="5"/>
    <n v="45"/>
    <n v="400"/>
    <n v="180000"/>
    <n v="45000"/>
    <n v="0.25"/>
    <x v="1"/>
  </r>
  <r>
    <x v="4"/>
    <n v="1189833"/>
    <x v="179"/>
    <x v="3"/>
    <s v="Montana"/>
    <s v="Billings"/>
    <x v="0"/>
    <n v="45"/>
    <n v="575"/>
    <n v="258750"/>
    <n v="116437.5"/>
    <n v="0.45"/>
    <x v="1"/>
  </r>
  <r>
    <x v="4"/>
    <n v="1189833"/>
    <x v="180"/>
    <x v="3"/>
    <s v="Montana"/>
    <s v="Billings"/>
    <x v="1"/>
    <n v="45"/>
    <n v="375"/>
    <n v="168750"/>
    <n v="50625"/>
    <n v="0.3"/>
    <x v="1"/>
  </r>
  <r>
    <x v="4"/>
    <n v="1189833"/>
    <x v="181"/>
    <x v="3"/>
    <s v="Montana"/>
    <s v="Billings"/>
    <x v="2"/>
    <n v="45"/>
    <n v="400"/>
    <n v="180000"/>
    <n v="81000"/>
    <n v="0.45"/>
    <x v="1"/>
  </r>
  <r>
    <x v="4"/>
    <n v="1189833"/>
    <x v="182"/>
    <x v="3"/>
    <s v="Montana"/>
    <s v="Billings"/>
    <x v="3"/>
    <n v="40"/>
    <n v="300"/>
    <n v="120000"/>
    <n v="47999.999999999993"/>
    <n v="0.39999999999999997"/>
    <x v="1"/>
  </r>
  <r>
    <x v="4"/>
    <n v="1189833"/>
    <x v="183"/>
    <x v="3"/>
    <s v="Montana"/>
    <s v="Billings"/>
    <x v="4"/>
    <n v="45"/>
    <n v="200"/>
    <n v="90000"/>
    <n v="54000.000000000007"/>
    <n v="0.60000000000000009"/>
    <x v="1"/>
  </r>
  <r>
    <x v="4"/>
    <n v="1189833"/>
    <x v="184"/>
    <x v="3"/>
    <s v="Montana"/>
    <s v="Billings"/>
    <x v="5"/>
    <n v="60"/>
    <n v="375"/>
    <n v="225000"/>
    <n v="56250"/>
    <n v="0.25"/>
    <x v="1"/>
  </r>
  <r>
    <x v="4"/>
    <n v="1189833"/>
    <x v="185"/>
    <x v="3"/>
    <s v="Montana"/>
    <s v="Billings"/>
    <x v="0"/>
    <n v="40"/>
    <n v="575"/>
    <n v="230000"/>
    <n v="103500"/>
    <n v="0.45"/>
    <x v="1"/>
  </r>
  <r>
    <x v="4"/>
    <n v="1189833"/>
    <x v="186"/>
    <x v="3"/>
    <s v="Montana"/>
    <s v="Billings"/>
    <x v="1"/>
    <n v="45"/>
    <n v="425"/>
    <n v="191250"/>
    <n v="57375"/>
    <n v="0.3"/>
    <x v="1"/>
  </r>
  <r>
    <x v="4"/>
    <n v="1189833"/>
    <x v="187"/>
    <x v="3"/>
    <s v="Montana"/>
    <s v="Billings"/>
    <x v="2"/>
    <n v="45"/>
    <n v="425"/>
    <n v="191250"/>
    <n v="86062.5"/>
    <n v="0.45"/>
    <x v="1"/>
  </r>
  <r>
    <x v="4"/>
    <n v="1189833"/>
    <x v="188"/>
    <x v="3"/>
    <s v="Montana"/>
    <s v="Billings"/>
    <x v="3"/>
    <n v="40"/>
    <n v="325"/>
    <n v="130000"/>
    <n v="51999.999999999993"/>
    <n v="0.39999999999999997"/>
    <x v="1"/>
  </r>
  <r>
    <x v="4"/>
    <n v="1189833"/>
    <x v="189"/>
    <x v="3"/>
    <s v="Montana"/>
    <s v="Billings"/>
    <x v="4"/>
    <n v="45"/>
    <n v="225"/>
    <n v="101250"/>
    <n v="60750.000000000007"/>
    <n v="0.60000000000000009"/>
    <x v="1"/>
  </r>
  <r>
    <x v="4"/>
    <n v="1189833"/>
    <x v="190"/>
    <x v="3"/>
    <s v="Montana"/>
    <s v="Billings"/>
    <x v="5"/>
    <n v="60"/>
    <n v="400"/>
    <n v="240000"/>
    <n v="60000"/>
    <n v="0.25"/>
    <x v="1"/>
  </r>
  <r>
    <x v="4"/>
    <n v="1189833"/>
    <x v="191"/>
    <x v="3"/>
    <s v="Montana"/>
    <s v="Billings"/>
    <x v="0"/>
    <n v="40"/>
    <n v="675"/>
    <n v="270000"/>
    <n v="121500"/>
    <n v="0.45"/>
    <x v="1"/>
  </r>
  <r>
    <x v="4"/>
    <n v="1189833"/>
    <x v="192"/>
    <x v="3"/>
    <s v="Montana"/>
    <s v="Billings"/>
    <x v="1"/>
    <n v="45"/>
    <n v="525"/>
    <n v="236250"/>
    <n v="70875"/>
    <n v="0.3"/>
    <x v="1"/>
  </r>
  <r>
    <x v="4"/>
    <n v="1189833"/>
    <x v="193"/>
    <x v="3"/>
    <s v="Montana"/>
    <s v="Billings"/>
    <x v="2"/>
    <n v="45"/>
    <n v="550"/>
    <n v="247500"/>
    <n v="111375"/>
    <n v="0.45"/>
    <x v="1"/>
  </r>
  <r>
    <x v="4"/>
    <n v="1189833"/>
    <x v="194"/>
    <x v="3"/>
    <s v="Montana"/>
    <s v="Billings"/>
    <x v="3"/>
    <n v="40"/>
    <n v="425"/>
    <n v="170000"/>
    <n v="68000"/>
    <n v="0.39999999999999997"/>
    <x v="1"/>
  </r>
  <r>
    <x v="4"/>
    <n v="1189833"/>
    <x v="195"/>
    <x v="3"/>
    <s v="Montana"/>
    <s v="Billings"/>
    <x v="4"/>
    <n v="45"/>
    <n v="300"/>
    <n v="135000"/>
    <n v="81000.000000000015"/>
    <n v="0.60000000000000009"/>
    <x v="1"/>
  </r>
  <r>
    <x v="4"/>
    <n v="1189833"/>
    <x v="196"/>
    <x v="3"/>
    <s v="Montana"/>
    <s v="Billings"/>
    <x v="5"/>
    <n v="60"/>
    <n v="600"/>
    <n v="360000"/>
    <n v="90000"/>
    <n v="0.25"/>
    <x v="1"/>
  </r>
  <r>
    <x v="4"/>
    <n v="1189833"/>
    <x v="197"/>
    <x v="3"/>
    <s v="Montana"/>
    <s v="Billings"/>
    <x v="0"/>
    <n v="40"/>
    <n v="750"/>
    <n v="300000"/>
    <n v="135000"/>
    <n v="0.45"/>
    <x v="1"/>
  </r>
  <r>
    <x v="4"/>
    <n v="1189833"/>
    <x v="198"/>
    <x v="3"/>
    <s v="Montana"/>
    <s v="Billings"/>
    <x v="1"/>
    <n v="45"/>
    <n v="600"/>
    <n v="270000"/>
    <n v="81000"/>
    <n v="0.3"/>
    <x v="1"/>
  </r>
  <r>
    <x v="4"/>
    <n v="1189833"/>
    <x v="199"/>
    <x v="3"/>
    <s v="Montana"/>
    <s v="Billings"/>
    <x v="2"/>
    <n v="45"/>
    <n v="550"/>
    <n v="247500"/>
    <n v="111375"/>
    <n v="0.45"/>
    <x v="1"/>
  </r>
  <r>
    <x v="4"/>
    <n v="1189833"/>
    <x v="200"/>
    <x v="3"/>
    <s v="Montana"/>
    <s v="Billings"/>
    <x v="3"/>
    <n v="40"/>
    <n v="450"/>
    <n v="180000"/>
    <n v="72000"/>
    <n v="0.39999999999999997"/>
    <x v="1"/>
  </r>
  <r>
    <x v="4"/>
    <n v="1189833"/>
    <x v="201"/>
    <x v="3"/>
    <s v="Montana"/>
    <s v="Billings"/>
    <x v="4"/>
    <n v="45"/>
    <n v="475"/>
    <n v="213750"/>
    <n v="128250.00000000001"/>
    <n v="0.60000000000000009"/>
    <x v="1"/>
  </r>
  <r>
    <x v="4"/>
    <n v="1189833"/>
    <x v="202"/>
    <x v="3"/>
    <s v="Montana"/>
    <s v="Billings"/>
    <x v="5"/>
    <n v="60"/>
    <n v="475"/>
    <n v="285000"/>
    <n v="71250"/>
    <n v="0.25"/>
    <x v="1"/>
  </r>
  <r>
    <x v="4"/>
    <n v="1189833"/>
    <x v="203"/>
    <x v="3"/>
    <s v="Montana"/>
    <s v="Billings"/>
    <x v="0"/>
    <n v="45"/>
    <n v="675"/>
    <n v="303750"/>
    <n v="136687.5"/>
    <n v="0.45"/>
    <x v="1"/>
  </r>
  <r>
    <x v="4"/>
    <n v="1189833"/>
    <x v="204"/>
    <x v="3"/>
    <s v="Montana"/>
    <s v="Billings"/>
    <x v="1"/>
    <n v="55.000000000000007"/>
    <n v="625"/>
    <n v="343750.00000000006"/>
    <n v="103125.00000000001"/>
    <n v="0.3"/>
    <x v="1"/>
  </r>
  <r>
    <x v="4"/>
    <n v="1189833"/>
    <x v="205"/>
    <x v="3"/>
    <s v="Montana"/>
    <s v="Billings"/>
    <x v="2"/>
    <n v="50"/>
    <n v="500"/>
    <n v="250000"/>
    <n v="112500"/>
    <n v="0.45"/>
    <x v="1"/>
  </r>
  <r>
    <x v="4"/>
    <n v="1189833"/>
    <x v="206"/>
    <x v="3"/>
    <s v="Montana"/>
    <s v="Billings"/>
    <x v="3"/>
    <n v="45"/>
    <n v="425"/>
    <n v="191250"/>
    <n v="76500"/>
    <n v="0.39999999999999997"/>
    <x v="1"/>
  </r>
  <r>
    <x v="4"/>
    <n v="1189833"/>
    <x v="207"/>
    <x v="3"/>
    <s v="Montana"/>
    <s v="Billings"/>
    <x v="4"/>
    <n v="54.999999999999993"/>
    <n v="425"/>
    <n v="233749.99999999997"/>
    <n v="140250"/>
    <n v="0.60000000000000009"/>
    <x v="1"/>
  </r>
  <r>
    <x v="4"/>
    <n v="1189833"/>
    <x v="208"/>
    <x v="3"/>
    <s v="Montana"/>
    <s v="Billings"/>
    <x v="5"/>
    <n v="60"/>
    <n v="400"/>
    <n v="240000"/>
    <n v="60000"/>
    <n v="0.25"/>
    <x v="1"/>
  </r>
  <r>
    <x v="4"/>
    <n v="1189833"/>
    <x v="209"/>
    <x v="3"/>
    <s v="Montana"/>
    <s v="Billings"/>
    <x v="0"/>
    <n v="45"/>
    <n v="600"/>
    <n v="270000"/>
    <n v="121500"/>
    <n v="0.45"/>
    <x v="1"/>
  </r>
  <r>
    <x v="4"/>
    <n v="1189833"/>
    <x v="210"/>
    <x v="3"/>
    <s v="Montana"/>
    <s v="Billings"/>
    <x v="1"/>
    <n v="50"/>
    <n v="600"/>
    <n v="300000"/>
    <n v="90000"/>
    <n v="0.3"/>
    <x v="1"/>
  </r>
  <r>
    <x v="4"/>
    <n v="1189833"/>
    <x v="211"/>
    <x v="3"/>
    <s v="Montana"/>
    <s v="Billings"/>
    <x v="2"/>
    <n v="45"/>
    <n v="450"/>
    <n v="202500"/>
    <n v="91125"/>
    <n v="0.45"/>
    <x v="1"/>
  </r>
  <r>
    <x v="4"/>
    <n v="1189833"/>
    <x v="212"/>
    <x v="3"/>
    <s v="Montana"/>
    <s v="Billings"/>
    <x v="3"/>
    <n v="45"/>
    <n v="400"/>
    <n v="180000"/>
    <n v="72000"/>
    <n v="0.39999999999999997"/>
    <x v="1"/>
  </r>
  <r>
    <x v="4"/>
    <n v="1189833"/>
    <x v="213"/>
    <x v="3"/>
    <s v="Montana"/>
    <s v="Billings"/>
    <x v="4"/>
    <n v="54.999999999999993"/>
    <n v="400"/>
    <n v="219999.99999999997"/>
    <n v="132000"/>
    <n v="0.60000000000000009"/>
    <x v="1"/>
  </r>
  <r>
    <x v="4"/>
    <n v="1189833"/>
    <x v="693"/>
    <x v="3"/>
    <s v="Montana"/>
    <s v="Billings"/>
    <x v="5"/>
    <n v="60"/>
    <n v="450"/>
    <n v="270000"/>
    <n v="67500"/>
    <n v="0.25"/>
    <x v="1"/>
  </r>
  <r>
    <x v="4"/>
    <n v="1189833"/>
    <x v="694"/>
    <x v="3"/>
    <s v="Montana"/>
    <s v="Billings"/>
    <x v="0"/>
    <n v="45"/>
    <n v="550"/>
    <n v="247500"/>
    <n v="111375"/>
    <n v="0.45"/>
    <x v="1"/>
  </r>
  <r>
    <x v="4"/>
    <n v="1189833"/>
    <x v="695"/>
    <x v="3"/>
    <s v="Montana"/>
    <s v="Billings"/>
    <x v="1"/>
    <n v="50"/>
    <n v="550"/>
    <n v="275000"/>
    <n v="82500"/>
    <n v="0.3"/>
    <x v="1"/>
  </r>
  <r>
    <x v="4"/>
    <n v="1189833"/>
    <x v="696"/>
    <x v="3"/>
    <s v="Montana"/>
    <s v="Billings"/>
    <x v="2"/>
    <n v="45"/>
    <n v="400"/>
    <n v="180000"/>
    <n v="81000"/>
    <n v="0.45"/>
    <x v="1"/>
  </r>
  <r>
    <x v="4"/>
    <n v="1189833"/>
    <x v="697"/>
    <x v="3"/>
    <s v="Montana"/>
    <s v="Billings"/>
    <x v="3"/>
    <n v="45"/>
    <n v="375"/>
    <n v="168750"/>
    <n v="67500"/>
    <n v="0.39999999999999997"/>
    <x v="1"/>
  </r>
  <r>
    <x v="4"/>
    <n v="1189833"/>
    <x v="698"/>
    <x v="3"/>
    <s v="Montana"/>
    <s v="Billings"/>
    <x v="4"/>
    <n v="54.999999999999993"/>
    <n v="350"/>
    <n v="192499.99999999997"/>
    <n v="115500"/>
    <n v="0.60000000000000009"/>
    <x v="1"/>
  </r>
  <r>
    <x v="4"/>
    <n v="1189833"/>
    <x v="699"/>
    <x v="3"/>
    <s v="Montana"/>
    <s v="Billings"/>
    <x v="5"/>
    <n v="60"/>
    <n v="400"/>
    <n v="240000"/>
    <n v="60000"/>
    <n v="0.25"/>
    <x v="1"/>
  </r>
  <r>
    <x v="4"/>
    <n v="1189833"/>
    <x v="700"/>
    <x v="3"/>
    <s v="Montana"/>
    <s v="Billings"/>
    <x v="0"/>
    <n v="40"/>
    <n v="575"/>
    <n v="230000"/>
    <n v="103500"/>
    <n v="0.45"/>
    <x v="1"/>
  </r>
  <r>
    <x v="4"/>
    <n v="1189833"/>
    <x v="701"/>
    <x v="3"/>
    <s v="Montana"/>
    <s v="Billings"/>
    <x v="1"/>
    <n v="45.000000000000007"/>
    <n v="575"/>
    <n v="258750.00000000003"/>
    <n v="77625"/>
    <n v="0.3"/>
    <x v="1"/>
  </r>
  <r>
    <x v="4"/>
    <n v="1189833"/>
    <x v="702"/>
    <x v="3"/>
    <s v="Montana"/>
    <s v="Billings"/>
    <x v="2"/>
    <n v="40"/>
    <n v="425"/>
    <n v="170000"/>
    <n v="76500"/>
    <n v="0.45"/>
    <x v="1"/>
  </r>
  <r>
    <x v="4"/>
    <n v="1189833"/>
    <x v="703"/>
    <x v="3"/>
    <s v="Montana"/>
    <s v="Billings"/>
    <x v="3"/>
    <n v="40"/>
    <n v="425"/>
    <n v="170000"/>
    <n v="68000"/>
    <n v="0.39999999999999997"/>
    <x v="1"/>
  </r>
  <r>
    <x v="4"/>
    <n v="1189833"/>
    <x v="704"/>
    <x v="3"/>
    <s v="Montana"/>
    <s v="Billings"/>
    <x v="4"/>
    <n v="54.999999999999993"/>
    <n v="375"/>
    <n v="206249.99999999997"/>
    <n v="123750"/>
    <n v="0.60000000000000009"/>
    <x v="1"/>
  </r>
  <r>
    <x v="4"/>
    <n v="1189833"/>
    <x v="705"/>
    <x v="3"/>
    <s v="Montana"/>
    <s v="Billings"/>
    <x v="5"/>
    <n v="60"/>
    <n v="475"/>
    <n v="285000"/>
    <n v="71250"/>
    <n v="0.25"/>
    <x v="1"/>
  </r>
  <r>
    <x v="4"/>
    <n v="1189833"/>
    <x v="706"/>
    <x v="3"/>
    <s v="Montana"/>
    <s v="Billings"/>
    <x v="0"/>
    <n v="45"/>
    <n v="675"/>
    <n v="303750"/>
    <n v="136687.5"/>
    <n v="0.45"/>
    <x v="1"/>
  </r>
  <r>
    <x v="4"/>
    <n v="1189833"/>
    <x v="707"/>
    <x v="3"/>
    <s v="Montana"/>
    <s v="Billings"/>
    <x v="1"/>
    <n v="50"/>
    <n v="675"/>
    <n v="337500"/>
    <n v="101250"/>
    <n v="0.3"/>
    <x v="1"/>
  </r>
  <r>
    <x v="4"/>
    <n v="1189833"/>
    <x v="708"/>
    <x v="3"/>
    <s v="Montana"/>
    <s v="Billings"/>
    <x v="2"/>
    <n v="45"/>
    <n v="475"/>
    <n v="213750"/>
    <n v="96187.5"/>
    <n v="0.45"/>
    <x v="1"/>
  </r>
  <r>
    <x v="4"/>
    <n v="1189833"/>
    <x v="709"/>
    <x v="3"/>
    <s v="Montana"/>
    <s v="Billings"/>
    <x v="3"/>
    <n v="45"/>
    <n v="475"/>
    <n v="213750"/>
    <n v="85500"/>
    <n v="0.39999999999999997"/>
    <x v="1"/>
  </r>
  <r>
    <x v="4"/>
    <n v="1189833"/>
    <x v="710"/>
    <x v="3"/>
    <s v="Montana"/>
    <s v="Billings"/>
    <x v="4"/>
    <n v="54.999999999999993"/>
    <n v="400"/>
    <n v="219999.99999999997"/>
    <n v="132000"/>
    <n v="0.60000000000000009"/>
    <x v="1"/>
  </r>
  <r>
    <x v="4"/>
    <n v="1189833"/>
    <x v="214"/>
    <x v="3"/>
    <s v="Montana"/>
    <s v="Billings"/>
    <x v="5"/>
    <n v="60"/>
    <n v="500"/>
    <n v="300000"/>
    <n v="75000"/>
    <n v="0.25"/>
    <x v="1"/>
  </r>
  <r>
    <x v="2"/>
    <n v="1197831"/>
    <x v="215"/>
    <x v="3"/>
    <s v="Montana"/>
    <s v="Billings"/>
    <x v="0"/>
    <n v="20"/>
    <n v="700"/>
    <n v="140000"/>
    <n v="49000"/>
    <n v="0.35"/>
    <x v="1"/>
  </r>
  <r>
    <x v="2"/>
    <n v="1197831"/>
    <x v="216"/>
    <x v="3"/>
    <s v="Montana"/>
    <s v="Billings"/>
    <x v="1"/>
    <n v="30"/>
    <n v="700"/>
    <n v="210000"/>
    <n v="73500"/>
    <n v="0.35"/>
    <x v="1"/>
  </r>
  <r>
    <x v="2"/>
    <n v="1197831"/>
    <x v="217"/>
    <x v="3"/>
    <s v="Montana"/>
    <s v="Billings"/>
    <x v="2"/>
    <n v="30"/>
    <n v="500"/>
    <n v="150000"/>
    <n v="52500"/>
    <n v="0.35"/>
    <x v="1"/>
  </r>
  <r>
    <x v="2"/>
    <n v="1197831"/>
    <x v="218"/>
    <x v="3"/>
    <s v="Montana"/>
    <s v="Billings"/>
    <x v="3"/>
    <n v="35"/>
    <n v="500"/>
    <n v="175000"/>
    <n v="78750"/>
    <n v="0.45"/>
    <x v="1"/>
  </r>
  <r>
    <x v="2"/>
    <n v="1197831"/>
    <x v="219"/>
    <x v="1"/>
    <s v="Tennessee"/>
    <s v="Knoxville"/>
    <x v="4"/>
    <n v="40"/>
    <n v="350"/>
    <n v="140000"/>
    <n v="42000"/>
    <n v="0.3"/>
    <x v="1"/>
  </r>
  <r>
    <x v="2"/>
    <n v="1197831"/>
    <x v="220"/>
    <x v="1"/>
    <s v="Tennessee"/>
    <s v="Knoxville"/>
    <x v="5"/>
    <n v="35"/>
    <n v="500"/>
    <n v="175000"/>
    <n v="87500"/>
    <n v="0.5"/>
    <x v="1"/>
  </r>
  <r>
    <x v="2"/>
    <n v="1197831"/>
    <x v="221"/>
    <x v="1"/>
    <s v="Tennessee"/>
    <s v="Knoxville"/>
    <x v="0"/>
    <n v="25"/>
    <n v="650"/>
    <n v="162500"/>
    <n v="56875"/>
    <n v="0.35"/>
    <x v="1"/>
  </r>
  <r>
    <x v="2"/>
    <n v="1197831"/>
    <x v="222"/>
    <x v="1"/>
    <s v="Tennessee"/>
    <s v="Knoxville"/>
    <x v="1"/>
    <n v="35"/>
    <n v="625"/>
    <n v="218750"/>
    <n v="76562.5"/>
    <n v="0.35"/>
    <x v="1"/>
  </r>
  <r>
    <x v="2"/>
    <n v="1197831"/>
    <x v="223"/>
    <x v="1"/>
    <s v="Tennessee"/>
    <s v="Knoxville"/>
    <x v="2"/>
    <n v="35"/>
    <n v="450"/>
    <n v="157500"/>
    <n v="55125"/>
    <n v="0.35"/>
    <x v="1"/>
  </r>
  <r>
    <x v="2"/>
    <n v="1197831"/>
    <x v="224"/>
    <x v="1"/>
    <s v="Tennessee"/>
    <s v="Knoxville"/>
    <x v="3"/>
    <n v="35"/>
    <n v="400"/>
    <n v="140000"/>
    <n v="63000"/>
    <n v="0.45"/>
    <x v="1"/>
  </r>
  <r>
    <x v="2"/>
    <n v="1197831"/>
    <x v="225"/>
    <x v="1"/>
    <s v="Tennessee"/>
    <s v="Knoxville"/>
    <x v="4"/>
    <n v="40"/>
    <n v="275"/>
    <n v="110000"/>
    <n v="33000"/>
    <n v="0.3"/>
    <x v="1"/>
  </r>
  <r>
    <x v="2"/>
    <n v="1197831"/>
    <x v="226"/>
    <x v="1"/>
    <s v="Tennessee"/>
    <s v="Knoxville"/>
    <x v="5"/>
    <n v="35"/>
    <n v="475"/>
    <n v="166250"/>
    <n v="83125"/>
    <n v="0.5"/>
    <x v="1"/>
  </r>
  <r>
    <x v="2"/>
    <n v="1197831"/>
    <x v="227"/>
    <x v="1"/>
    <s v="Tennessee"/>
    <s v="Knoxville"/>
    <x v="0"/>
    <n v="30"/>
    <n v="650"/>
    <n v="195000"/>
    <n v="78000"/>
    <n v="0.39999999999999997"/>
    <x v="1"/>
  </r>
  <r>
    <x v="2"/>
    <n v="1197831"/>
    <x v="228"/>
    <x v="1"/>
    <s v="Tennessee"/>
    <s v="Knoxville"/>
    <x v="1"/>
    <n v="40"/>
    <n v="650"/>
    <n v="260000"/>
    <n v="103999.99999999999"/>
    <n v="0.39999999999999997"/>
    <x v="1"/>
  </r>
  <r>
    <x v="2"/>
    <n v="1197831"/>
    <x v="711"/>
    <x v="1"/>
    <s v="Tennessee"/>
    <s v="Knoxville"/>
    <x v="2"/>
    <n v="30"/>
    <n v="475"/>
    <n v="142500"/>
    <n v="56999.999999999993"/>
    <n v="0.39999999999999997"/>
    <x v="1"/>
  </r>
  <r>
    <x v="2"/>
    <n v="1197831"/>
    <x v="712"/>
    <x v="1"/>
    <s v="Tennessee"/>
    <s v="Knoxville"/>
    <x v="3"/>
    <n v="35"/>
    <n v="375"/>
    <n v="131250"/>
    <n v="65625"/>
    <n v="0.5"/>
    <x v="1"/>
  </r>
  <r>
    <x v="2"/>
    <n v="1197831"/>
    <x v="713"/>
    <x v="1"/>
    <s v="Tennessee"/>
    <s v="Knoxville"/>
    <x v="4"/>
    <n v="40"/>
    <n v="275"/>
    <n v="110000"/>
    <n v="38500"/>
    <n v="0.35"/>
    <x v="1"/>
  </r>
  <r>
    <x v="2"/>
    <n v="1197831"/>
    <x v="714"/>
    <x v="1"/>
    <s v="Tennessee"/>
    <s v="Knoxville"/>
    <x v="5"/>
    <n v="35"/>
    <n v="425"/>
    <n v="148750"/>
    <n v="81812.5"/>
    <n v="0.55000000000000004"/>
    <x v="1"/>
  </r>
  <r>
    <x v="2"/>
    <n v="1197831"/>
    <x v="715"/>
    <x v="1"/>
    <s v="Tennessee"/>
    <s v="Knoxville"/>
    <x v="0"/>
    <n v="20"/>
    <n v="675"/>
    <n v="135000"/>
    <n v="53999.999999999993"/>
    <n v="0.39999999999999997"/>
    <x v="1"/>
  </r>
  <r>
    <x v="2"/>
    <n v="1197831"/>
    <x v="716"/>
    <x v="1"/>
    <s v="Tennessee"/>
    <s v="Knoxville"/>
    <x v="1"/>
    <n v="25.000000000000007"/>
    <n v="675"/>
    <n v="168750.00000000006"/>
    <n v="67500.000000000015"/>
    <n v="0.39999999999999997"/>
    <x v="1"/>
  </r>
  <r>
    <x v="2"/>
    <n v="1197831"/>
    <x v="717"/>
    <x v="1"/>
    <s v="Tennessee"/>
    <s v="Knoxville"/>
    <x v="2"/>
    <n v="19.999999999999996"/>
    <n v="500"/>
    <n v="99999.999999999985"/>
    <n v="39999.999999999993"/>
    <n v="0.39999999999999997"/>
    <x v="1"/>
  </r>
  <r>
    <x v="2"/>
    <n v="1197831"/>
    <x v="718"/>
    <x v="1"/>
    <s v="Tennessee"/>
    <s v="Knoxville"/>
    <x v="3"/>
    <n v="25.000000000000007"/>
    <n v="400"/>
    <n v="100000.00000000003"/>
    <n v="50000.000000000015"/>
    <n v="0.5"/>
    <x v="1"/>
  </r>
  <r>
    <x v="2"/>
    <n v="1197831"/>
    <x v="719"/>
    <x v="1"/>
    <s v="Tennessee"/>
    <s v="Knoxville"/>
    <x v="4"/>
    <n v="30"/>
    <n v="300"/>
    <n v="90000"/>
    <n v="31499.999999999996"/>
    <n v="0.35"/>
    <x v="1"/>
  </r>
  <r>
    <x v="2"/>
    <n v="1197831"/>
    <x v="720"/>
    <x v="1"/>
    <s v="Tennessee"/>
    <s v="Knoxville"/>
    <x v="5"/>
    <n v="25.000000000000007"/>
    <n v="575"/>
    <n v="143750.00000000003"/>
    <n v="79062.500000000029"/>
    <n v="0.55000000000000004"/>
    <x v="1"/>
  </r>
  <r>
    <x v="2"/>
    <n v="1197831"/>
    <x v="721"/>
    <x v="1"/>
    <s v="Tennessee"/>
    <s v="Knoxville"/>
    <x v="0"/>
    <n v="14.999999999999996"/>
    <n v="725"/>
    <n v="108749.99999999997"/>
    <n v="43499.999999999985"/>
    <n v="0.39999999999999997"/>
    <x v="1"/>
  </r>
  <r>
    <x v="2"/>
    <n v="1197831"/>
    <x v="722"/>
    <x v="1"/>
    <s v="Tennessee"/>
    <s v="Knoxville"/>
    <x v="1"/>
    <n v="25.000000000000007"/>
    <n v="750"/>
    <n v="187500.00000000006"/>
    <n v="75000.000000000015"/>
    <n v="0.39999999999999997"/>
    <x v="1"/>
  </r>
  <r>
    <x v="2"/>
    <n v="1197831"/>
    <x v="723"/>
    <x v="1"/>
    <s v="Tennessee"/>
    <s v="Knoxville"/>
    <x v="2"/>
    <n v="19.999999999999996"/>
    <n v="600"/>
    <n v="119999.99999999999"/>
    <n v="47999.999999999993"/>
    <n v="0.39999999999999997"/>
    <x v="1"/>
  </r>
  <r>
    <x v="2"/>
    <n v="1197831"/>
    <x v="229"/>
    <x v="1"/>
    <s v="Tennessee"/>
    <s v="Knoxville"/>
    <x v="3"/>
    <n v="30.000000000000004"/>
    <n v="525"/>
    <n v="157500.00000000003"/>
    <n v="78750.000000000015"/>
    <n v="0.5"/>
    <x v="1"/>
  </r>
  <r>
    <x v="2"/>
    <n v="1197831"/>
    <x v="230"/>
    <x v="1"/>
    <s v="Tennessee"/>
    <s v="Knoxville"/>
    <x v="4"/>
    <n v="45"/>
    <n v="425"/>
    <n v="191250"/>
    <n v="66937.5"/>
    <n v="0.35"/>
    <x v="1"/>
  </r>
  <r>
    <x v="2"/>
    <n v="1197831"/>
    <x v="231"/>
    <x v="1"/>
    <s v="Tennessee"/>
    <s v="Knoxville"/>
    <x v="5"/>
    <n v="40"/>
    <n v="775"/>
    <n v="310000"/>
    <n v="170500"/>
    <n v="0.55000000000000004"/>
    <x v="1"/>
  </r>
  <r>
    <x v="2"/>
    <n v="1197831"/>
    <x v="232"/>
    <x v="1"/>
    <s v="Tennessee"/>
    <s v="Knoxville"/>
    <x v="0"/>
    <n v="40"/>
    <n v="775"/>
    <n v="310000"/>
    <n v="123999.99999999999"/>
    <n v="0.39999999999999997"/>
    <x v="1"/>
  </r>
  <r>
    <x v="2"/>
    <n v="1197831"/>
    <x v="233"/>
    <x v="1"/>
    <s v="Tennessee"/>
    <s v="Knoxville"/>
    <x v="1"/>
    <n v="45"/>
    <n v="775"/>
    <n v="348750"/>
    <n v="139500"/>
    <n v="0.39999999999999997"/>
    <x v="1"/>
  </r>
  <r>
    <x v="2"/>
    <n v="1197831"/>
    <x v="234"/>
    <x v="1"/>
    <s v="Tennessee"/>
    <s v="Knoxville"/>
    <x v="2"/>
    <n v="40"/>
    <n v="650"/>
    <n v="260000"/>
    <n v="103999.99999999999"/>
    <n v="0.39999999999999997"/>
    <x v="1"/>
  </r>
  <r>
    <x v="2"/>
    <n v="1197831"/>
    <x v="235"/>
    <x v="1"/>
    <s v="Tennessee"/>
    <s v="Knoxville"/>
    <x v="3"/>
    <n v="40"/>
    <n v="600"/>
    <n v="240000"/>
    <n v="120000"/>
    <n v="0.5"/>
    <x v="1"/>
  </r>
  <r>
    <x v="2"/>
    <n v="1197831"/>
    <x v="236"/>
    <x v="1"/>
    <s v="Tennessee"/>
    <s v="Knoxville"/>
    <x v="4"/>
    <n v="45"/>
    <n v="500"/>
    <n v="225000"/>
    <n v="78750"/>
    <n v="0.35"/>
    <x v="1"/>
  </r>
  <r>
    <x v="2"/>
    <n v="1197831"/>
    <x v="237"/>
    <x v="1"/>
    <s v="Tennessee"/>
    <s v="Knoxville"/>
    <x v="5"/>
    <n v="50"/>
    <n v="875"/>
    <n v="437500"/>
    <n v="240625.00000000003"/>
    <n v="0.55000000000000004"/>
    <x v="1"/>
  </r>
  <r>
    <x v="2"/>
    <n v="1197831"/>
    <x v="238"/>
    <x v="1"/>
    <s v="Tennessee"/>
    <s v="Knoxville"/>
    <x v="0"/>
    <n v="40"/>
    <n v="825"/>
    <n v="330000"/>
    <n v="148499.99999999997"/>
    <n v="0.44999999999999996"/>
    <x v="1"/>
  </r>
  <r>
    <x v="2"/>
    <n v="1197831"/>
    <x v="239"/>
    <x v="1"/>
    <s v="Tennessee"/>
    <s v="Knoxville"/>
    <x v="1"/>
    <n v="45"/>
    <n v="825"/>
    <n v="371250"/>
    <n v="167062.49999999997"/>
    <n v="0.44999999999999996"/>
    <x v="1"/>
  </r>
  <r>
    <x v="2"/>
    <n v="1197831"/>
    <x v="240"/>
    <x v="1"/>
    <s v="Tennessee"/>
    <s v="Knoxville"/>
    <x v="2"/>
    <n v="40"/>
    <n v="975"/>
    <n v="390000"/>
    <n v="175499.99999999997"/>
    <n v="0.44999999999999996"/>
    <x v="1"/>
  </r>
  <r>
    <x v="2"/>
    <n v="1197831"/>
    <x v="241"/>
    <x v="1"/>
    <s v="Tennessee"/>
    <s v="Knoxville"/>
    <x v="3"/>
    <n v="40"/>
    <n v="575"/>
    <n v="230000"/>
    <n v="126500.00000000001"/>
    <n v="0.55000000000000004"/>
    <x v="1"/>
  </r>
  <r>
    <x v="2"/>
    <n v="1197831"/>
    <x v="242"/>
    <x v="1"/>
    <s v="Tennessee"/>
    <s v="Knoxville"/>
    <x v="4"/>
    <n v="45"/>
    <n v="550"/>
    <n v="247500"/>
    <n v="98999.999999999985"/>
    <n v="0.39999999999999997"/>
    <x v="1"/>
  </r>
  <r>
    <x v="2"/>
    <n v="1197831"/>
    <x v="243"/>
    <x v="1"/>
    <s v="Tennessee"/>
    <s v="Knoxville"/>
    <x v="5"/>
    <n v="54.999999999999993"/>
    <n v="825"/>
    <n v="453749.99999999994"/>
    <n v="272250"/>
    <n v="0.60000000000000009"/>
    <x v="1"/>
  </r>
  <r>
    <x v="2"/>
    <n v="1197831"/>
    <x v="244"/>
    <x v="1"/>
    <s v="Tennessee"/>
    <s v="Knoxville"/>
    <x v="0"/>
    <n v="45"/>
    <n v="775"/>
    <n v="348750"/>
    <n v="156937.49999999997"/>
    <n v="0.44999999999999996"/>
    <x v="1"/>
  </r>
  <r>
    <x v="2"/>
    <n v="1197831"/>
    <x v="245"/>
    <x v="1"/>
    <s v="Tennessee"/>
    <s v="Knoxville"/>
    <x v="1"/>
    <n v="55.000000000000007"/>
    <n v="775"/>
    <n v="426250.00000000006"/>
    <n v="191812.5"/>
    <n v="0.44999999999999996"/>
    <x v="1"/>
  </r>
  <r>
    <x v="2"/>
    <n v="1197831"/>
    <x v="246"/>
    <x v="1"/>
    <s v="Tennessee"/>
    <s v="Knoxville"/>
    <x v="2"/>
    <n v="50"/>
    <n v="950"/>
    <n v="475000"/>
    <n v="213749.99999999997"/>
    <n v="0.44999999999999996"/>
    <x v="1"/>
  </r>
  <r>
    <x v="2"/>
    <n v="1197831"/>
    <x v="247"/>
    <x v="1"/>
    <s v="Tennessee"/>
    <s v="Knoxville"/>
    <x v="3"/>
    <n v="45"/>
    <n v="475"/>
    <n v="213750"/>
    <n v="117562.50000000001"/>
    <n v="0.55000000000000004"/>
    <x v="1"/>
  </r>
  <r>
    <x v="2"/>
    <n v="1197831"/>
    <x v="248"/>
    <x v="1"/>
    <s v="Tennessee"/>
    <s v="Knoxville"/>
    <x v="4"/>
    <n v="50"/>
    <n v="475"/>
    <n v="237500"/>
    <n v="94999.999999999985"/>
    <n v="0.39999999999999997"/>
    <x v="1"/>
  </r>
  <r>
    <x v="2"/>
    <n v="1197831"/>
    <x v="249"/>
    <x v="1"/>
    <s v="Tennessee"/>
    <s v="Knoxville"/>
    <x v="5"/>
    <n v="54.999999999999993"/>
    <n v="725"/>
    <n v="398749.99999999994"/>
    <n v="239250"/>
    <n v="0.60000000000000009"/>
    <x v="1"/>
  </r>
  <r>
    <x v="2"/>
    <n v="1197831"/>
    <x v="250"/>
    <x v="1"/>
    <s v="Tennessee"/>
    <s v="Knoxville"/>
    <x v="0"/>
    <n v="50"/>
    <n v="675"/>
    <n v="337500"/>
    <n v="151874.99999999997"/>
    <n v="0.44999999999999996"/>
    <x v="1"/>
  </r>
  <r>
    <x v="2"/>
    <n v="1197831"/>
    <x v="251"/>
    <x v="1"/>
    <s v="Tennessee"/>
    <s v="Knoxville"/>
    <x v="1"/>
    <n v="50"/>
    <n v="625"/>
    <n v="312500"/>
    <n v="140625"/>
    <n v="0.44999999999999996"/>
    <x v="1"/>
  </r>
  <r>
    <x v="2"/>
    <n v="1197831"/>
    <x v="252"/>
    <x v="1"/>
    <s v="Tennessee"/>
    <s v="Knoxville"/>
    <x v="2"/>
    <n v="54.999999999999993"/>
    <n v="675"/>
    <n v="371249.99999999994"/>
    <n v="167062.49999999997"/>
    <n v="0.44999999999999996"/>
    <x v="1"/>
  </r>
  <r>
    <x v="2"/>
    <n v="1197831"/>
    <x v="253"/>
    <x v="1"/>
    <s v="Tennessee"/>
    <s v="Knoxville"/>
    <x v="3"/>
    <n v="54.999999999999993"/>
    <n v="400"/>
    <n v="219999.99999999997"/>
    <n v="121000"/>
    <n v="0.55000000000000004"/>
    <x v="1"/>
  </r>
  <r>
    <x v="2"/>
    <n v="1197831"/>
    <x v="254"/>
    <x v="1"/>
    <s v="Tennessee"/>
    <s v="Knoxville"/>
    <x v="4"/>
    <n v="50"/>
    <n v="400"/>
    <n v="200000"/>
    <n v="80000"/>
    <n v="0.39999999999999997"/>
    <x v="1"/>
  </r>
  <r>
    <x v="2"/>
    <n v="1197831"/>
    <x v="255"/>
    <x v="1"/>
    <s v="Tennessee"/>
    <s v="Knoxville"/>
    <x v="5"/>
    <n v="45"/>
    <n v="625"/>
    <n v="281250"/>
    <n v="168750.00000000003"/>
    <n v="0.60000000000000009"/>
    <x v="1"/>
  </r>
  <r>
    <x v="2"/>
    <n v="1197831"/>
    <x v="256"/>
    <x v="1"/>
    <s v="Tennessee"/>
    <s v="Knoxville"/>
    <x v="0"/>
    <n v="35"/>
    <n v="575"/>
    <n v="201250"/>
    <n v="90562.499999999985"/>
    <n v="0.44999999999999996"/>
    <x v="1"/>
  </r>
  <r>
    <x v="2"/>
    <n v="1197831"/>
    <x v="257"/>
    <x v="1"/>
    <s v="Tennessee"/>
    <s v="Knoxville"/>
    <x v="1"/>
    <n v="35"/>
    <n v="575"/>
    <n v="201250"/>
    <n v="90562.499999999985"/>
    <n v="0.44999999999999996"/>
    <x v="1"/>
  </r>
  <r>
    <x v="2"/>
    <n v="1197831"/>
    <x v="258"/>
    <x v="1"/>
    <s v="Tennessee"/>
    <s v="Knoxville"/>
    <x v="2"/>
    <n v="40"/>
    <n v="525"/>
    <n v="210000"/>
    <n v="94499.999999999985"/>
    <n v="0.44999999999999996"/>
    <x v="1"/>
  </r>
  <r>
    <x v="2"/>
    <n v="1197831"/>
    <x v="259"/>
    <x v="1"/>
    <s v="Tennessee"/>
    <s v="Knoxville"/>
    <x v="3"/>
    <n v="40"/>
    <n v="375"/>
    <n v="150000"/>
    <n v="82500"/>
    <n v="0.55000000000000004"/>
    <x v="1"/>
  </r>
  <r>
    <x v="2"/>
    <n v="1197831"/>
    <x v="260"/>
    <x v="1"/>
    <s v="Tennessee"/>
    <s v="Knoxville"/>
    <x v="4"/>
    <n v="35"/>
    <n v="350"/>
    <n v="122500"/>
    <n v="48999.999999999993"/>
    <n v="0.39999999999999997"/>
    <x v="1"/>
  </r>
  <r>
    <x v="2"/>
    <n v="1197831"/>
    <x v="261"/>
    <x v="1"/>
    <s v="Tennessee"/>
    <s v="Knoxville"/>
    <x v="5"/>
    <n v="45"/>
    <n v="525"/>
    <n v="236250"/>
    <n v="141750.00000000003"/>
    <n v="0.60000000000000009"/>
    <x v="1"/>
  </r>
  <r>
    <x v="2"/>
    <n v="1197831"/>
    <x v="262"/>
    <x v="1"/>
    <s v="Tennessee"/>
    <s v="Knoxville"/>
    <x v="0"/>
    <n v="30.000000000000004"/>
    <n v="675"/>
    <n v="202500.00000000003"/>
    <n v="91125"/>
    <n v="0.44999999999999996"/>
    <x v="1"/>
  </r>
  <r>
    <x v="2"/>
    <n v="1197831"/>
    <x v="263"/>
    <x v="1"/>
    <s v="Tennessee"/>
    <s v="Knoxville"/>
    <x v="1"/>
    <n v="30.000000000000004"/>
    <n v="675"/>
    <n v="202500.00000000003"/>
    <n v="91125"/>
    <n v="0.44999999999999996"/>
    <x v="1"/>
  </r>
  <r>
    <x v="2"/>
    <n v="1197831"/>
    <x v="264"/>
    <x v="1"/>
    <s v="Tennessee"/>
    <s v="Knoxville"/>
    <x v="2"/>
    <n v="55.000000000000007"/>
    <n v="600"/>
    <n v="330000.00000000006"/>
    <n v="148500"/>
    <n v="0.44999999999999996"/>
    <x v="1"/>
  </r>
  <r>
    <x v="2"/>
    <n v="1197831"/>
    <x v="265"/>
    <x v="1"/>
    <s v="Tennessee"/>
    <s v="Knoxville"/>
    <x v="3"/>
    <n v="55.000000000000007"/>
    <n v="475"/>
    <n v="261250.00000000003"/>
    <n v="143687.50000000003"/>
    <n v="0.55000000000000004"/>
    <x v="1"/>
  </r>
  <r>
    <x v="2"/>
    <n v="1197831"/>
    <x v="266"/>
    <x v="1"/>
    <s v="Tennessee"/>
    <s v="Knoxville"/>
    <x v="4"/>
    <n v="54.999999999999993"/>
    <n v="450"/>
    <n v="247499.99999999997"/>
    <n v="98999.999999999985"/>
    <n v="0.39999999999999997"/>
    <x v="1"/>
  </r>
  <r>
    <x v="2"/>
    <n v="1197831"/>
    <x v="267"/>
    <x v="1"/>
    <s v="Tennessee"/>
    <s v="Knoxville"/>
    <x v="5"/>
    <n v="65"/>
    <n v="650"/>
    <n v="422500"/>
    <n v="253500.00000000003"/>
    <n v="0.60000000000000009"/>
    <x v="1"/>
  </r>
  <r>
    <x v="2"/>
    <n v="1197831"/>
    <x v="268"/>
    <x v="1"/>
    <s v="Tennessee"/>
    <s v="Knoxville"/>
    <x v="0"/>
    <n v="54.999999999999993"/>
    <n v="800"/>
    <n v="439999.99999999994"/>
    <n v="197999.99999999994"/>
    <n v="0.44999999999999996"/>
    <x v="1"/>
  </r>
  <r>
    <x v="2"/>
    <n v="1197831"/>
    <x v="269"/>
    <x v="1"/>
    <s v="Tennessee"/>
    <s v="Knoxville"/>
    <x v="1"/>
    <n v="54.999999999999993"/>
    <n v="800"/>
    <n v="439999.99999999994"/>
    <n v="197999.99999999994"/>
    <n v="0.44999999999999996"/>
    <x v="1"/>
  </r>
  <r>
    <x v="2"/>
    <n v="1197831"/>
    <x v="270"/>
    <x v="1"/>
    <s v="Tennessee"/>
    <s v="Knoxville"/>
    <x v="2"/>
    <n v="60"/>
    <n v="700"/>
    <n v="420000"/>
    <n v="188999.99999999997"/>
    <n v="0.44999999999999996"/>
    <x v="1"/>
  </r>
  <r>
    <x v="2"/>
    <n v="1197831"/>
    <x v="271"/>
    <x v="1"/>
    <s v="Tennessee"/>
    <s v="Knoxville"/>
    <x v="3"/>
    <n v="60"/>
    <n v="550"/>
    <n v="330000"/>
    <n v="181500.00000000003"/>
    <n v="0.55000000000000004"/>
    <x v="1"/>
  </r>
  <r>
    <x v="2"/>
    <n v="1197831"/>
    <x v="272"/>
    <x v="1"/>
    <s v="Tennessee"/>
    <s v="Knoxville"/>
    <x v="4"/>
    <n v="54.999999999999993"/>
    <n v="500"/>
    <n v="274999.99999999994"/>
    <n v="109999.99999999997"/>
    <n v="0.39999999999999997"/>
    <x v="1"/>
  </r>
  <r>
    <x v="2"/>
    <n v="1197831"/>
    <x v="273"/>
    <x v="1"/>
    <s v="Tennessee"/>
    <s v="Knoxville"/>
    <x v="5"/>
    <n v="65"/>
    <n v="750"/>
    <n v="487500"/>
    <n v="292500.00000000006"/>
    <n v="0.60000000000000009"/>
    <x v="1"/>
  </r>
  <r>
    <x v="0"/>
    <n v="1185732"/>
    <x v="274"/>
    <x v="1"/>
    <s v="Tennessee"/>
    <s v="Knoxville"/>
    <x v="0"/>
    <n v="35"/>
    <n v="425"/>
    <n v="148750"/>
    <n v="59500"/>
    <n v="0.4"/>
    <x v="1"/>
  </r>
  <r>
    <x v="0"/>
    <n v="1185732"/>
    <x v="275"/>
    <x v="1"/>
    <s v="Tennessee"/>
    <s v="Knoxville"/>
    <x v="1"/>
    <n v="35"/>
    <n v="225"/>
    <n v="78750"/>
    <n v="27562.5"/>
    <n v="0.35"/>
    <x v="1"/>
  </r>
  <r>
    <x v="0"/>
    <n v="1185732"/>
    <x v="276"/>
    <x v="1"/>
    <s v="Tennessee"/>
    <s v="Knoxville"/>
    <x v="2"/>
    <n v="25"/>
    <n v="225"/>
    <n v="56250"/>
    <n v="19687.5"/>
    <n v="0.35"/>
    <x v="1"/>
  </r>
  <r>
    <x v="0"/>
    <n v="1185732"/>
    <x v="277"/>
    <x v="1"/>
    <s v="Tennessee"/>
    <s v="Knoxville"/>
    <x v="3"/>
    <n v="30.000000000000004"/>
    <n v="75"/>
    <n v="22500.000000000004"/>
    <n v="9000.0000000000018"/>
    <n v="0.4"/>
    <x v="1"/>
  </r>
  <r>
    <x v="0"/>
    <n v="1185732"/>
    <x v="278"/>
    <x v="3"/>
    <s v="Nebraska"/>
    <s v="Omaha"/>
    <x v="4"/>
    <n v="44.999999999999993"/>
    <n v="125"/>
    <n v="56249.999999999993"/>
    <n v="19687.499999999996"/>
    <n v="0.35"/>
    <x v="1"/>
  </r>
  <r>
    <x v="0"/>
    <n v="1185732"/>
    <x v="279"/>
    <x v="3"/>
    <s v="Nebraska"/>
    <s v="Omaha"/>
    <x v="5"/>
    <n v="35"/>
    <n v="225"/>
    <n v="78750"/>
    <n v="39375"/>
    <n v="0.5"/>
    <x v="1"/>
  </r>
  <r>
    <x v="0"/>
    <n v="1185732"/>
    <x v="280"/>
    <x v="3"/>
    <s v="Nebraska"/>
    <s v="Omaha"/>
    <x v="0"/>
    <n v="35"/>
    <n v="475"/>
    <n v="166250"/>
    <n v="66500"/>
    <n v="0.4"/>
    <x v="1"/>
  </r>
  <r>
    <x v="0"/>
    <n v="1185732"/>
    <x v="281"/>
    <x v="3"/>
    <s v="Nebraska"/>
    <s v="Omaha"/>
    <x v="1"/>
    <n v="35"/>
    <n v="125"/>
    <n v="43750"/>
    <n v="15312.499999999998"/>
    <n v="0.35"/>
    <x v="1"/>
  </r>
  <r>
    <x v="0"/>
    <n v="1185732"/>
    <x v="282"/>
    <x v="3"/>
    <s v="Nebraska"/>
    <s v="Omaha"/>
    <x v="2"/>
    <n v="25"/>
    <n v="175"/>
    <n v="43750"/>
    <n v="15312.499999999998"/>
    <n v="0.35"/>
    <x v="1"/>
  </r>
  <r>
    <x v="0"/>
    <n v="1185732"/>
    <x v="283"/>
    <x v="3"/>
    <s v="Nebraska"/>
    <s v="Omaha"/>
    <x v="3"/>
    <n v="30.000000000000004"/>
    <n v="50"/>
    <n v="15000.000000000002"/>
    <n v="6000.0000000000009"/>
    <n v="0.4"/>
    <x v="1"/>
  </r>
  <r>
    <x v="0"/>
    <n v="1185732"/>
    <x v="284"/>
    <x v="3"/>
    <s v="Nebraska"/>
    <s v="Omaha"/>
    <x v="4"/>
    <n v="44.999999999999993"/>
    <n v="125"/>
    <n v="56249.999999999993"/>
    <n v="19687.499999999996"/>
    <n v="0.35"/>
    <x v="1"/>
  </r>
  <r>
    <x v="0"/>
    <n v="1185732"/>
    <x v="285"/>
    <x v="3"/>
    <s v="Nebraska"/>
    <s v="Omaha"/>
    <x v="5"/>
    <n v="35"/>
    <n v="200"/>
    <n v="70000"/>
    <n v="35000"/>
    <n v="0.5"/>
    <x v="1"/>
  </r>
  <r>
    <x v="0"/>
    <n v="1185732"/>
    <x v="286"/>
    <x v="3"/>
    <s v="Nebraska"/>
    <s v="Omaha"/>
    <x v="0"/>
    <n v="40"/>
    <n v="420"/>
    <n v="168000"/>
    <n v="67200"/>
    <n v="0.4"/>
    <x v="1"/>
  </r>
  <r>
    <x v="0"/>
    <n v="1185732"/>
    <x v="287"/>
    <x v="3"/>
    <s v="Nebraska"/>
    <s v="Omaha"/>
    <x v="1"/>
    <n v="40"/>
    <n v="100"/>
    <n v="40000"/>
    <n v="14000"/>
    <n v="0.35"/>
    <x v="1"/>
  </r>
  <r>
    <x v="0"/>
    <n v="1185732"/>
    <x v="288"/>
    <x v="3"/>
    <s v="Nebraska"/>
    <s v="Omaha"/>
    <x v="2"/>
    <n v="30.000000000000004"/>
    <n v="150"/>
    <n v="45000.000000000007"/>
    <n v="15750.000000000002"/>
    <n v="0.35"/>
    <x v="1"/>
  </r>
  <r>
    <x v="0"/>
    <n v="1185732"/>
    <x v="289"/>
    <x v="3"/>
    <s v="Nebraska"/>
    <s v="Omaha"/>
    <x v="3"/>
    <n v="35"/>
    <n v="0"/>
    <n v="0"/>
    <n v="0"/>
    <n v="0.4"/>
    <x v="1"/>
  </r>
  <r>
    <x v="0"/>
    <n v="1185732"/>
    <x v="290"/>
    <x v="3"/>
    <s v="Nebraska"/>
    <s v="Omaha"/>
    <x v="4"/>
    <n v="50"/>
    <n v="50"/>
    <n v="25000"/>
    <n v="8750"/>
    <n v="0.35"/>
    <x v="1"/>
  </r>
  <r>
    <x v="0"/>
    <n v="1185732"/>
    <x v="291"/>
    <x v="3"/>
    <s v="Nebraska"/>
    <s v="Omaha"/>
    <x v="5"/>
    <n v="40"/>
    <n v="150"/>
    <n v="60000"/>
    <n v="30000"/>
    <n v="0.5"/>
    <x v="1"/>
  </r>
  <r>
    <x v="0"/>
    <n v="1185732"/>
    <x v="292"/>
    <x v="3"/>
    <s v="Nebraska"/>
    <s v="Omaha"/>
    <x v="0"/>
    <n v="40"/>
    <n v="375"/>
    <n v="150000"/>
    <n v="60000"/>
    <n v="0.4"/>
    <x v="1"/>
  </r>
  <r>
    <x v="0"/>
    <n v="1185732"/>
    <x v="293"/>
    <x v="3"/>
    <s v="Nebraska"/>
    <s v="Omaha"/>
    <x v="1"/>
    <n v="35"/>
    <n v="75"/>
    <n v="26250"/>
    <n v="9187.5"/>
    <n v="0.35"/>
    <x v="1"/>
  </r>
  <r>
    <x v="0"/>
    <n v="1185732"/>
    <x v="294"/>
    <x v="3"/>
    <s v="Nebraska"/>
    <s v="Omaha"/>
    <x v="2"/>
    <n v="25.000000000000007"/>
    <n v="75"/>
    <n v="18750.000000000004"/>
    <n v="6562.5000000000009"/>
    <n v="0.35"/>
    <x v="1"/>
  </r>
  <r>
    <x v="0"/>
    <n v="1185732"/>
    <x v="295"/>
    <x v="3"/>
    <s v="Nebraska"/>
    <s v="Omaha"/>
    <x v="3"/>
    <n v="30"/>
    <n v="0"/>
    <n v="0"/>
    <n v="0"/>
    <n v="0.4"/>
    <x v="1"/>
  </r>
  <r>
    <x v="0"/>
    <n v="1185732"/>
    <x v="296"/>
    <x v="3"/>
    <s v="Nebraska"/>
    <s v="Omaha"/>
    <x v="4"/>
    <n v="45"/>
    <n v="25"/>
    <n v="11250"/>
    <n v="3937.4999999999995"/>
    <n v="0.35"/>
    <x v="1"/>
  </r>
  <r>
    <x v="0"/>
    <n v="1185732"/>
    <x v="297"/>
    <x v="3"/>
    <s v="Nebraska"/>
    <s v="Omaha"/>
    <x v="5"/>
    <n v="35"/>
    <n v="150"/>
    <n v="52500"/>
    <n v="26250"/>
    <n v="0.5"/>
    <x v="1"/>
  </r>
  <r>
    <x v="0"/>
    <n v="1185732"/>
    <x v="298"/>
    <x v="3"/>
    <s v="Nebraska"/>
    <s v="Omaha"/>
    <x v="0"/>
    <n v="45"/>
    <n v="420"/>
    <n v="189000"/>
    <n v="75600"/>
    <n v="0.4"/>
    <x v="1"/>
  </r>
  <r>
    <x v="0"/>
    <n v="1185732"/>
    <x v="299"/>
    <x v="3"/>
    <s v="Nebraska"/>
    <s v="Omaha"/>
    <x v="1"/>
    <n v="40.000000000000007"/>
    <n v="125"/>
    <n v="50000.000000000007"/>
    <n v="17500"/>
    <n v="0.35"/>
    <x v="1"/>
  </r>
  <r>
    <x v="0"/>
    <n v="1185732"/>
    <x v="300"/>
    <x v="3"/>
    <s v="Nebraska"/>
    <s v="Omaha"/>
    <x v="2"/>
    <n v="35"/>
    <n v="100"/>
    <n v="35000"/>
    <n v="12250"/>
    <n v="0.35"/>
    <x v="1"/>
  </r>
  <r>
    <x v="0"/>
    <n v="1185732"/>
    <x v="301"/>
    <x v="3"/>
    <s v="Nebraska"/>
    <s v="Omaha"/>
    <x v="3"/>
    <n v="35"/>
    <n v="25"/>
    <n v="8750"/>
    <n v="3500"/>
    <n v="0.4"/>
    <x v="1"/>
  </r>
  <r>
    <x v="0"/>
    <n v="1185732"/>
    <x v="302"/>
    <x v="3"/>
    <s v="Nebraska"/>
    <s v="Omaha"/>
    <x v="4"/>
    <n v="49.999999999999993"/>
    <n v="50"/>
    <n v="24999.999999999996"/>
    <n v="8749.9999999999982"/>
    <n v="0.35"/>
    <x v="1"/>
  </r>
  <r>
    <x v="0"/>
    <n v="1185732"/>
    <x v="303"/>
    <x v="3"/>
    <s v="Nebraska"/>
    <s v="Omaha"/>
    <x v="5"/>
    <n v="54.999999999999993"/>
    <n v="150"/>
    <n v="82499.999999999985"/>
    <n v="41249.999999999993"/>
    <n v="0.5"/>
    <x v="1"/>
  </r>
  <r>
    <x v="0"/>
    <n v="1185732"/>
    <x v="304"/>
    <x v="3"/>
    <s v="Nebraska"/>
    <s v="Omaha"/>
    <x v="0"/>
    <n v="40"/>
    <n v="400"/>
    <n v="160000"/>
    <n v="64000"/>
    <n v="0.4"/>
    <x v="1"/>
  </r>
  <r>
    <x v="0"/>
    <n v="1185732"/>
    <x v="305"/>
    <x v="3"/>
    <s v="Nebraska"/>
    <s v="Omaha"/>
    <x v="1"/>
    <n v="35.000000000000007"/>
    <n v="150"/>
    <n v="52500.000000000007"/>
    <n v="18375"/>
    <n v="0.35"/>
    <x v="1"/>
  </r>
  <r>
    <x v="0"/>
    <n v="1185732"/>
    <x v="306"/>
    <x v="3"/>
    <s v="Nebraska"/>
    <s v="Omaha"/>
    <x v="2"/>
    <n v="30.000000000000004"/>
    <n v="175"/>
    <n v="52500.000000000007"/>
    <n v="18375"/>
    <n v="0.35"/>
    <x v="1"/>
  </r>
  <r>
    <x v="0"/>
    <n v="1185732"/>
    <x v="307"/>
    <x v="3"/>
    <s v="Nebraska"/>
    <s v="Omaha"/>
    <x v="3"/>
    <n v="30.000000000000004"/>
    <n v="150"/>
    <n v="45000.000000000007"/>
    <n v="18000.000000000004"/>
    <n v="0.4"/>
    <x v="1"/>
  </r>
  <r>
    <x v="0"/>
    <n v="1185732"/>
    <x v="308"/>
    <x v="3"/>
    <s v="Nebraska"/>
    <s v="Omaha"/>
    <x v="4"/>
    <n v="45"/>
    <n v="150"/>
    <n v="67500"/>
    <n v="23625"/>
    <n v="0.35"/>
    <x v="1"/>
  </r>
  <r>
    <x v="0"/>
    <n v="1185732"/>
    <x v="309"/>
    <x v="3"/>
    <s v="Nebraska"/>
    <s v="Omaha"/>
    <x v="5"/>
    <n v="50"/>
    <n v="325"/>
    <n v="162500"/>
    <n v="81250"/>
    <n v="0.5"/>
    <x v="1"/>
  </r>
  <r>
    <x v="0"/>
    <n v="1185732"/>
    <x v="310"/>
    <x v="3"/>
    <s v="Nebraska"/>
    <s v="Omaha"/>
    <x v="0"/>
    <n v="45"/>
    <n v="550"/>
    <n v="247500"/>
    <n v="99000"/>
    <n v="0.4"/>
    <x v="1"/>
  </r>
  <r>
    <x v="0"/>
    <n v="1185732"/>
    <x v="311"/>
    <x v="3"/>
    <s v="Nebraska"/>
    <s v="Omaha"/>
    <x v="1"/>
    <n v="40.000000000000007"/>
    <n v="300"/>
    <n v="120000.00000000001"/>
    <n v="42000"/>
    <n v="0.35"/>
    <x v="1"/>
  </r>
  <r>
    <x v="0"/>
    <n v="1185732"/>
    <x v="312"/>
    <x v="3"/>
    <s v="Nebraska"/>
    <s v="Omaha"/>
    <x v="2"/>
    <n v="35"/>
    <n v="225"/>
    <n v="78750"/>
    <n v="27562.5"/>
    <n v="0.35"/>
    <x v="1"/>
  </r>
  <r>
    <x v="0"/>
    <n v="1185732"/>
    <x v="313"/>
    <x v="3"/>
    <s v="Nebraska"/>
    <s v="Omaha"/>
    <x v="3"/>
    <n v="35"/>
    <n v="175"/>
    <n v="61250"/>
    <n v="24500"/>
    <n v="0.4"/>
    <x v="1"/>
  </r>
  <r>
    <x v="0"/>
    <n v="1185732"/>
    <x v="314"/>
    <x v="3"/>
    <s v="Nebraska"/>
    <s v="Omaha"/>
    <x v="4"/>
    <n v="45"/>
    <n v="175"/>
    <n v="78750"/>
    <n v="27562.5"/>
    <n v="0.35"/>
    <x v="1"/>
  </r>
  <r>
    <x v="0"/>
    <n v="1185732"/>
    <x v="315"/>
    <x v="3"/>
    <s v="Nebraska"/>
    <s v="Omaha"/>
    <x v="5"/>
    <n v="50"/>
    <n v="350"/>
    <n v="175000"/>
    <n v="87500"/>
    <n v="0.5"/>
    <x v="1"/>
  </r>
  <r>
    <x v="0"/>
    <n v="1185732"/>
    <x v="316"/>
    <x v="3"/>
    <s v="Nebraska"/>
    <s v="Omaha"/>
    <x v="0"/>
    <n v="45"/>
    <n v="500"/>
    <n v="225000"/>
    <n v="90000"/>
    <n v="0.4"/>
    <x v="1"/>
  </r>
  <r>
    <x v="0"/>
    <n v="1185732"/>
    <x v="317"/>
    <x v="3"/>
    <s v="Nebraska"/>
    <s v="Omaha"/>
    <x v="1"/>
    <n v="45.000000000000007"/>
    <n v="275"/>
    <n v="123750.00000000001"/>
    <n v="43312.5"/>
    <n v="0.35"/>
    <x v="1"/>
  </r>
  <r>
    <x v="0"/>
    <n v="1185732"/>
    <x v="318"/>
    <x v="3"/>
    <s v="Nebraska"/>
    <s v="Omaha"/>
    <x v="2"/>
    <n v="40"/>
    <n v="200"/>
    <n v="80000"/>
    <n v="28000"/>
    <n v="0.35"/>
    <x v="1"/>
  </r>
  <r>
    <x v="0"/>
    <n v="1185732"/>
    <x v="319"/>
    <x v="3"/>
    <s v="Nebraska"/>
    <s v="Omaha"/>
    <x v="3"/>
    <n v="30.000000000000004"/>
    <n v="125"/>
    <n v="37500.000000000007"/>
    <n v="15000.000000000004"/>
    <n v="0.4"/>
    <x v="1"/>
  </r>
  <r>
    <x v="0"/>
    <n v="1185732"/>
    <x v="320"/>
    <x v="3"/>
    <s v="Nebraska"/>
    <s v="Omaha"/>
    <x v="4"/>
    <n v="40"/>
    <n v="100"/>
    <n v="40000"/>
    <n v="14000"/>
    <n v="0.35"/>
    <x v="1"/>
  </r>
  <r>
    <x v="0"/>
    <n v="1185732"/>
    <x v="321"/>
    <x v="3"/>
    <s v="Nebraska"/>
    <s v="Omaha"/>
    <x v="5"/>
    <n v="45"/>
    <n v="275"/>
    <n v="123750"/>
    <n v="61875"/>
    <n v="0.5"/>
    <x v="1"/>
  </r>
  <r>
    <x v="0"/>
    <n v="1185732"/>
    <x v="322"/>
    <x v="3"/>
    <s v="Nebraska"/>
    <s v="Omaha"/>
    <x v="0"/>
    <n v="40"/>
    <n v="400"/>
    <n v="160000"/>
    <n v="64000"/>
    <n v="0.4"/>
    <x v="1"/>
  </r>
  <r>
    <x v="0"/>
    <n v="1185732"/>
    <x v="323"/>
    <x v="3"/>
    <s v="Nebraska"/>
    <s v="Omaha"/>
    <x v="1"/>
    <n v="35.000000000000007"/>
    <n v="200"/>
    <n v="70000.000000000015"/>
    <n v="24500.000000000004"/>
    <n v="0.35"/>
    <x v="1"/>
  </r>
  <r>
    <x v="0"/>
    <n v="1185732"/>
    <x v="324"/>
    <x v="3"/>
    <s v="Nebraska"/>
    <s v="Omaha"/>
    <x v="2"/>
    <n v="20"/>
    <n v="100"/>
    <n v="20000"/>
    <n v="7000"/>
    <n v="0.35"/>
    <x v="1"/>
  </r>
  <r>
    <x v="0"/>
    <n v="1185732"/>
    <x v="325"/>
    <x v="3"/>
    <s v="Nebraska"/>
    <s v="Omaha"/>
    <x v="3"/>
    <n v="20"/>
    <n v="75"/>
    <n v="15000"/>
    <n v="6000"/>
    <n v="0.4"/>
    <x v="1"/>
  </r>
  <r>
    <x v="0"/>
    <n v="1185732"/>
    <x v="326"/>
    <x v="3"/>
    <s v="Nebraska"/>
    <s v="Omaha"/>
    <x v="4"/>
    <n v="30"/>
    <n v="75"/>
    <n v="22500"/>
    <n v="7874.9999999999991"/>
    <n v="0.35"/>
    <x v="1"/>
  </r>
  <r>
    <x v="0"/>
    <n v="1185732"/>
    <x v="327"/>
    <x v="3"/>
    <s v="Nebraska"/>
    <s v="Omaha"/>
    <x v="5"/>
    <n v="35"/>
    <n v="150"/>
    <n v="52500"/>
    <n v="26250"/>
    <n v="0.5"/>
    <x v="1"/>
  </r>
  <r>
    <x v="0"/>
    <n v="1185732"/>
    <x v="328"/>
    <x v="3"/>
    <s v="Nebraska"/>
    <s v="Omaha"/>
    <x v="0"/>
    <n v="40"/>
    <n v="325"/>
    <n v="130000"/>
    <n v="52000"/>
    <n v="0.4"/>
    <x v="1"/>
  </r>
  <r>
    <x v="0"/>
    <n v="1185732"/>
    <x v="329"/>
    <x v="3"/>
    <s v="Nebraska"/>
    <s v="Omaha"/>
    <x v="1"/>
    <n v="30"/>
    <n v="150"/>
    <n v="45000"/>
    <n v="15749.999999999998"/>
    <n v="0.35"/>
    <x v="1"/>
  </r>
  <r>
    <x v="0"/>
    <n v="1185732"/>
    <x v="330"/>
    <x v="3"/>
    <s v="Nebraska"/>
    <s v="Omaha"/>
    <x v="2"/>
    <n v="30"/>
    <n v="50"/>
    <n v="15000"/>
    <n v="5250"/>
    <n v="0.35"/>
    <x v="1"/>
  </r>
  <r>
    <x v="0"/>
    <n v="1185732"/>
    <x v="331"/>
    <x v="3"/>
    <s v="Nebraska"/>
    <s v="Omaha"/>
    <x v="3"/>
    <n v="30"/>
    <n v="25"/>
    <n v="7500"/>
    <n v="3000"/>
    <n v="0.4"/>
    <x v="1"/>
  </r>
  <r>
    <x v="0"/>
    <n v="1185732"/>
    <x v="332"/>
    <x v="3"/>
    <s v="Nebraska"/>
    <s v="Omaha"/>
    <x v="4"/>
    <n v="40"/>
    <n v="25"/>
    <n v="10000"/>
    <n v="3500"/>
    <n v="0.35"/>
    <x v="1"/>
  </r>
  <r>
    <x v="0"/>
    <n v="1185732"/>
    <x v="333"/>
    <x v="3"/>
    <s v="Nebraska"/>
    <s v="Omaha"/>
    <x v="5"/>
    <n v="44.999999999999993"/>
    <n v="150"/>
    <n v="67499.999999999985"/>
    <n v="33749.999999999993"/>
    <n v="0.5"/>
    <x v="1"/>
  </r>
  <r>
    <x v="0"/>
    <n v="1185732"/>
    <x v="334"/>
    <x v="3"/>
    <s v="Nebraska"/>
    <s v="Omaha"/>
    <x v="0"/>
    <n v="40"/>
    <n v="300"/>
    <n v="120000"/>
    <n v="48000"/>
    <n v="0.4"/>
    <x v="1"/>
  </r>
  <r>
    <x v="0"/>
    <n v="1185732"/>
    <x v="335"/>
    <x v="3"/>
    <s v="Nebraska"/>
    <s v="Omaha"/>
    <x v="1"/>
    <n v="30.000000000000004"/>
    <n v="150"/>
    <n v="45000.000000000007"/>
    <n v="15750.000000000002"/>
    <n v="0.35"/>
    <x v="1"/>
  </r>
  <r>
    <x v="0"/>
    <n v="1185732"/>
    <x v="336"/>
    <x v="3"/>
    <s v="Nebraska"/>
    <s v="Omaha"/>
    <x v="2"/>
    <n v="30.000000000000004"/>
    <n v="95"/>
    <n v="28500.000000000004"/>
    <n v="9975"/>
    <n v="0.35"/>
    <x v="1"/>
  </r>
  <r>
    <x v="0"/>
    <n v="1185732"/>
    <x v="337"/>
    <x v="3"/>
    <s v="Nebraska"/>
    <s v="Omaha"/>
    <x v="3"/>
    <n v="30.000000000000004"/>
    <n v="125"/>
    <n v="37500.000000000007"/>
    <n v="15000.000000000004"/>
    <n v="0.4"/>
    <x v="1"/>
  </r>
  <r>
    <x v="0"/>
    <n v="1185732"/>
    <x v="338"/>
    <x v="3"/>
    <s v="Nebraska"/>
    <s v="Omaha"/>
    <x v="4"/>
    <n v="49.999999999999993"/>
    <n v="100"/>
    <n v="49999.999999999993"/>
    <n v="17499.999999999996"/>
    <n v="0.35"/>
    <x v="1"/>
  </r>
  <r>
    <x v="0"/>
    <n v="1185732"/>
    <x v="339"/>
    <x v="3"/>
    <s v="Nebraska"/>
    <s v="Omaha"/>
    <x v="5"/>
    <n v="54.999999999999986"/>
    <n v="200"/>
    <n v="109999.99999999997"/>
    <n v="54999.999999999985"/>
    <n v="0.5"/>
    <x v="1"/>
  </r>
  <r>
    <x v="0"/>
    <n v="1185732"/>
    <x v="340"/>
    <x v="3"/>
    <s v="Nebraska"/>
    <s v="Omaha"/>
    <x v="0"/>
    <n v="49.999999999999993"/>
    <n v="450"/>
    <n v="224999.99999999997"/>
    <n v="90000"/>
    <n v="0.4"/>
    <x v="1"/>
  </r>
  <r>
    <x v="0"/>
    <n v="1185732"/>
    <x v="341"/>
    <x v="3"/>
    <s v="Nebraska"/>
    <s v="Omaha"/>
    <x v="1"/>
    <n v="40"/>
    <n v="250"/>
    <n v="100000"/>
    <n v="35000"/>
    <n v="0.35"/>
    <x v="1"/>
  </r>
  <r>
    <x v="0"/>
    <n v="1185732"/>
    <x v="342"/>
    <x v="3"/>
    <s v="Nebraska"/>
    <s v="Omaha"/>
    <x v="2"/>
    <n v="40"/>
    <n v="200"/>
    <n v="80000"/>
    <n v="28000"/>
    <n v="0.35"/>
    <x v="1"/>
  </r>
  <r>
    <x v="0"/>
    <n v="1185732"/>
    <x v="343"/>
    <x v="3"/>
    <s v="Nebraska"/>
    <s v="Omaha"/>
    <x v="3"/>
    <n v="40"/>
    <n v="150"/>
    <n v="60000"/>
    <n v="24000"/>
    <n v="0.4"/>
    <x v="1"/>
  </r>
  <r>
    <x v="0"/>
    <n v="1185732"/>
    <x v="344"/>
    <x v="3"/>
    <s v="Nebraska"/>
    <s v="Omaha"/>
    <x v="4"/>
    <n v="49.999999999999993"/>
    <n v="150"/>
    <n v="74999.999999999985"/>
    <n v="26249.999999999993"/>
    <n v="0.35"/>
    <x v="1"/>
  </r>
  <r>
    <x v="0"/>
    <n v="1185732"/>
    <x v="345"/>
    <x v="3"/>
    <s v="Nebraska"/>
    <s v="Omaha"/>
    <x v="5"/>
    <n v="54.999999999999986"/>
    <n v="250"/>
    <n v="137499.99999999997"/>
    <n v="68749.999999999985"/>
    <n v="0.5"/>
    <x v="1"/>
  </r>
  <r>
    <x v="2"/>
    <n v="1197831"/>
    <x v="346"/>
    <x v="3"/>
    <s v="Nebraska"/>
    <s v="Omaha"/>
    <x v="0"/>
    <n v="20"/>
    <n v="675"/>
    <n v="135000"/>
    <n v="53999.999999999993"/>
    <n v="0.39999999999999997"/>
    <x v="1"/>
  </r>
  <r>
    <x v="2"/>
    <n v="1197831"/>
    <x v="347"/>
    <x v="3"/>
    <s v="Nebraska"/>
    <s v="Omaha"/>
    <x v="1"/>
    <n v="30"/>
    <n v="675"/>
    <n v="202500"/>
    <n v="81000"/>
    <n v="0.39999999999999997"/>
    <x v="1"/>
  </r>
  <r>
    <x v="2"/>
    <n v="1197831"/>
    <x v="348"/>
    <x v="3"/>
    <s v="Nebraska"/>
    <s v="Omaha"/>
    <x v="2"/>
    <n v="30"/>
    <n v="475"/>
    <n v="142500"/>
    <n v="56999.999999999993"/>
    <n v="0.39999999999999997"/>
    <x v="1"/>
  </r>
  <r>
    <x v="2"/>
    <n v="1197831"/>
    <x v="349"/>
    <x v="3"/>
    <s v="Nebraska"/>
    <s v="Omaha"/>
    <x v="3"/>
    <n v="35"/>
    <n v="475"/>
    <n v="166250"/>
    <n v="83125"/>
    <n v="0.5"/>
    <x v="1"/>
  </r>
  <r>
    <x v="2"/>
    <n v="1197831"/>
    <x v="350"/>
    <x v="1"/>
    <s v="Alabama"/>
    <s v="Birmingham"/>
    <x v="4"/>
    <n v="40"/>
    <n v="325"/>
    <n v="130000"/>
    <n v="45500"/>
    <n v="0.35"/>
    <x v="1"/>
  </r>
  <r>
    <x v="2"/>
    <n v="1197831"/>
    <x v="351"/>
    <x v="1"/>
    <s v="Alabama"/>
    <s v="Birmingham"/>
    <x v="5"/>
    <n v="35"/>
    <n v="475"/>
    <n v="166250"/>
    <n v="91437.500000000015"/>
    <n v="0.55000000000000004"/>
    <x v="1"/>
  </r>
  <r>
    <x v="2"/>
    <n v="1197831"/>
    <x v="352"/>
    <x v="1"/>
    <s v="Alabama"/>
    <s v="Birmingham"/>
    <x v="0"/>
    <n v="25"/>
    <n v="625"/>
    <n v="156250"/>
    <n v="62499.999999999993"/>
    <n v="0.39999999999999997"/>
    <x v="1"/>
  </r>
  <r>
    <x v="2"/>
    <n v="1197831"/>
    <x v="353"/>
    <x v="1"/>
    <s v="Alabama"/>
    <s v="Birmingham"/>
    <x v="1"/>
    <n v="35"/>
    <n v="600"/>
    <n v="210000"/>
    <n v="84000"/>
    <n v="0.39999999999999997"/>
    <x v="1"/>
  </r>
  <r>
    <x v="2"/>
    <n v="1197831"/>
    <x v="354"/>
    <x v="1"/>
    <s v="Alabama"/>
    <s v="Birmingham"/>
    <x v="2"/>
    <n v="35"/>
    <n v="425"/>
    <n v="148750"/>
    <n v="59499.999999999993"/>
    <n v="0.39999999999999997"/>
    <x v="1"/>
  </r>
  <r>
    <x v="2"/>
    <n v="1197831"/>
    <x v="355"/>
    <x v="1"/>
    <s v="Alabama"/>
    <s v="Birmingham"/>
    <x v="3"/>
    <n v="35"/>
    <n v="375"/>
    <n v="131250"/>
    <n v="65625"/>
    <n v="0.5"/>
    <x v="1"/>
  </r>
  <r>
    <x v="2"/>
    <n v="1197831"/>
    <x v="356"/>
    <x v="1"/>
    <s v="Alabama"/>
    <s v="Birmingham"/>
    <x v="4"/>
    <n v="40"/>
    <n v="250"/>
    <n v="100000"/>
    <n v="35000"/>
    <n v="0.35"/>
    <x v="1"/>
  </r>
  <r>
    <x v="2"/>
    <n v="1197831"/>
    <x v="357"/>
    <x v="1"/>
    <s v="Alabama"/>
    <s v="Birmingham"/>
    <x v="5"/>
    <n v="35"/>
    <n v="450"/>
    <n v="157500"/>
    <n v="86625"/>
    <n v="0.55000000000000004"/>
    <x v="1"/>
  </r>
  <r>
    <x v="2"/>
    <n v="1197831"/>
    <x v="358"/>
    <x v="1"/>
    <s v="Alabama"/>
    <s v="Birmingham"/>
    <x v="0"/>
    <n v="30"/>
    <n v="625"/>
    <n v="187500"/>
    <n v="84374.999999999985"/>
    <n v="0.44999999999999996"/>
    <x v="1"/>
  </r>
  <r>
    <x v="2"/>
    <n v="1197831"/>
    <x v="359"/>
    <x v="1"/>
    <s v="Alabama"/>
    <s v="Birmingham"/>
    <x v="1"/>
    <n v="40"/>
    <n v="625"/>
    <n v="250000"/>
    <n v="112499.99999999999"/>
    <n v="0.44999999999999996"/>
    <x v="1"/>
  </r>
  <r>
    <x v="2"/>
    <n v="1197831"/>
    <x v="360"/>
    <x v="1"/>
    <s v="Alabama"/>
    <s v="Birmingham"/>
    <x v="2"/>
    <n v="30"/>
    <n v="450"/>
    <n v="135000"/>
    <n v="60749.999999999993"/>
    <n v="0.44999999999999996"/>
    <x v="1"/>
  </r>
  <r>
    <x v="2"/>
    <n v="1197831"/>
    <x v="361"/>
    <x v="1"/>
    <s v="Alabama"/>
    <s v="Birmingham"/>
    <x v="3"/>
    <n v="35"/>
    <n v="350"/>
    <n v="122500"/>
    <n v="67375"/>
    <n v="0.55000000000000004"/>
    <x v="1"/>
  </r>
  <r>
    <x v="2"/>
    <n v="1197831"/>
    <x v="362"/>
    <x v="1"/>
    <s v="Alabama"/>
    <s v="Birmingham"/>
    <x v="4"/>
    <n v="40"/>
    <n v="250"/>
    <n v="100000"/>
    <n v="40000"/>
    <n v="0.39999999999999997"/>
    <x v="1"/>
  </r>
  <r>
    <x v="2"/>
    <n v="1197831"/>
    <x v="363"/>
    <x v="1"/>
    <s v="Alabama"/>
    <s v="Birmingham"/>
    <x v="5"/>
    <n v="35"/>
    <n v="400"/>
    <n v="140000"/>
    <n v="84000.000000000015"/>
    <n v="0.60000000000000009"/>
    <x v="1"/>
  </r>
  <r>
    <x v="2"/>
    <n v="1197831"/>
    <x v="364"/>
    <x v="1"/>
    <s v="Alabama"/>
    <s v="Birmingham"/>
    <x v="0"/>
    <n v="20"/>
    <n v="650"/>
    <n v="130000"/>
    <n v="58499.999999999993"/>
    <n v="0.44999999999999996"/>
    <x v="1"/>
  </r>
  <r>
    <x v="2"/>
    <n v="1197831"/>
    <x v="365"/>
    <x v="1"/>
    <s v="Alabama"/>
    <s v="Birmingham"/>
    <x v="1"/>
    <n v="20.000000000000007"/>
    <n v="650"/>
    <n v="130000.00000000004"/>
    <n v="58500.000000000015"/>
    <n v="0.44999999999999996"/>
    <x v="1"/>
  </r>
  <r>
    <x v="2"/>
    <n v="1197831"/>
    <x v="366"/>
    <x v="1"/>
    <s v="Alabama"/>
    <s v="Birmingham"/>
    <x v="2"/>
    <n v="14.999999999999996"/>
    <n v="475"/>
    <n v="71249.999999999985"/>
    <n v="32062.499999999989"/>
    <n v="0.44999999999999996"/>
    <x v="1"/>
  </r>
  <r>
    <x v="2"/>
    <n v="1197831"/>
    <x v="367"/>
    <x v="1"/>
    <s v="Alabama"/>
    <s v="Birmingham"/>
    <x v="3"/>
    <n v="20.000000000000007"/>
    <n v="375"/>
    <n v="75000.000000000029"/>
    <n v="41250.000000000022"/>
    <n v="0.55000000000000004"/>
    <x v="1"/>
  </r>
  <r>
    <x v="2"/>
    <n v="1197831"/>
    <x v="368"/>
    <x v="1"/>
    <s v="Alabama"/>
    <s v="Birmingham"/>
    <x v="4"/>
    <n v="25"/>
    <n v="275"/>
    <n v="68750"/>
    <n v="27499.999999999996"/>
    <n v="0.39999999999999997"/>
    <x v="1"/>
  </r>
  <r>
    <x v="2"/>
    <n v="1197831"/>
    <x v="369"/>
    <x v="1"/>
    <s v="Alabama"/>
    <s v="Birmingham"/>
    <x v="5"/>
    <n v="20.000000000000007"/>
    <n v="550"/>
    <n v="110000.00000000004"/>
    <n v="66000.000000000029"/>
    <n v="0.60000000000000009"/>
    <x v="1"/>
  </r>
  <r>
    <x v="2"/>
    <n v="1197831"/>
    <x v="370"/>
    <x v="1"/>
    <s v="Alabama"/>
    <s v="Birmingham"/>
    <x v="0"/>
    <n v="9.9999999999999964"/>
    <n v="700"/>
    <n v="69999.999999999971"/>
    <n v="31499.999999999985"/>
    <n v="0.44999999999999996"/>
    <x v="1"/>
  </r>
  <r>
    <x v="2"/>
    <n v="1197831"/>
    <x v="371"/>
    <x v="1"/>
    <s v="Alabama"/>
    <s v="Birmingham"/>
    <x v="1"/>
    <n v="20.000000000000007"/>
    <n v="725"/>
    <n v="145000.00000000006"/>
    <n v="65250.000000000022"/>
    <n v="0.44999999999999996"/>
    <x v="1"/>
  </r>
  <r>
    <x v="2"/>
    <n v="1197831"/>
    <x v="372"/>
    <x v="1"/>
    <s v="Alabama"/>
    <s v="Birmingham"/>
    <x v="2"/>
    <n v="14.999999999999996"/>
    <n v="575"/>
    <n v="86249.999999999985"/>
    <n v="38812.499999999993"/>
    <n v="0.44999999999999996"/>
    <x v="1"/>
  </r>
  <r>
    <x v="2"/>
    <n v="1197831"/>
    <x v="373"/>
    <x v="1"/>
    <s v="Alabama"/>
    <s v="Birmingham"/>
    <x v="3"/>
    <n v="35"/>
    <n v="500"/>
    <n v="175000"/>
    <n v="96250.000000000015"/>
    <n v="0.55000000000000004"/>
    <x v="1"/>
  </r>
  <r>
    <x v="2"/>
    <n v="1197831"/>
    <x v="374"/>
    <x v="1"/>
    <s v="Alabama"/>
    <s v="Birmingham"/>
    <x v="4"/>
    <n v="50"/>
    <n v="400"/>
    <n v="200000"/>
    <n v="80000"/>
    <n v="0.39999999999999997"/>
    <x v="1"/>
  </r>
  <r>
    <x v="2"/>
    <n v="1197831"/>
    <x v="375"/>
    <x v="1"/>
    <s v="Alabama"/>
    <s v="Birmingham"/>
    <x v="5"/>
    <n v="45"/>
    <n v="750"/>
    <n v="337500"/>
    <n v="202500.00000000003"/>
    <n v="0.60000000000000009"/>
    <x v="1"/>
  </r>
  <r>
    <x v="2"/>
    <n v="1197831"/>
    <x v="376"/>
    <x v="1"/>
    <s v="Alabama"/>
    <s v="Birmingham"/>
    <x v="0"/>
    <n v="45"/>
    <n v="750"/>
    <n v="337500"/>
    <n v="151874.99999999997"/>
    <n v="0.44999999999999996"/>
    <x v="1"/>
  </r>
  <r>
    <x v="2"/>
    <n v="1197831"/>
    <x v="377"/>
    <x v="1"/>
    <s v="Alabama"/>
    <s v="Birmingham"/>
    <x v="1"/>
    <n v="50"/>
    <n v="750"/>
    <n v="375000"/>
    <n v="168749.99999999997"/>
    <n v="0.44999999999999996"/>
    <x v="1"/>
  </r>
  <r>
    <x v="2"/>
    <n v="1197831"/>
    <x v="378"/>
    <x v="1"/>
    <s v="Alabama"/>
    <s v="Birmingham"/>
    <x v="2"/>
    <n v="45"/>
    <n v="650"/>
    <n v="292500"/>
    <n v="131625"/>
    <n v="0.44999999999999996"/>
    <x v="1"/>
  </r>
  <r>
    <x v="2"/>
    <n v="1197831"/>
    <x v="379"/>
    <x v="1"/>
    <s v="Alabama"/>
    <s v="Birmingham"/>
    <x v="3"/>
    <n v="45"/>
    <n v="600"/>
    <n v="270000"/>
    <n v="148500"/>
    <n v="0.55000000000000004"/>
    <x v="1"/>
  </r>
  <r>
    <x v="2"/>
    <n v="1197831"/>
    <x v="380"/>
    <x v="1"/>
    <s v="Alabama"/>
    <s v="Birmingham"/>
    <x v="4"/>
    <n v="50"/>
    <n v="500"/>
    <n v="250000"/>
    <n v="99999.999999999985"/>
    <n v="0.39999999999999997"/>
    <x v="1"/>
  </r>
  <r>
    <x v="2"/>
    <n v="1197831"/>
    <x v="381"/>
    <x v="1"/>
    <s v="Alabama"/>
    <s v="Birmingham"/>
    <x v="5"/>
    <n v="55.000000000000007"/>
    <n v="875"/>
    <n v="481250.00000000006"/>
    <n v="288750.00000000006"/>
    <n v="0.60000000000000009"/>
    <x v="1"/>
  </r>
  <r>
    <x v="2"/>
    <n v="1197831"/>
    <x v="382"/>
    <x v="1"/>
    <s v="Alabama"/>
    <s v="Birmingham"/>
    <x v="0"/>
    <n v="45"/>
    <n v="825"/>
    <n v="371250"/>
    <n v="185624.99999999997"/>
    <n v="0.49999999999999994"/>
    <x v="1"/>
  </r>
  <r>
    <x v="2"/>
    <n v="1197831"/>
    <x v="383"/>
    <x v="1"/>
    <s v="Alabama"/>
    <s v="Birmingham"/>
    <x v="1"/>
    <n v="50"/>
    <n v="825"/>
    <n v="412500"/>
    <n v="206249.99999999997"/>
    <n v="0.49999999999999994"/>
    <x v="1"/>
  </r>
  <r>
    <x v="2"/>
    <n v="1197831"/>
    <x v="384"/>
    <x v="1"/>
    <s v="Alabama"/>
    <s v="Birmingham"/>
    <x v="2"/>
    <n v="45"/>
    <n v="975"/>
    <n v="438750"/>
    <n v="219374.99999999997"/>
    <n v="0.49999999999999994"/>
    <x v="1"/>
  </r>
  <r>
    <x v="2"/>
    <n v="1197831"/>
    <x v="385"/>
    <x v="1"/>
    <s v="Alabama"/>
    <s v="Birmingham"/>
    <x v="3"/>
    <n v="45"/>
    <n v="575"/>
    <n v="258750"/>
    <n v="155250.00000000003"/>
    <n v="0.60000000000000009"/>
    <x v="1"/>
  </r>
  <r>
    <x v="2"/>
    <n v="1197831"/>
    <x v="386"/>
    <x v="1"/>
    <s v="Alabama"/>
    <s v="Birmingham"/>
    <x v="4"/>
    <n v="50"/>
    <n v="525"/>
    <n v="262500"/>
    <n v="118124.99999999999"/>
    <n v="0.44999999999999996"/>
    <x v="1"/>
  </r>
  <r>
    <x v="2"/>
    <n v="1197831"/>
    <x v="387"/>
    <x v="1"/>
    <s v="Alabama"/>
    <s v="Birmingham"/>
    <x v="5"/>
    <n v="60"/>
    <n v="800"/>
    <n v="480000"/>
    <n v="312000.00000000006"/>
    <n v="0.65000000000000013"/>
    <x v="1"/>
  </r>
  <r>
    <x v="2"/>
    <n v="1197831"/>
    <x v="388"/>
    <x v="1"/>
    <s v="Alabama"/>
    <s v="Birmingham"/>
    <x v="0"/>
    <n v="40"/>
    <n v="750"/>
    <n v="300000"/>
    <n v="149999.99999999997"/>
    <n v="0.49999999999999994"/>
    <x v="1"/>
  </r>
  <r>
    <x v="2"/>
    <n v="1197831"/>
    <x v="389"/>
    <x v="1"/>
    <s v="Alabama"/>
    <s v="Birmingham"/>
    <x v="1"/>
    <n v="55.000000000000007"/>
    <n v="750"/>
    <n v="412500.00000000006"/>
    <n v="206250"/>
    <n v="0.49999999999999994"/>
    <x v="1"/>
  </r>
  <r>
    <x v="2"/>
    <n v="1197831"/>
    <x v="390"/>
    <x v="1"/>
    <s v="Alabama"/>
    <s v="Birmingham"/>
    <x v="2"/>
    <n v="55.000000000000007"/>
    <n v="925"/>
    <n v="508750.00000000006"/>
    <n v="254375"/>
    <n v="0.49999999999999994"/>
    <x v="1"/>
  </r>
  <r>
    <x v="2"/>
    <n v="1197831"/>
    <x v="391"/>
    <x v="1"/>
    <s v="Alabama"/>
    <s v="Birmingham"/>
    <x v="3"/>
    <n v="50"/>
    <n v="425"/>
    <n v="212500"/>
    <n v="127500.00000000001"/>
    <n v="0.60000000000000009"/>
    <x v="1"/>
  </r>
  <r>
    <x v="2"/>
    <n v="1197831"/>
    <x v="392"/>
    <x v="1"/>
    <s v="Alabama"/>
    <s v="Birmingham"/>
    <x v="4"/>
    <n v="55.000000000000007"/>
    <n v="425"/>
    <n v="233750.00000000003"/>
    <n v="105187.5"/>
    <n v="0.44999999999999996"/>
    <x v="1"/>
  </r>
  <r>
    <x v="2"/>
    <n v="1197831"/>
    <x v="393"/>
    <x v="1"/>
    <s v="Alabama"/>
    <s v="Birmingham"/>
    <x v="5"/>
    <n v="60"/>
    <n v="675"/>
    <n v="405000"/>
    <n v="263250.00000000006"/>
    <n v="0.65000000000000013"/>
    <x v="1"/>
  </r>
  <r>
    <x v="2"/>
    <n v="1197831"/>
    <x v="394"/>
    <x v="1"/>
    <s v="Alabama"/>
    <s v="Birmingham"/>
    <x v="0"/>
    <n v="55.000000000000007"/>
    <n v="625"/>
    <n v="343750.00000000006"/>
    <n v="171875"/>
    <n v="0.49999999999999994"/>
    <x v="1"/>
  </r>
  <r>
    <x v="2"/>
    <n v="1197831"/>
    <x v="395"/>
    <x v="1"/>
    <s v="Alabama"/>
    <s v="Birmingham"/>
    <x v="1"/>
    <n v="55.000000000000007"/>
    <n v="575"/>
    <n v="316250.00000000006"/>
    <n v="158125"/>
    <n v="0.49999999999999994"/>
    <x v="1"/>
  </r>
  <r>
    <x v="2"/>
    <n v="1197831"/>
    <x v="396"/>
    <x v="1"/>
    <s v="Alabama"/>
    <s v="Birmingham"/>
    <x v="2"/>
    <n v="60"/>
    <n v="625"/>
    <n v="375000"/>
    <n v="187499.99999999997"/>
    <n v="0.49999999999999994"/>
    <x v="1"/>
  </r>
  <r>
    <x v="2"/>
    <n v="1197831"/>
    <x v="397"/>
    <x v="1"/>
    <s v="Alabama"/>
    <s v="Birmingham"/>
    <x v="3"/>
    <n v="60"/>
    <n v="350"/>
    <n v="210000"/>
    <n v="126000.00000000001"/>
    <n v="0.60000000000000009"/>
    <x v="1"/>
  </r>
  <r>
    <x v="2"/>
    <n v="1197831"/>
    <x v="398"/>
    <x v="1"/>
    <s v="Alabama"/>
    <s v="Birmingham"/>
    <x v="4"/>
    <n v="45"/>
    <n v="350"/>
    <n v="157500"/>
    <n v="70875"/>
    <n v="0.44999999999999996"/>
    <x v="1"/>
  </r>
  <r>
    <x v="2"/>
    <n v="1197831"/>
    <x v="399"/>
    <x v="1"/>
    <s v="Alabama"/>
    <s v="Birmingham"/>
    <x v="5"/>
    <n v="40"/>
    <n v="575"/>
    <n v="230000"/>
    <n v="149500.00000000003"/>
    <n v="0.65000000000000013"/>
    <x v="1"/>
  </r>
  <r>
    <x v="2"/>
    <n v="1197831"/>
    <x v="400"/>
    <x v="1"/>
    <s v="Alabama"/>
    <s v="Birmingham"/>
    <x v="0"/>
    <n v="30.000000000000004"/>
    <n v="525"/>
    <n v="157500.00000000003"/>
    <n v="78750"/>
    <n v="0.49999999999999994"/>
    <x v="1"/>
  </r>
  <r>
    <x v="2"/>
    <n v="1197831"/>
    <x v="401"/>
    <x v="1"/>
    <s v="Alabama"/>
    <s v="Birmingham"/>
    <x v="1"/>
    <n v="30.000000000000004"/>
    <n v="525"/>
    <n v="157500.00000000003"/>
    <n v="78750"/>
    <n v="0.49999999999999994"/>
    <x v="1"/>
  </r>
  <r>
    <x v="2"/>
    <n v="1197831"/>
    <x v="402"/>
    <x v="1"/>
    <s v="Alabama"/>
    <s v="Birmingham"/>
    <x v="2"/>
    <n v="35"/>
    <n v="475"/>
    <n v="166250"/>
    <n v="83124.999999999985"/>
    <n v="0.49999999999999994"/>
    <x v="1"/>
  </r>
  <r>
    <x v="2"/>
    <n v="1197831"/>
    <x v="403"/>
    <x v="1"/>
    <s v="Alabama"/>
    <s v="Birmingham"/>
    <x v="3"/>
    <n v="35"/>
    <n v="325"/>
    <n v="113750"/>
    <n v="68250.000000000015"/>
    <n v="0.60000000000000009"/>
    <x v="1"/>
  </r>
  <r>
    <x v="2"/>
    <n v="1197831"/>
    <x v="404"/>
    <x v="1"/>
    <s v="Alabama"/>
    <s v="Birmingham"/>
    <x v="4"/>
    <n v="30.000000000000004"/>
    <n v="300"/>
    <n v="90000.000000000015"/>
    <n v="40500"/>
    <n v="0.44999999999999996"/>
    <x v="1"/>
  </r>
  <r>
    <x v="2"/>
    <n v="1197831"/>
    <x v="405"/>
    <x v="1"/>
    <s v="Alabama"/>
    <s v="Birmingham"/>
    <x v="5"/>
    <n v="40"/>
    <n v="475"/>
    <n v="190000"/>
    <n v="123500.00000000003"/>
    <n v="0.65000000000000013"/>
    <x v="1"/>
  </r>
  <r>
    <x v="2"/>
    <n v="1197831"/>
    <x v="406"/>
    <x v="1"/>
    <s v="Alabama"/>
    <s v="Birmingham"/>
    <x v="0"/>
    <n v="20.000000000000004"/>
    <n v="625"/>
    <n v="125000.00000000003"/>
    <n v="62500.000000000007"/>
    <n v="0.49999999999999994"/>
    <x v="1"/>
  </r>
  <r>
    <x v="2"/>
    <n v="1197831"/>
    <x v="407"/>
    <x v="1"/>
    <s v="Alabama"/>
    <s v="Birmingham"/>
    <x v="1"/>
    <n v="20.000000000000004"/>
    <n v="625"/>
    <n v="125000.00000000003"/>
    <n v="62500.000000000007"/>
    <n v="0.49999999999999994"/>
    <x v="1"/>
  </r>
  <r>
    <x v="2"/>
    <n v="1197831"/>
    <x v="408"/>
    <x v="1"/>
    <s v="Alabama"/>
    <s v="Birmingham"/>
    <x v="2"/>
    <n v="45.000000000000007"/>
    <n v="575"/>
    <n v="258750.00000000003"/>
    <n v="129375"/>
    <n v="0.49999999999999994"/>
    <x v="1"/>
  </r>
  <r>
    <x v="2"/>
    <n v="1197831"/>
    <x v="409"/>
    <x v="1"/>
    <s v="Alabama"/>
    <s v="Birmingham"/>
    <x v="3"/>
    <n v="45.000000000000007"/>
    <n v="450"/>
    <n v="202500.00000000003"/>
    <n v="121500.00000000003"/>
    <n v="0.60000000000000009"/>
    <x v="1"/>
  </r>
  <r>
    <x v="2"/>
    <n v="1197831"/>
    <x v="410"/>
    <x v="1"/>
    <s v="Alabama"/>
    <s v="Birmingham"/>
    <x v="4"/>
    <n v="49.999999999999993"/>
    <n v="425"/>
    <n v="212499.99999999997"/>
    <n v="95624.999999999971"/>
    <n v="0.44999999999999996"/>
    <x v="1"/>
  </r>
  <r>
    <x v="2"/>
    <n v="1197831"/>
    <x v="411"/>
    <x v="1"/>
    <s v="Alabama"/>
    <s v="Birmingham"/>
    <x v="5"/>
    <n v="60"/>
    <n v="625"/>
    <n v="375000"/>
    <n v="243750.00000000006"/>
    <n v="0.65000000000000013"/>
    <x v="1"/>
  </r>
  <r>
    <x v="2"/>
    <n v="1197831"/>
    <x v="412"/>
    <x v="1"/>
    <s v="Alabama"/>
    <s v="Birmingham"/>
    <x v="0"/>
    <n v="60"/>
    <n v="775"/>
    <n v="465000"/>
    <n v="232499.99999999997"/>
    <n v="0.49999999999999994"/>
    <x v="1"/>
  </r>
  <r>
    <x v="2"/>
    <n v="1197831"/>
    <x v="413"/>
    <x v="1"/>
    <s v="Alabama"/>
    <s v="Birmingham"/>
    <x v="1"/>
    <n v="60"/>
    <n v="775"/>
    <n v="465000"/>
    <n v="232499.99999999997"/>
    <n v="0.49999999999999994"/>
    <x v="1"/>
  </r>
  <r>
    <x v="2"/>
    <n v="1197831"/>
    <x v="414"/>
    <x v="1"/>
    <s v="Alabama"/>
    <s v="Birmingham"/>
    <x v="2"/>
    <n v="65"/>
    <n v="700"/>
    <n v="455000"/>
    <n v="227499.99999999997"/>
    <n v="0.49999999999999994"/>
    <x v="1"/>
  </r>
  <r>
    <x v="2"/>
    <n v="1197831"/>
    <x v="415"/>
    <x v="1"/>
    <s v="Alabama"/>
    <s v="Birmingham"/>
    <x v="3"/>
    <n v="65"/>
    <n v="550"/>
    <n v="357500"/>
    <n v="214500.00000000003"/>
    <n v="0.60000000000000009"/>
    <x v="1"/>
  </r>
  <r>
    <x v="2"/>
    <n v="1197831"/>
    <x v="416"/>
    <x v="1"/>
    <s v="Alabama"/>
    <s v="Birmingham"/>
    <x v="4"/>
    <n v="60"/>
    <n v="500"/>
    <n v="300000"/>
    <n v="135000"/>
    <n v="0.44999999999999996"/>
    <x v="1"/>
  </r>
  <r>
    <x v="2"/>
    <n v="1197831"/>
    <x v="417"/>
    <x v="1"/>
    <s v="Alabama"/>
    <s v="Birmingham"/>
    <x v="5"/>
    <n v="70"/>
    <n v="750"/>
    <n v="525000"/>
    <n v="341250.00000000006"/>
    <n v="0.65000000000000013"/>
    <x v="1"/>
  </r>
  <r>
    <x v="5"/>
    <n v="1185732"/>
    <x v="418"/>
    <x v="1"/>
    <s v="Alabama"/>
    <s v="Birmingham"/>
    <x v="0"/>
    <n v="40"/>
    <n v="450"/>
    <n v="180000"/>
    <n v="62999.999999999993"/>
    <n v="0.35"/>
    <x v="1"/>
  </r>
  <r>
    <x v="5"/>
    <n v="1185732"/>
    <x v="419"/>
    <x v="1"/>
    <s v="Alabama"/>
    <s v="Birmingham"/>
    <x v="1"/>
    <n v="40"/>
    <n v="250"/>
    <n v="100000"/>
    <n v="35000"/>
    <n v="0.35"/>
    <x v="1"/>
  </r>
  <r>
    <x v="5"/>
    <n v="1185732"/>
    <x v="420"/>
    <x v="1"/>
    <s v="Alabama"/>
    <s v="Birmingham"/>
    <x v="2"/>
    <n v="30.000000000000004"/>
    <n v="250"/>
    <n v="75000.000000000015"/>
    <n v="30000.000000000004"/>
    <n v="0.39999999999999997"/>
    <x v="1"/>
  </r>
  <r>
    <x v="5"/>
    <n v="1185732"/>
    <x v="421"/>
    <x v="1"/>
    <s v="Alabama"/>
    <s v="Birmingham"/>
    <x v="3"/>
    <n v="35"/>
    <n v="100"/>
    <n v="35000"/>
    <n v="10500"/>
    <n v="0.3"/>
    <x v="1"/>
  </r>
  <r>
    <x v="5"/>
    <n v="1185732"/>
    <x v="422"/>
    <x v="0"/>
    <s v="Maine"/>
    <s v="Portland"/>
    <x v="4"/>
    <n v="50"/>
    <n v="150"/>
    <n v="75000"/>
    <n v="18750"/>
    <n v="0.25"/>
    <x v="1"/>
  </r>
  <r>
    <x v="5"/>
    <n v="1185732"/>
    <x v="423"/>
    <x v="0"/>
    <s v="Maine"/>
    <s v="Portland"/>
    <x v="5"/>
    <n v="40"/>
    <n v="250"/>
    <n v="100000"/>
    <n v="40000"/>
    <n v="0.4"/>
    <x v="1"/>
  </r>
  <r>
    <x v="5"/>
    <n v="1185732"/>
    <x v="424"/>
    <x v="0"/>
    <s v="Maine"/>
    <s v="Portland"/>
    <x v="0"/>
    <n v="40"/>
    <n v="500"/>
    <n v="200000"/>
    <n v="70000"/>
    <n v="0.35"/>
    <x v="1"/>
  </r>
  <r>
    <x v="5"/>
    <n v="1185732"/>
    <x v="425"/>
    <x v="0"/>
    <s v="Maine"/>
    <s v="Portland"/>
    <x v="1"/>
    <n v="40"/>
    <n v="150"/>
    <n v="60000"/>
    <n v="21000"/>
    <n v="0.35"/>
    <x v="1"/>
  </r>
  <r>
    <x v="5"/>
    <n v="1185732"/>
    <x v="426"/>
    <x v="0"/>
    <s v="Maine"/>
    <s v="Portland"/>
    <x v="2"/>
    <n v="30.000000000000004"/>
    <n v="200"/>
    <n v="60000.000000000007"/>
    <n v="24000"/>
    <n v="0.39999999999999997"/>
    <x v="1"/>
  </r>
  <r>
    <x v="5"/>
    <n v="1185732"/>
    <x v="427"/>
    <x v="0"/>
    <s v="Maine"/>
    <s v="Portland"/>
    <x v="3"/>
    <n v="35"/>
    <n v="75"/>
    <n v="26250"/>
    <n v="7875"/>
    <n v="0.3"/>
    <x v="1"/>
  </r>
  <r>
    <x v="5"/>
    <n v="1185732"/>
    <x v="428"/>
    <x v="0"/>
    <s v="Maine"/>
    <s v="Portland"/>
    <x v="4"/>
    <n v="50"/>
    <n v="150"/>
    <n v="75000"/>
    <n v="18750"/>
    <n v="0.25"/>
    <x v="1"/>
  </r>
  <r>
    <x v="5"/>
    <n v="1185732"/>
    <x v="429"/>
    <x v="0"/>
    <s v="Maine"/>
    <s v="Portland"/>
    <x v="5"/>
    <n v="40"/>
    <n v="250"/>
    <n v="100000"/>
    <n v="40000"/>
    <n v="0.4"/>
    <x v="1"/>
  </r>
  <r>
    <x v="5"/>
    <n v="1185732"/>
    <x v="430"/>
    <x v="0"/>
    <s v="Maine"/>
    <s v="Portland"/>
    <x v="0"/>
    <n v="40"/>
    <n v="470"/>
    <n v="188000"/>
    <n v="65800"/>
    <n v="0.35"/>
    <x v="1"/>
  </r>
  <r>
    <x v="5"/>
    <n v="1185732"/>
    <x v="431"/>
    <x v="0"/>
    <s v="Maine"/>
    <s v="Portland"/>
    <x v="1"/>
    <n v="40"/>
    <n v="175"/>
    <n v="70000"/>
    <n v="24500"/>
    <n v="0.35"/>
    <x v="1"/>
  </r>
  <r>
    <x v="5"/>
    <n v="1185732"/>
    <x v="432"/>
    <x v="0"/>
    <s v="Maine"/>
    <s v="Portland"/>
    <x v="2"/>
    <n v="30.000000000000004"/>
    <n v="200"/>
    <n v="60000.000000000007"/>
    <n v="24000"/>
    <n v="0.39999999999999997"/>
    <x v="1"/>
  </r>
  <r>
    <x v="5"/>
    <n v="1185732"/>
    <x v="433"/>
    <x v="0"/>
    <s v="Maine"/>
    <s v="Portland"/>
    <x v="3"/>
    <n v="35"/>
    <n v="50"/>
    <n v="17500"/>
    <n v="5250"/>
    <n v="0.3"/>
    <x v="1"/>
  </r>
  <r>
    <x v="5"/>
    <n v="1185732"/>
    <x v="434"/>
    <x v="0"/>
    <s v="Maine"/>
    <s v="Portland"/>
    <x v="4"/>
    <n v="50"/>
    <n v="100"/>
    <n v="50000"/>
    <n v="12500"/>
    <n v="0.25"/>
    <x v="1"/>
  </r>
  <r>
    <x v="5"/>
    <n v="1185732"/>
    <x v="435"/>
    <x v="0"/>
    <s v="Maine"/>
    <s v="Portland"/>
    <x v="5"/>
    <n v="40"/>
    <n v="200"/>
    <n v="80000"/>
    <n v="32000"/>
    <n v="0.4"/>
    <x v="1"/>
  </r>
  <r>
    <x v="5"/>
    <n v="1185732"/>
    <x v="436"/>
    <x v="0"/>
    <s v="Maine"/>
    <s v="Portland"/>
    <x v="0"/>
    <n v="40"/>
    <n v="450"/>
    <n v="180000"/>
    <n v="62999.999999999993"/>
    <n v="0.35"/>
    <x v="1"/>
  </r>
  <r>
    <x v="5"/>
    <n v="1185732"/>
    <x v="437"/>
    <x v="0"/>
    <s v="Maine"/>
    <s v="Portland"/>
    <x v="1"/>
    <n v="40"/>
    <n v="150"/>
    <n v="60000"/>
    <n v="21000"/>
    <n v="0.35"/>
    <x v="1"/>
  </r>
  <r>
    <x v="5"/>
    <n v="1185732"/>
    <x v="438"/>
    <x v="0"/>
    <s v="Maine"/>
    <s v="Portland"/>
    <x v="2"/>
    <n v="30.000000000000004"/>
    <n v="150"/>
    <n v="45000.000000000007"/>
    <n v="18000"/>
    <n v="0.39999999999999997"/>
    <x v="1"/>
  </r>
  <r>
    <x v="5"/>
    <n v="1185732"/>
    <x v="439"/>
    <x v="0"/>
    <s v="Maine"/>
    <s v="Portland"/>
    <x v="3"/>
    <n v="35"/>
    <n v="75"/>
    <n v="26250"/>
    <n v="7875"/>
    <n v="0.3"/>
    <x v="1"/>
  </r>
  <r>
    <x v="5"/>
    <n v="1185732"/>
    <x v="440"/>
    <x v="0"/>
    <s v="Maine"/>
    <s v="Portland"/>
    <x v="4"/>
    <n v="50"/>
    <n v="75"/>
    <n v="37500"/>
    <n v="9375"/>
    <n v="0.25"/>
    <x v="1"/>
  </r>
  <r>
    <x v="5"/>
    <n v="1185732"/>
    <x v="441"/>
    <x v="0"/>
    <s v="Maine"/>
    <s v="Portland"/>
    <x v="5"/>
    <n v="40"/>
    <n v="225"/>
    <n v="90000"/>
    <n v="36000"/>
    <n v="0.4"/>
    <x v="1"/>
  </r>
  <r>
    <x v="5"/>
    <n v="1185732"/>
    <x v="442"/>
    <x v="0"/>
    <s v="Maine"/>
    <s v="Portland"/>
    <x v="0"/>
    <n v="54.999999999999993"/>
    <n v="495"/>
    <n v="272249.99999999994"/>
    <n v="95287.499999999971"/>
    <n v="0.35"/>
    <x v="1"/>
  </r>
  <r>
    <x v="5"/>
    <n v="1185732"/>
    <x v="443"/>
    <x v="0"/>
    <s v="Maine"/>
    <s v="Portland"/>
    <x v="1"/>
    <n v="50"/>
    <n v="200"/>
    <n v="100000"/>
    <n v="35000"/>
    <n v="0.35"/>
    <x v="1"/>
  </r>
  <r>
    <x v="5"/>
    <n v="1185732"/>
    <x v="444"/>
    <x v="0"/>
    <s v="Maine"/>
    <s v="Portland"/>
    <x v="2"/>
    <n v="45"/>
    <n v="175"/>
    <n v="78750"/>
    <n v="31499.999999999996"/>
    <n v="0.39999999999999997"/>
    <x v="1"/>
  </r>
  <r>
    <x v="5"/>
    <n v="1185732"/>
    <x v="445"/>
    <x v="0"/>
    <s v="Maine"/>
    <s v="Portland"/>
    <x v="3"/>
    <n v="45"/>
    <n v="125"/>
    <n v="56250"/>
    <n v="16875"/>
    <n v="0.3"/>
    <x v="1"/>
  </r>
  <r>
    <x v="5"/>
    <n v="1185732"/>
    <x v="446"/>
    <x v="0"/>
    <s v="Maine"/>
    <s v="Portland"/>
    <x v="4"/>
    <n v="54.999999999999993"/>
    <n v="150"/>
    <n v="82499.999999999985"/>
    <n v="20624.999999999996"/>
    <n v="0.25"/>
    <x v="1"/>
  </r>
  <r>
    <x v="5"/>
    <n v="1185732"/>
    <x v="447"/>
    <x v="0"/>
    <s v="Maine"/>
    <s v="Portland"/>
    <x v="5"/>
    <n v="60"/>
    <n v="275"/>
    <n v="165000"/>
    <n v="66000"/>
    <n v="0.4"/>
    <x v="1"/>
  </r>
  <r>
    <x v="5"/>
    <n v="1185732"/>
    <x v="448"/>
    <x v="0"/>
    <s v="Maine"/>
    <s v="Portland"/>
    <x v="0"/>
    <n v="54.999999999999993"/>
    <n v="525"/>
    <n v="288749.99999999994"/>
    <n v="101062.49999999997"/>
    <n v="0.35"/>
    <x v="1"/>
  </r>
  <r>
    <x v="5"/>
    <n v="1185732"/>
    <x v="449"/>
    <x v="0"/>
    <s v="Maine"/>
    <s v="Portland"/>
    <x v="1"/>
    <n v="50"/>
    <n v="275"/>
    <n v="137500"/>
    <n v="48125"/>
    <n v="0.35"/>
    <x v="1"/>
  </r>
  <r>
    <x v="5"/>
    <n v="1185732"/>
    <x v="450"/>
    <x v="0"/>
    <s v="Maine"/>
    <s v="Portland"/>
    <x v="2"/>
    <n v="45"/>
    <n v="200"/>
    <n v="90000"/>
    <n v="36000"/>
    <n v="0.39999999999999997"/>
    <x v="1"/>
  </r>
  <r>
    <x v="5"/>
    <n v="1185732"/>
    <x v="451"/>
    <x v="0"/>
    <s v="Maine"/>
    <s v="Portland"/>
    <x v="3"/>
    <n v="45"/>
    <n v="175"/>
    <n v="78750"/>
    <n v="23625"/>
    <n v="0.3"/>
    <x v="1"/>
  </r>
  <r>
    <x v="5"/>
    <n v="1185732"/>
    <x v="452"/>
    <x v="0"/>
    <s v="Maine"/>
    <s v="Portland"/>
    <x v="4"/>
    <n v="54.999999999999993"/>
    <n v="175"/>
    <n v="96249.999999999985"/>
    <n v="24062.499999999996"/>
    <n v="0.25"/>
    <x v="1"/>
  </r>
  <r>
    <x v="5"/>
    <n v="1185732"/>
    <x v="453"/>
    <x v="0"/>
    <s v="Maine"/>
    <s v="Portland"/>
    <x v="5"/>
    <n v="60"/>
    <n v="325"/>
    <n v="195000"/>
    <n v="78000"/>
    <n v="0.4"/>
    <x v="1"/>
  </r>
  <r>
    <x v="5"/>
    <n v="1185732"/>
    <x v="454"/>
    <x v="0"/>
    <s v="Maine"/>
    <s v="Portland"/>
    <x v="0"/>
    <n v="54.999999999999993"/>
    <n v="550"/>
    <n v="302499.99999999994"/>
    <n v="105874.99999999997"/>
    <n v="0.35"/>
    <x v="1"/>
  </r>
  <r>
    <x v="5"/>
    <n v="1185732"/>
    <x v="455"/>
    <x v="0"/>
    <s v="Maine"/>
    <s v="Portland"/>
    <x v="1"/>
    <n v="50"/>
    <n v="300"/>
    <n v="150000"/>
    <n v="52500"/>
    <n v="0.35"/>
    <x v="1"/>
  </r>
  <r>
    <x v="5"/>
    <n v="1185732"/>
    <x v="456"/>
    <x v="0"/>
    <s v="Maine"/>
    <s v="Portland"/>
    <x v="2"/>
    <n v="45"/>
    <n v="225"/>
    <n v="101250"/>
    <n v="40500"/>
    <n v="0.39999999999999997"/>
    <x v="1"/>
  </r>
  <r>
    <x v="5"/>
    <n v="1185732"/>
    <x v="457"/>
    <x v="0"/>
    <s v="Maine"/>
    <s v="Portland"/>
    <x v="3"/>
    <n v="45"/>
    <n v="175"/>
    <n v="78750"/>
    <n v="23625"/>
    <n v="0.3"/>
    <x v="1"/>
  </r>
  <r>
    <x v="5"/>
    <n v="1185732"/>
    <x v="458"/>
    <x v="0"/>
    <s v="Maine"/>
    <s v="Portland"/>
    <x v="4"/>
    <n v="54.999999999999993"/>
    <n v="200"/>
    <n v="109999.99999999999"/>
    <n v="27499.999999999996"/>
    <n v="0.25"/>
    <x v="1"/>
  </r>
  <r>
    <x v="5"/>
    <n v="1185732"/>
    <x v="487"/>
    <x v="0"/>
    <s v="Maine"/>
    <s v="Portland"/>
    <x v="5"/>
    <n v="60"/>
    <n v="375"/>
    <n v="225000"/>
    <n v="90000"/>
    <n v="0.4"/>
    <x v="1"/>
  </r>
  <r>
    <x v="5"/>
    <n v="1185732"/>
    <x v="488"/>
    <x v="0"/>
    <s v="Maine"/>
    <s v="Portland"/>
    <x v="0"/>
    <n v="54.999999999999993"/>
    <n v="525"/>
    <n v="288749.99999999994"/>
    <n v="101062.49999999997"/>
    <n v="0.35"/>
    <x v="1"/>
  </r>
  <r>
    <x v="5"/>
    <n v="1185732"/>
    <x v="489"/>
    <x v="0"/>
    <s v="Maine"/>
    <s v="Portland"/>
    <x v="1"/>
    <n v="50"/>
    <n v="300"/>
    <n v="150000"/>
    <n v="52500"/>
    <n v="0.35"/>
    <x v="1"/>
  </r>
  <r>
    <x v="5"/>
    <n v="1185732"/>
    <x v="490"/>
    <x v="0"/>
    <s v="Maine"/>
    <s v="Portland"/>
    <x v="2"/>
    <n v="45"/>
    <n v="225"/>
    <n v="101250"/>
    <n v="40500"/>
    <n v="0.39999999999999997"/>
    <x v="1"/>
  </r>
  <r>
    <x v="5"/>
    <n v="1185732"/>
    <x v="491"/>
    <x v="0"/>
    <s v="Maine"/>
    <s v="Portland"/>
    <x v="3"/>
    <n v="45"/>
    <n v="175"/>
    <n v="78750"/>
    <n v="23625"/>
    <n v="0.3"/>
    <x v="1"/>
  </r>
  <r>
    <x v="5"/>
    <n v="1185732"/>
    <x v="492"/>
    <x v="0"/>
    <s v="Maine"/>
    <s v="Portland"/>
    <x v="4"/>
    <n v="54.999999999999993"/>
    <n v="150"/>
    <n v="82499.999999999985"/>
    <n v="20624.999999999996"/>
    <n v="0.25"/>
    <x v="1"/>
  </r>
  <r>
    <x v="5"/>
    <n v="1185732"/>
    <x v="493"/>
    <x v="0"/>
    <s v="Maine"/>
    <s v="Portland"/>
    <x v="5"/>
    <n v="60"/>
    <n v="325"/>
    <n v="195000"/>
    <n v="78000"/>
    <n v="0.4"/>
    <x v="1"/>
  </r>
  <r>
    <x v="5"/>
    <n v="1185732"/>
    <x v="494"/>
    <x v="0"/>
    <s v="Maine"/>
    <s v="Portland"/>
    <x v="0"/>
    <n v="54.999999999999993"/>
    <n v="450"/>
    <n v="247499.99999999997"/>
    <n v="86624.999999999985"/>
    <n v="0.35"/>
    <x v="1"/>
  </r>
  <r>
    <x v="5"/>
    <n v="1185732"/>
    <x v="495"/>
    <x v="0"/>
    <s v="Maine"/>
    <s v="Portland"/>
    <x v="1"/>
    <n v="50"/>
    <n v="250"/>
    <n v="125000"/>
    <n v="43750"/>
    <n v="0.35"/>
    <x v="1"/>
  </r>
  <r>
    <x v="5"/>
    <n v="1185732"/>
    <x v="496"/>
    <x v="0"/>
    <s v="Maine"/>
    <s v="Portland"/>
    <x v="2"/>
    <n v="45"/>
    <n v="150"/>
    <n v="67500"/>
    <n v="26999.999999999996"/>
    <n v="0.39999999999999997"/>
    <x v="1"/>
  </r>
  <r>
    <x v="5"/>
    <n v="1185732"/>
    <x v="497"/>
    <x v="0"/>
    <s v="Maine"/>
    <s v="Portland"/>
    <x v="3"/>
    <n v="45"/>
    <n v="125"/>
    <n v="56250"/>
    <n v="16875"/>
    <n v="0.3"/>
    <x v="1"/>
  </r>
  <r>
    <x v="5"/>
    <n v="1185732"/>
    <x v="498"/>
    <x v="0"/>
    <s v="Maine"/>
    <s v="Portland"/>
    <x v="4"/>
    <n v="54.999999999999993"/>
    <n v="125"/>
    <n v="68749.999999999985"/>
    <n v="17187.499999999996"/>
    <n v="0.25"/>
    <x v="1"/>
  </r>
  <r>
    <x v="5"/>
    <n v="1185732"/>
    <x v="393"/>
    <x v="0"/>
    <s v="Maine"/>
    <s v="Portland"/>
    <x v="5"/>
    <n v="60"/>
    <n v="225"/>
    <n v="135000"/>
    <n v="54000"/>
    <n v="0.4"/>
    <x v="1"/>
  </r>
  <r>
    <x v="5"/>
    <n v="1185732"/>
    <x v="425"/>
    <x v="0"/>
    <s v="Maine"/>
    <s v="Portland"/>
    <x v="0"/>
    <n v="60"/>
    <n v="400"/>
    <n v="240000"/>
    <n v="84000"/>
    <n v="0.35"/>
    <x v="1"/>
  </r>
  <r>
    <x v="5"/>
    <n v="1185732"/>
    <x v="425"/>
    <x v="0"/>
    <s v="Maine"/>
    <s v="Portland"/>
    <x v="1"/>
    <n v="55.000000000000007"/>
    <n v="225"/>
    <n v="123750.00000000001"/>
    <n v="43312.5"/>
    <n v="0.35"/>
    <x v="1"/>
  </r>
  <r>
    <x v="5"/>
    <n v="1185732"/>
    <x v="425"/>
    <x v="0"/>
    <s v="Maine"/>
    <s v="Portland"/>
    <x v="2"/>
    <n v="55.000000000000007"/>
    <n v="125"/>
    <n v="68750.000000000015"/>
    <n v="27500.000000000004"/>
    <n v="0.39999999999999997"/>
    <x v="1"/>
  </r>
  <r>
    <x v="5"/>
    <n v="1185732"/>
    <x v="425"/>
    <x v="0"/>
    <s v="Maine"/>
    <s v="Portland"/>
    <x v="3"/>
    <n v="55.000000000000007"/>
    <n v="100"/>
    <n v="55000.000000000007"/>
    <n v="16500"/>
    <n v="0.3"/>
    <x v="1"/>
  </r>
  <r>
    <x v="5"/>
    <n v="1185732"/>
    <x v="425"/>
    <x v="0"/>
    <s v="Maine"/>
    <s v="Portland"/>
    <x v="4"/>
    <n v="65"/>
    <n v="100"/>
    <n v="65000"/>
    <n v="16250"/>
    <n v="0.25"/>
    <x v="1"/>
  </r>
  <r>
    <x v="5"/>
    <n v="1185732"/>
    <x v="425"/>
    <x v="0"/>
    <s v="Maine"/>
    <s v="Portland"/>
    <x v="5"/>
    <n v="70"/>
    <n v="225"/>
    <n v="157500"/>
    <n v="63000"/>
    <n v="0.4"/>
    <x v="1"/>
  </r>
  <r>
    <x v="5"/>
    <n v="1185732"/>
    <x v="455"/>
    <x v="0"/>
    <s v="Maine"/>
    <s v="Portland"/>
    <x v="0"/>
    <n v="65"/>
    <n v="375"/>
    <n v="243750"/>
    <n v="85312.5"/>
    <n v="0.35"/>
    <x v="1"/>
  </r>
  <r>
    <x v="5"/>
    <n v="1185732"/>
    <x v="455"/>
    <x v="0"/>
    <s v="Maine"/>
    <s v="Portland"/>
    <x v="1"/>
    <n v="55.000000000000007"/>
    <n v="200"/>
    <n v="110000.00000000001"/>
    <n v="38500"/>
    <n v="0.35"/>
    <x v="1"/>
  </r>
  <r>
    <x v="5"/>
    <n v="1185732"/>
    <x v="455"/>
    <x v="0"/>
    <s v="Maine"/>
    <s v="Portland"/>
    <x v="2"/>
    <n v="55.000000000000007"/>
    <n v="195"/>
    <n v="107250.00000000001"/>
    <n v="42900"/>
    <n v="0.39999999999999997"/>
    <x v="1"/>
  </r>
  <r>
    <x v="5"/>
    <n v="1185732"/>
    <x v="455"/>
    <x v="0"/>
    <s v="Maine"/>
    <s v="Portland"/>
    <x v="3"/>
    <n v="55.000000000000007"/>
    <n v="175"/>
    <n v="96250.000000000015"/>
    <n v="28875.000000000004"/>
    <n v="0.3"/>
    <x v="1"/>
  </r>
  <r>
    <x v="5"/>
    <n v="1185732"/>
    <x v="455"/>
    <x v="0"/>
    <s v="Maine"/>
    <s v="Portland"/>
    <x v="4"/>
    <n v="65"/>
    <n v="150"/>
    <n v="97500"/>
    <n v="24375"/>
    <n v="0.25"/>
    <x v="1"/>
  </r>
  <r>
    <x v="5"/>
    <n v="1185732"/>
    <x v="455"/>
    <x v="0"/>
    <s v="Maine"/>
    <s v="Portland"/>
    <x v="5"/>
    <n v="70"/>
    <n v="250"/>
    <n v="175000"/>
    <n v="70000"/>
    <n v="0.4"/>
    <x v="1"/>
  </r>
  <r>
    <x v="5"/>
    <n v="1185732"/>
    <x v="484"/>
    <x v="0"/>
    <s v="Maine"/>
    <s v="Portland"/>
    <x v="0"/>
    <n v="65"/>
    <n v="475"/>
    <n v="308750"/>
    <n v="108062.5"/>
    <n v="0.35"/>
    <x v="1"/>
  </r>
  <r>
    <x v="5"/>
    <n v="1185732"/>
    <x v="484"/>
    <x v="0"/>
    <s v="Maine"/>
    <s v="Portland"/>
    <x v="1"/>
    <n v="55.000000000000007"/>
    <n v="275"/>
    <n v="151250.00000000003"/>
    <n v="52937.500000000007"/>
    <n v="0.35"/>
    <x v="1"/>
  </r>
  <r>
    <x v="5"/>
    <n v="1185732"/>
    <x v="484"/>
    <x v="0"/>
    <s v="Maine"/>
    <s v="Portland"/>
    <x v="2"/>
    <n v="55.000000000000007"/>
    <n v="250"/>
    <n v="137500.00000000003"/>
    <n v="55000.000000000007"/>
    <n v="0.39999999999999997"/>
    <x v="1"/>
  </r>
  <r>
    <x v="5"/>
    <n v="1185732"/>
    <x v="484"/>
    <x v="0"/>
    <s v="Maine"/>
    <s v="Portland"/>
    <x v="3"/>
    <n v="55.000000000000007"/>
    <n v="200"/>
    <n v="110000.00000000001"/>
    <n v="33000"/>
    <n v="0.3"/>
    <x v="1"/>
  </r>
  <r>
    <x v="5"/>
    <n v="1185732"/>
    <x v="484"/>
    <x v="0"/>
    <s v="Maine"/>
    <s v="Portland"/>
    <x v="4"/>
    <n v="65"/>
    <n v="200"/>
    <n v="130000"/>
    <n v="32500"/>
    <n v="0.25"/>
    <x v="1"/>
  </r>
  <r>
    <x v="5"/>
    <n v="1185732"/>
    <x v="484"/>
    <x v="0"/>
    <s v="Maine"/>
    <s v="Portland"/>
    <x v="5"/>
    <n v="70"/>
    <n v="300"/>
    <n v="210000"/>
    <n v="84000"/>
    <n v="0.4"/>
    <x v="1"/>
  </r>
  <r>
    <x v="3"/>
    <n v="1128299"/>
    <x v="174"/>
    <x v="0"/>
    <s v="Maine"/>
    <s v="Portland"/>
    <x v="0"/>
    <n v="35"/>
    <n v="375"/>
    <n v="131250"/>
    <n v="32812.5"/>
    <n v="0.25"/>
    <x v="1"/>
  </r>
  <r>
    <x v="3"/>
    <n v="1128299"/>
    <x v="174"/>
    <x v="0"/>
    <s v="Maine"/>
    <s v="Portland"/>
    <x v="1"/>
    <n v="45"/>
    <n v="375"/>
    <n v="168750"/>
    <n v="33750"/>
    <n v="0.2"/>
    <x v="1"/>
  </r>
  <r>
    <x v="3"/>
    <n v="1128299"/>
    <x v="174"/>
    <x v="0"/>
    <s v="Maine"/>
    <s v="Portland"/>
    <x v="2"/>
    <n v="45"/>
    <n v="375"/>
    <n v="168750"/>
    <n v="42187.5"/>
    <n v="0.25"/>
    <x v="1"/>
  </r>
  <r>
    <x v="3"/>
    <n v="1128299"/>
    <x v="174"/>
    <x v="0"/>
    <s v="Maine"/>
    <s v="Portland"/>
    <x v="3"/>
    <n v="45"/>
    <n v="225"/>
    <n v="101250"/>
    <n v="25312.5"/>
    <n v="0.25"/>
    <x v="1"/>
  </r>
  <r>
    <x v="5"/>
    <n v="1185732"/>
    <x v="188"/>
    <x v="2"/>
    <s v="Alaska"/>
    <s v="Anchorage"/>
    <x v="5"/>
    <n v="55.000000000000007"/>
    <n v="300"/>
    <n v="165000.00000000003"/>
    <n v="49500.000000000007"/>
    <n v="0.3"/>
    <x v="1"/>
  </r>
  <r>
    <x v="5"/>
    <n v="1185732"/>
    <x v="696"/>
    <x v="2"/>
    <s v="Alaska"/>
    <s v="Anchorage"/>
    <x v="0"/>
    <n v="55.000000000000007"/>
    <n v="575"/>
    <n v="316250.00000000006"/>
    <n v="110687.50000000003"/>
    <n v="0.35000000000000003"/>
    <x v="1"/>
  </r>
  <r>
    <x v="5"/>
    <n v="1185732"/>
    <x v="696"/>
    <x v="2"/>
    <s v="Alaska"/>
    <s v="Anchorage"/>
    <x v="1"/>
    <n v="55.000000000000007"/>
    <n v="225"/>
    <n v="123750.00000000001"/>
    <n v="43312.500000000007"/>
    <n v="0.35000000000000003"/>
    <x v="1"/>
  </r>
  <r>
    <x v="5"/>
    <n v="1185732"/>
    <x v="696"/>
    <x v="2"/>
    <s v="Alaska"/>
    <s v="Anchorage"/>
    <x v="2"/>
    <n v="45"/>
    <n v="275"/>
    <n v="123750"/>
    <n v="30937.5"/>
    <n v="0.25"/>
    <x v="1"/>
  </r>
  <r>
    <x v="5"/>
    <n v="1185732"/>
    <x v="696"/>
    <x v="2"/>
    <s v="Alaska"/>
    <s v="Anchorage"/>
    <x v="3"/>
    <n v="49.999999999999993"/>
    <n v="175"/>
    <n v="87499.999999999985"/>
    <n v="21874.999999999996"/>
    <n v="0.25"/>
    <x v="1"/>
  </r>
  <r>
    <x v="5"/>
    <n v="1185732"/>
    <x v="696"/>
    <x v="2"/>
    <s v="Alaska"/>
    <s v="Anchorage"/>
    <x v="4"/>
    <n v="65.000000000000014"/>
    <n v="250"/>
    <n v="162500.00000000003"/>
    <n v="40625.000000000007"/>
    <n v="0.25"/>
    <x v="1"/>
  </r>
  <r>
    <x v="5"/>
    <n v="1185732"/>
    <x v="696"/>
    <x v="2"/>
    <s v="Alaska"/>
    <s v="Anchorage"/>
    <x v="5"/>
    <n v="55.000000000000007"/>
    <n v="350"/>
    <n v="192500.00000000003"/>
    <n v="57750.000000000007"/>
    <n v="0.3"/>
    <x v="1"/>
  </r>
  <r>
    <x v="5"/>
    <n v="1185732"/>
    <x v="225"/>
    <x v="2"/>
    <s v="Alaska"/>
    <s v="Anchorage"/>
    <x v="0"/>
    <n v="55.000000000000007"/>
    <n v="545"/>
    <n v="299750.00000000006"/>
    <n v="104912.50000000003"/>
    <n v="0.35000000000000003"/>
    <x v="1"/>
  </r>
  <r>
    <x v="5"/>
    <n v="1185732"/>
    <x v="225"/>
    <x v="2"/>
    <s v="Alaska"/>
    <s v="Anchorage"/>
    <x v="1"/>
    <n v="55.000000000000007"/>
    <n v="250"/>
    <n v="137500.00000000003"/>
    <n v="48125.000000000015"/>
    <n v="0.35000000000000003"/>
    <x v="1"/>
  </r>
  <r>
    <x v="5"/>
    <n v="1185732"/>
    <x v="225"/>
    <x v="2"/>
    <s v="Alaska"/>
    <s v="Anchorage"/>
    <x v="2"/>
    <n v="45"/>
    <n v="275"/>
    <n v="123750"/>
    <n v="30937.5"/>
    <n v="0.25"/>
    <x v="1"/>
  </r>
  <r>
    <x v="5"/>
    <n v="1185732"/>
    <x v="225"/>
    <x v="2"/>
    <s v="Alaska"/>
    <s v="Anchorage"/>
    <x v="3"/>
    <n v="49.999999999999993"/>
    <n v="125"/>
    <n v="62499.999999999993"/>
    <n v="15624.999999999998"/>
    <n v="0.25"/>
    <x v="1"/>
  </r>
  <r>
    <x v="5"/>
    <n v="1185732"/>
    <x v="225"/>
    <x v="2"/>
    <s v="Alaska"/>
    <s v="Anchorage"/>
    <x v="4"/>
    <n v="65.000000000000014"/>
    <n v="175"/>
    <n v="113750.00000000003"/>
    <n v="28437.500000000007"/>
    <n v="0.25"/>
    <x v="1"/>
  </r>
  <r>
    <x v="5"/>
    <n v="1185732"/>
    <x v="225"/>
    <x v="2"/>
    <s v="Alaska"/>
    <s v="Anchorage"/>
    <x v="5"/>
    <n v="55.000000000000007"/>
    <n v="275"/>
    <n v="151250.00000000003"/>
    <n v="45375.000000000007"/>
    <n v="0.3"/>
    <x v="1"/>
  </r>
  <r>
    <x v="5"/>
    <n v="1185732"/>
    <x v="244"/>
    <x v="2"/>
    <s v="Alaska"/>
    <s v="Anchorage"/>
    <x v="0"/>
    <n v="55.000000000000007"/>
    <n v="525"/>
    <n v="288750.00000000006"/>
    <n v="101062.50000000003"/>
    <n v="0.35000000000000003"/>
    <x v="1"/>
  </r>
  <r>
    <x v="5"/>
    <n v="1185732"/>
    <x v="244"/>
    <x v="2"/>
    <s v="Alaska"/>
    <s v="Anchorage"/>
    <x v="1"/>
    <n v="55.000000000000007"/>
    <n v="225"/>
    <n v="123750.00000000001"/>
    <n v="43312.500000000007"/>
    <n v="0.35000000000000003"/>
    <x v="1"/>
  </r>
  <r>
    <x v="5"/>
    <n v="1185732"/>
    <x v="244"/>
    <x v="2"/>
    <s v="Alaska"/>
    <s v="Anchorage"/>
    <x v="2"/>
    <n v="45"/>
    <n v="225"/>
    <n v="101250"/>
    <n v="25312.5"/>
    <n v="0.25"/>
    <x v="1"/>
  </r>
  <r>
    <x v="5"/>
    <n v="1185732"/>
    <x v="244"/>
    <x v="2"/>
    <s v="Alaska"/>
    <s v="Anchorage"/>
    <x v="3"/>
    <n v="49.999999999999993"/>
    <n v="150"/>
    <n v="74999.999999999985"/>
    <n v="18749.999999999996"/>
    <n v="0.25"/>
    <x v="1"/>
  </r>
  <r>
    <x v="5"/>
    <n v="1185732"/>
    <x v="244"/>
    <x v="2"/>
    <s v="Alaska"/>
    <s v="Anchorage"/>
    <x v="4"/>
    <n v="60.000000000000007"/>
    <n v="150"/>
    <n v="90000.000000000015"/>
    <n v="22500.000000000004"/>
    <n v="0.25"/>
    <x v="1"/>
  </r>
  <r>
    <x v="5"/>
    <n v="1185732"/>
    <x v="244"/>
    <x v="2"/>
    <s v="Alaska"/>
    <s v="Anchorage"/>
    <x v="5"/>
    <n v="50"/>
    <n v="300"/>
    <n v="150000"/>
    <n v="45000"/>
    <n v="0.3"/>
    <x v="1"/>
  </r>
  <r>
    <x v="5"/>
    <n v="1185732"/>
    <x v="273"/>
    <x v="2"/>
    <s v="Alaska"/>
    <s v="Anchorage"/>
    <x v="0"/>
    <n v="65"/>
    <n v="570"/>
    <n v="370500"/>
    <n v="129675.00000000001"/>
    <n v="0.35000000000000003"/>
    <x v="1"/>
  </r>
  <r>
    <x v="5"/>
    <n v="1185732"/>
    <x v="273"/>
    <x v="2"/>
    <s v="Alaska"/>
    <s v="Anchorage"/>
    <x v="1"/>
    <n v="60.000000000000007"/>
    <n v="275"/>
    <n v="165000.00000000003"/>
    <n v="57750.000000000015"/>
    <n v="0.35000000000000003"/>
    <x v="1"/>
  </r>
  <r>
    <x v="5"/>
    <n v="1185732"/>
    <x v="273"/>
    <x v="2"/>
    <s v="Alaska"/>
    <s v="Anchorage"/>
    <x v="2"/>
    <n v="55.000000000000007"/>
    <n v="300"/>
    <n v="165000.00000000003"/>
    <n v="41250.000000000007"/>
    <n v="0.25"/>
    <x v="1"/>
  </r>
  <r>
    <x v="5"/>
    <n v="1185732"/>
    <x v="273"/>
    <x v="2"/>
    <s v="Alaska"/>
    <s v="Anchorage"/>
    <x v="3"/>
    <n v="55.000000000000007"/>
    <n v="250"/>
    <n v="137500.00000000003"/>
    <n v="34375.000000000007"/>
    <n v="0.25"/>
    <x v="1"/>
  </r>
  <r>
    <x v="5"/>
    <n v="1185732"/>
    <x v="273"/>
    <x v="2"/>
    <s v="Alaska"/>
    <s v="Anchorage"/>
    <x v="4"/>
    <n v="65"/>
    <n v="275"/>
    <n v="178750"/>
    <n v="44687.5"/>
    <n v="0.25"/>
    <x v="1"/>
  </r>
  <r>
    <x v="5"/>
    <n v="1185732"/>
    <x v="273"/>
    <x v="2"/>
    <s v="Alaska"/>
    <s v="Anchorage"/>
    <x v="5"/>
    <n v="70"/>
    <n v="400"/>
    <n v="280000"/>
    <n v="84000"/>
    <n v="0.3"/>
    <x v="1"/>
  </r>
  <r>
    <x v="5"/>
    <n v="1185732"/>
    <x v="306"/>
    <x v="2"/>
    <s v="Alaska"/>
    <s v="Anchorage"/>
    <x v="0"/>
    <n v="65"/>
    <n v="650"/>
    <n v="422500"/>
    <n v="147875"/>
    <n v="0.35000000000000003"/>
    <x v="1"/>
  </r>
  <r>
    <x v="5"/>
    <n v="1185732"/>
    <x v="306"/>
    <x v="2"/>
    <s v="Alaska"/>
    <s v="Anchorage"/>
    <x v="1"/>
    <n v="60.000000000000007"/>
    <n v="400"/>
    <n v="240000.00000000003"/>
    <n v="84000.000000000015"/>
    <n v="0.35000000000000003"/>
    <x v="1"/>
  </r>
  <r>
    <x v="5"/>
    <n v="1185732"/>
    <x v="306"/>
    <x v="2"/>
    <s v="Alaska"/>
    <s v="Anchorage"/>
    <x v="2"/>
    <n v="55.000000000000007"/>
    <n v="325"/>
    <n v="178750.00000000003"/>
    <n v="44687.500000000007"/>
    <n v="0.25"/>
    <x v="1"/>
  </r>
  <r>
    <x v="5"/>
    <n v="1185732"/>
    <x v="306"/>
    <x v="2"/>
    <s v="Alaska"/>
    <s v="Anchorage"/>
    <x v="3"/>
    <n v="55.000000000000007"/>
    <n v="300"/>
    <n v="165000.00000000003"/>
    <n v="41250.000000000007"/>
    <n v="0.25"/>
    <x v="1"/>
  </r>
  <r>
    <x v="5"/>
    <n v="1185732"/>
    <x v="306"/>
    <x v="2"/>
    <s v="Alaska"/>
    <s v="Anchorage"/>
    <x v="4"/>
    <n v="65"/>
    <n v="300"/>
    <n v="195000"/>
    <n v="48750"/>
    <n v="0.25"/>
    <x v="1"/>
  </r>
  <r>
    <x v="5"/>
    <n v="1185732"/>
    <x v="306"/>
    <x v="2"/>
    <s v="Alaska"/>
    <s v="Anchorage"/>
    <x v="5"/>
    <n v="70"/>
    <n v="450"/>
    <n v="315000"/>
    <n v="94500"/>
    <n v="0.3"/>
    <x v="1"/>
  </r>
  <r>
    <x v="5"/>
    <n v="1185732"/>
    <x v="334"/>
    <x v="2"/>
    <s v="Alaska"/>
    <s v="Anchorage"/>
    <x v="0"/>
    <n v="65"/>
    <n v="675"/>
    <n v="438750"/>
    <n v="153562.50000000003"/>
    <n v="0.35000000000000003"/>
    <x v="1"/>
  </r>
  <r>
    <x v="5"/>
    <n v="1185732"/>
    <x v="334"/>
    <x v="2"/>
    <s v="Alaska"/>
    <s v="Anchorage"/>
    <x v="1"/>
    <n v="60.000000000000007"/>
    <n v="425"/>
    <n v="255000.00000000003"/>
    <n v="89250.000000000015"/>
    <n v="0.35000000000000003"/>
    <x v="1"/>
  </r>
  <r>
    <x v="5"/>
    <n v="1185732"/>
    <x v="334"/>
    <x v="2"/>
    <s v="Alaska"/>
    <s v="Anchorage"/>
    <x v="2"/>
    <n v="55.000000000000007"/>
    <n v="350"/>
    <n v="192500.00000000003"/>
    <n v="48125.000000000007"/>
    <n v="0.25"/>
    <x v="1"/>
  </r>
  <r>
    <x v="5"/>
    <n v="1185732"/>
    <x v="334"/>
    <x v="2"/>
    <s v="Alaska"/>
    <s v="Anchorage"/>
    <x v="3"/>
    <n v="55.000000000000007"/>
    <n v="300"/>
    <n v="165000.00000000003"/>
    <n v="41250.000000000007"/>
    <n v="0.25"/>
    <x v="1"/>
  </r>
  <r>
    <x v="5"/>
    <n v="1185732"/>
    <x v="334"/>
    <x v="2"/>
    <s v="Alaska"/>
    <s v="Anchorage"/>
    <x v="4"/>
    <n v="65"/>
    <n v="325"/>
    <n v="211250"/>
    <n v="52812.5"/>
    <n v="0.25"/>
    <x v="1"/>
  </r>
  <r>
    <x v="5"/>
    <n v="1185732"/>
    <x v="334"/>
    <x v="2"/>
    <s v="Alaska"/>
    <s v="Anchorage"/>
    <x v="5"/>
    <n v="70"/>
    <n v="500"/>
    <n v="350000"/>
    <n v="105000"/>
    <n v="0.3"/>
    <x v="1"/>
  </r>
  <r>
    <x v="5"/>
    <n v="1185732"/>
    <x v="366"/>
    <x v="2"/>
    <s v="Alaska"/>
    <s v="Anchorage"/>
    <x v="0"/>
    <n v="65"/>
    <n v="650"/>
    <n v="422500"/>
    <n v="147875"/>
    <n v="0.35000000000000003"/>
    <x v="1"/>
  </r>
  <r>
    <x v="5"/>
    <n v="1185732"/>
    <x v="366"/>
    <x v="2"/>
    <s v="Alaska"/>
    <s v="Anchorage"/>
    <x v="1"/>
    <n v="60.000000000000007"/>
    <n v="425"/>
    <n v="255000.00000000003"/>
    <n v="89250.000000000015"/>
    <n v="0.35000000000000003"/>
    <x v="1"/>
  </r>
  <r>
    <x v="5"/>
    <n v="1185732"/>
    <x v="366"/>
    <x v="2"/>
    <s v="Alaska"/>
    <s v="Anchorage"/>
    <x v="2"/>
    <n v="55.000000000000007"/>
    <n v="350"/>
    <n v="192500.00000000003"/>
    <n v="48125.000000000007"/>
    <n v="0.25"/>
    <x v="1"/>
  </r>
  <r>
    <x v="5"/>
    <n v="1185732"/>
    <x v="366"/>
    <x v="2"/>
    <s v="Alaska"/>
    <s v="Anchorage"/>
    <x v="3"/>
    <n v="55.000000000000007"/>
    <n v="250"/>
    <n v="137500.00000000003"/>
    <n v="34375.000000000007"/>
    <n v="0.25"/>
    <x v="1"/>
  </r>
  <r>
    <x v="5"/>
    <n v="1185732"/>
    <x v="366"/>
    <x v="2"/>
    <s v="Alaska"/>
    <s v="Anchorage"/>
    <x v="4"/>
    <n v="65"/>
    <n v="225"/>
    <n v="146250"/>
    <n v="36562.5"/>
    <n v="0.25"/>
    <x v="1"/>
  </r>
  <r>
    <x v="5"/>
    <n v="1185732"/>
    <x v="366"/>
    <x v="2"/>
    <s v="Alaska"/>
    <s v="Anchorage"/>
    <x v="5"/>
    <n v="70"/>
    <n v="400"/>
    <n v="280000"/>
    <n v="84000"/>
    <n v="0.3"/>
    <x v="1"/>
  </r>
  <r>
    <x v="5"/>
    <n v="1185732"/>
    <x v="396"/>
    <x v="2"/>
    <s v="Alaska"/>
    <s v="Anchorage"/>
    <x v="0"/>
    <n v="65"/>
    <n v="525"/>
    <n v="341250"/>
    <n v="119437.50000000001"/>
    <n v="0.35000000000000003"/>
    <x v="1"/>
  </r>
  <r>
    <x v="5"/>
    <n v="1185732"/>
    <x v="396"/>
    <x v="2"/>
    <s v="Alaska"/>
    <s v="Anchorage"/>
    <x v="1"/>
    <n v="60.000000000000007"/>
    <n v="325"/>
    <n v="195000.00000000003"/>
    <n v="68250.000000000015"/>
    <n v="0.35000000000000003"/>
    <x v="1"/>
  </r>
  <r>
    <x v="5"/>
    <n v="1185732"/>
    <x v="396"/>
    <x v="2"/>
    <s v="Alaska"/>
    <s v="Anchorage"/>
    <x v="2"/>
    <n v="55.000000000000007"/>
    <n v="225"/>
    <n v="123750.00000000001"/>
    <n v="30937.500000000004"/>
    <n v="0.25"/>
    <x v="1"/>
  </r>
  <r>
    <x v="5"/>
    <n v="1185732"/>
    <x v="396"/>
    <x v="2"/>
    <s v="Alaska"/>
    <s v="Anchorage"/>
    <x v="3"/>
    <n v="55.000000000000007"/>
    <n v="200"/>
    <n v="110000.00000000001"/>
    <n v="27500.000000000004"/>
    <n v="0.25"/>
    <x v="1"/>
  </r>
  <r>
    <x v="5"/>
    <n v="1185732"/>
    <x v="396"/>
    <x v="2"/>
    <s v="Alaska"/>
    <s v="Anchorage"/>
    <x v="4"/>
    <n v="65"/>
    <n v="200"/>
    <n v="130000"/>
    <n v="32500"/>
    <n v="0.25"/>
    <x v="1"/>
  </r>
  <r>
    <x v="5"/>
    <n v="1185732"/>
    <x v="396"/>
    <x v="2"/>
    <s v="Alaska"/>
    <s v="Anchorage"/>
    <x v="5"/>
    <n v="70"/>
    <n v="300"/>
    <n v="210000"/>
    <n v="63000"/>
    <n v="0.3"/>
    <x v="1"/>
  </r>
  <r>
    <x v="5"/>
    <n v="1185732"/>
    <x v="428"/>
    <x v="2"/>
    <s v="Alaska"/>
    <s v="Anchorage"/>
    <x v="0"/>
    <n v="70"/>
    <n v="450"/>
    <n v="315000"/>
    <n v="110250.00000000001"/>
    <n v="0.35000000000000003"/>
    <x v="1"/>
  </r>
  <r>
    <x v="5"/>
    <n v="1185732"/>
    <x v="428"/>
    <x v="2"/>
    <s v="Alaska"/>
    <s v="Anchorage"/>
    <x v="1"/>
    <n v="65.000000000000014"/>
    <n v="275"/>
    <n v="178750.00000000003"/>
    <n v="62562.500000000015"/>
    <n v="0.35000000000000003"/>
    <x v="1"/>
  </r>
  <r>
    <x v="5"/>
    <n v="1185732"/>
    <x v="428"/>
    <x v="2"/>
    <s v="Alaska"/>
    <s v="Anchorage"/>
    <x v="2"/>
    <n v="65.000000000000014"/>
    <n v="175"/>
    <n v="113750.00000000003"/>
    <n v="28437.500000000007"/>
    <n v="0.25"/>
    <x v="1"/>
  </r>
  <r>
    <x v="5"/>
    <n v="1185732"/>
    <x v="428"/>
    <x v="2"/>
    <s v="Alaska"/>
    <s v="Anchorage"/>
    <x v="3"/>
    <n v="65.000000000000014"/>
    <n v="150"/>
    <n v="97500.000000000015"/>
    <n v="24375.000000000004"/>
    <n v="0.25"/>
    <x v="1"/>
  </r>
  <r>
    <x v="5"/>
    <n v="1185732"/>
    <x v="428"/>
    <x v="2"/>
    <s v="Alaska"/>
    <s v="Anchorage"/>
    <x v="4"/>
    <n v="75.000000000000014"/>
    <n v="150"/>
    <n v="112500.00000000001"/>
    <n v="28125.000000000004"/>
    <n v="0.25"/>
    <x v="1"/>
  </r>
  <r>
    <x v="5"/>
    <n v="1185732"/>
    <x v="428"/>
    <x v="2"/>
    <s v="Alaska"/>
    <s v="Anchorage"/>
    <x v="5"/>
    <n v="80"/>
    <n v="275"/>
    <n v="220000"/>
    <n v="66000"/>
    <n v="0.3"/>
    <x v="1"/>
  </r>
  <r>
    <x v="5"/>
    <n v="1185732"/>
    <x v="458"/>
    <x v="2"/>
    <s v="Alaska"/>
    <s v="Anchorage"/>
    <x v="0"/>
    <n v="75.000000000000014"/>
    <n v="425"/>
    <n v="318750.00000000006"/>
    <n v="111562.50000000003"/>
    <n v="0.35000000000000003"/>
    <x v="1"/>
  </r>
  <r>
    <x v="5"/>
    <n v="1185732"/>
    <x v="458"/>
    <x v="2"/>
    <s v="Alaska"/>
    <s v="Anchorage"/>
    <x v="1"/>
    <n v="65.000000000000014"/>
    <n v="300"/>
    <n v="195000.00000000003"/>
    <n v="68250.000000000015"/>
    <n v="0.35000000000000003"/>
    <x v="1"/>
  </r>
  <r>
    <x v="5"/>
    <n v="1185732"/>
    <x v="458"/>
    <x v="2"/>
    <s v="Alaska"/>
    <s v="Anchorage"/>
    <x v="2"/>
    <n v="65.000000000000014"/>
    <n v="320"/>
    <n v="208000.00000000006"/>
    <n v="52000.000000000015"/>
    <n v="0.25"/>
    <x v="1"/>
  </r>
  <r>
    <x v="5"/>
    <n v="1185732"/>
    <x v="458"/>
    <x v="2"/>
    <s v="Alaska"/>
    <s v="Anchorage"/>
    <x v="3"/>
    <n v="65.000000000000014"/>
    <n v="300"/>
    <n v="195000.00000000003"/>
    <n v="48750.000000000007"/>
    <n v="0.25"/>
    <x v="1"/>
  </r>
  <r>
    <x v="5"/>
    <n v="1185732"/>
    <x v="458"/>
    <x v="2"/>
    <s v="Alaska"/>
    <s v="Anchorage"/>
    <x v="4"/>
    <n v="75.000000000000014"/>
    <n v="275"/>
    <n v="206250.00000000003"/>
    <n v="51562.500000000007"/>
    <n v="0.25"/>
    <x v="1"/>
  </r>
  <r>
    <x v="5"/>
    <n v="1185732"/>
    <x v="458"/>
    <x v="2"/>
    <s v="Alaska"/>
    <s v="Anchorage"/>
    <x v="5"/>
    <n v="80"/>
    <n v="375"/>
    <n v="300000"/>
    <n v="90000"/>
    <n v="0.3"/>
    <x v="1"/>
  </r>
  <r>
    <x v="5"/>
    <n v="1185732"/>
    <x v="487"/>
    <x v="2"/>
    <s v="Alaska"/>
    <s v="Anchorage"/>
    <x v="0"/>
    <n v="75.000000000000014"/>
    <n v="600"/>
    <n v="450000.00000000006"/>
    <n v="157500.00000000003"/>
    <n v="0.35000000000000003"/>
    <x v="1"/>
  </r>
  <r>
    <x v="5"/>
    <n v="1185732"/>
    <x v="487"/>
    <x v="2"/>
    <s v="Alaska"/>
    <s v="Anchorage"/>
    <x v="1"/>
    <n v="65.000000000000014"/>
    <n v="400"/>
    <n v="260000.00000000006"/>
    <n v="91000.000000000029"/>
    <n v="0.35000000000000003"/>
    <x v="1"/>
  </r>
  <r>
    <x v="0"/>
    <n v="1128299"/>
    <x v="174"/>
    <x v="2"/>
    <s v="Alaska"/>
    <s v="Anchorage"/>
    <x v="0"/>
    <n v="35"/>
    <n v="375"/>
    <n v="131250"/>
    <n v="32812.5"/>
    <n v="0.25"/>
    <x v="1"/>
  </r>
  <r>
    <x v="0"/>
    <n v="1128299"/>
    <x v="174"/>
    <x v="2"/>
    <s v="Alaska"/>
    <s v="Anchorage"/>
    <x v="1"/>
    <n v="45"/>
    <n v="375"/>
    <n v="168750"/>
    <n v="33750"/>
    <n v="0.2"/>
    <x v="1"/>
  </r>
  <r>
    <x v="0"/>
    <n v="1128299"/>
    <x v="174"/>
    <x v="2"/>
    <s v="Alaska"/>
    <s v="Anchorage"/>
    <x v="2"/>
    <n v="45"/>
    <n v="375"/>
    <n v="168750"/>
    <n v="42187.5"/>
    <n v="0.25"/>
    <x v="1"/>
  </r>
  <r>
    <x v="0"/>
    <n v="1128299"/>
    <x v="174"/>
    <x v="2"/>
    <s v="Alaska"/>
    <s v="Anchorage"/>
    <x v="3"/>
    <n v="45"/>
    <n v="225"/>
    <n v="101250"/>
    <n v="25312.5"/>
    <n v="0.25"/>
    <x v="1"/>
  </r>
  <r>
    <x v="0"/>
    <n v="1128299"/>
    <x v="174"/>
    <x v="2"/>
    <s v="Alaska"/>
    <s v="Anchorage"/>
    <x v="4"/>
    <n v="50"/>
    <n v="175"/>
    <n v="87500"/>
    <n v="13125"/>
    <n v="0.15"/>
    <x v="1"/>
  </r>
  <r>
    <x v="0"/>
    <n v="1128299"/>
    <x v="174"/>
    <x v="2"/>
    <s v="Alaska"/>
    <s v="Anchorage"/>
    <x v="5"/>
    <n v="45"/>
    <n v="425"/>
    <n v="191250"/>
    <n v="76500"/>
    <n v="0.4"/>
    <x v="1"/>
  </r>
  <r>
    <x v="0"/>
    <n v="1128299"/>
    <x v="205"/>
    <x v="2"/>
    <s v="Alaska"/>
    <s v="Anchorage"/>
    <x v="0"/>
    <n v="35"/>
    <n v="475"/>
    <n v="166250"/>
    <n v="41562.5"/>
    <n v="0.25"/>
    <x v="1"/>
  </r>
  <r>
    <x v="0"/>
    <n v="1128299"/>
    <x v="205"/>
    <x v="2"/>
    <s v="Alaska"/>
    <s v="Anchorage"/>
    <x v="1"/>
    <n v="45"/>
    <n v="375"/>
    <n v="168750"/>
    <n v="33750"/>
    <n v="0.2"/>
    <x v="1"/>
  </r>
  <r>
    <x v="0"/>
    <n v="1128299"/>
    <x v="205"/>
    <x v="2"/>
    <s v="Alaska"/>
    <s v="Anchorage"/>
    <x v="2"/>
    <n v="45"/>
    <n v="375"/>
    <n v="168750"/>
    <n v="42187.5"/>
    <n v="0.25"/>
    <x v="1"/>
  </r>
  <r>
    <x v="0"/>
    <n v="1128299"/>
    <x v="205"/>
    <x v="2"/>
    <s v="Hawaii"/>
    <s v="Honolulu"/>
    <x v="3"/>
    <n v="45"/>
    <n v="225"/>
    <n v="101250"/>
    <n v="25312.5"/>
    <n v="0.25"/>
    <x v="1"/>
  </r>
  <r>
    <x v="0"/>
    <n v="1128299"/>
    <x v="205"/>
    <x v="2"/>
    <s v="Hawaii"/>
    <s v="Honolulu"/>
    <x v="4"/>
    <n v="50"/>
    <n v="150"/>
    <n v="75000"/>
    <n v="11250"/>
    <n v="0.15"/>
    <x v="1"/>
  </r>
  <r>
    <x v="0"/>
    <n v="1128299"/>
    <x v="205"/>
    <x v="2"/>
    <s v="Hawaii"/>
    <s v="Honolulu"/>
    <x v="5"/>
    <n v="45"/>
    <n v="350"/>
    <n v="157500"/>
    <n v="63000"/>
    <n v="0.4"/>
    <x v="1"/>
  </r>
  <r>
    <x v="0"/>
    <n v="1128299"/>
    <x v="214"/>
    <x v="2"/>
    <s v="Hawaii"/>
    <s v="Honolulu"/>
    <x v="0"/>
    <n v="45"/>
    <n v="500"/>
    <n v="225000"/>
    <n v="56250"/>
    <n v="0.25"/>
    <x v="1"/>
  </r>
  <r>
    <x v="0"/>
    <n v="1128299"/>
    <x v="214"/>
    <x v="2"/>
    <s v="Hawaii"/>
    <s v="Honolulu"/>
    <x v="1"/>
    <n v="54.999999999999993"/>
    <n v="350"/>
    <n v="192499.99999999997"/>
    <n v="38499.999999999993"/>
    <n v="0.2"/>
    <x v="1"/>
  </r>
  <r>
    <x v="0"/>
    <n v="1128299"/>
    <x v="214"/>
    <x v="2"/>
    <s v="Hawaii"/>
    <s v="Honolulu"/>
    <x v="2"/>
    <n v="59.999999999999986"/>
    <n v="375"/>
    <n v="224999.99999999994"/>
    <n v="56249.999999999985"/>
    <n v="0.25"/>
    <x v="1"/>
  </r>
  <r>
    <x v="0"/>
    <n v="1128299"/>
    <x v="214"/>
    <x v="2"/>
    <s v="Hawaii"/>
    <s v="Honolulu"/>
    <x v="3"/>
    <n v="54.999999999999993"/>
    <n v="275"/>
    <n v="151249.99999999997"/>
    <n v="37812.499999999993"/>
    <n v="0.25"/>
    <x v="1"/>
  </r>
  <r>
    <x v="0"/>
    <n v="1128299"/>
    <x v="214"/>
    <x v="2"/>
    <s v="Hawaii"/>
    <s v="Honolulu"/>
    <x v="4"/>
    <n v="60"/>
    <n v="125"/>
    <n v="75000"/>
    <n v="11250"/>
    <n v="0.15"/>
    <x v="1"/>
  </r>
  <r>
    <x v="0"/>
    <n v="1128299"/>
    <x v="214"/>
    <x v="2"/>
    <s v="Hawaii"/>
    <s v="Honolulu"/>
    <x v="5"/>
    <n v="54.999999999999993"/>
    <n v="325"/>
    <n v="178749.99999999997"/>
    <n v="71499.999999999985"/>
    <n v="0.4"/>
    <x v="1"/>
  </r>
  <r>
    <x v="0"/>
    <n v="1128299"/>
    <x v="233"/>
    <x v="2"/>
    <s v="Hawaii"/>
    <s v="Honolulu"/>
    <x v="0"/>
    <n v="60"/>
    <n v="500"/>
    <n v="300000"/>
    <n v="75000"/>
    <n v="0.25"/>
    <x v="1"/>
  </r>
  <r>
    <x v="0"/>
    <n v="1128299"/>
    <x v="233"/>
    <x v="2"/>
    <s v="Hawaii"/>
    <s v="Honolulu"/>
    <x v="1"/>
    <n v="65"/>
    <n v="300"/>
    <n v="195000"/>
    <n v="39000"/>
    <n v="0.2"/>
    <x v="1"/>
  </r>
  <r>
    <x v="0"/>
    <n v="1128299"/>
    <x v="233"/>
    <x v="2"/>
    <s v="Hawaii"/>
    <s v="Honolulu"/>
    <x v="2"/>
    <n v="65"/>
    <n v="350"/>
    <n v="227500"/>
    <n v="56875"/>
    <n v="0.25"/>
    <x v="1"/>
  </r>
  <r>
    <x v="0"/>
    <n v="1128299"/>
    <x v="233"/>
    <x v="2"/>
    <s v="Hawaii"/>
    <s v="Honolulu"/>
    <x v="3"/>
    <n v="50"/>
    <n v="250"/>
    <n v="125000"/>
    <n v="31250"/>
    <n v="0.25"/>
    <x v="1"/>
  </r>
  <r>
    <x v="0"/>
    <n v="1128299"/>
    <x v="233"/>
    <x v="2"/>
    <s v="Hawaii"/>
    <s v="Honolulu"/>
    <x v="4"/>
    <n v="55.000000000000007"/>
    <n v="150"/>
    <n v="82500.000000000015"/>
    <n v="12375.000000000002"/>
    <n v="0.15"/>
    <x v="1"/>
  </r>
  <r>
    <x v="0"/>
    <n v="1128299"/>
    <x v="233"/>
    <x v="2"/>
    <s v="Hawaii"/>
    <s v="Honolulu"/>
    <x v="5"/>
    <n v="70"/>
    <n v="325"/>
    <n v="227500"/>
    <n v="91000"/>
    <n v="0.4"/>
    <x v="1"/>
  </r>
  <r>
    <x v="0"/>
    <n v="1128299"/>
    <x v="264"/>
    <x v="2"/>
    <s v="Hawaii"/>
    <s v="Honolulu"/>
    <x v="0"/>
    <n v="54.999999999999993"/>
    <n v="525"/>
    <n v="288749.99999999994"/>
    <n v="72187.499999999985"/>
    <n v="0.25"/>
    <x v="1"/>
  </r>
  <r>
    <x v="0"/>
    <n v="1128299"/>
    <x v="264"/>
    <x v="2"/>
    <s v="Hawaii"/>
    <s v="Honolulu"/>
    <x v="1"/>
    <n v="60"/>
    <n v="375"/>
    <n v="225000"/>
    <n v="45000"/>
    <n v="0.2"/>
    <x v="1"/>
  </r>
  <r>
    <x v="0"/>
    <n v="1128299"/>
    <x v="264"/>
    <x v="2"/>
    <s v="Hawaii"/>
    <s v="Honolulu"/>
    <x v="2"/>
    <n v="60"/>
    <n v="375"/>
    <n v="225000"/>
    <n v="56250"/>
    <n v="0.25"/>
    <x v="1"/>
  </r>
  <r>
    <x v="0"/>
    <n v="1128299"/>
    <x v="264"/>
    <x v="2"/>
    <s v="Hawaii"/>
    <s v="Honolulu"/>
    <x v="3"/>
    <n v="54.999999999999993"/>
    <n v="275"/>
    <n v="151249.99999999997"/>
    <n v="37812.499999999993"/>
    <n v="0.25"/>
    <x v="1"/>
  </r>
  <r>
    <x v="0"/>
    <n v="1128299"/>
    <x v="264"/>
    <x v="2"/>
    <s v="Hawaii"/>
    <s v="Honolulu"/>
    <x v="4"/>
    <n v="60"/>
    <n v="175"/>
    <n v="105000"/>
    <n v="15750"/>
    <n v="0.15"/>
    <x v="1"/>
  </r>
  <r>
    <x v="0"/>
    <n v="1128299"/>
    <x v="264"/>
    <x v="2"/>
    <s v="Hawaii"/>
    <s v="Honolulu"/>
    <x v="5"/>
    <n v="75"/>
    <n v="475"/>
    <n v="356250"/>
    <n v="142500"/>
    <n v="0.4"/>
    <x v="1"/>
  </r>
  <r>
    <x v="0"/>
    <n v="1128299"/>
    <x v="294"/>
    <x v="2"/>
    <s v="Hawaii"/>
    <s v="Honolulu"/>
    <x v="0"/>
    <n v="70"/>
    <n v="725"/>
    <n v="507500"/>
    <n v="126875"/>
    <n v="0.25"/>
    <x v="1"/>
  </r>
  <r>
    <x v="0"/>
    <n v="1128299"/>
    <x v="294"/>
    <x v="2"/>
    <s v="Hawaii"/>
    <s v="Honolulu"/>
    <x v="1"/>
    <n v="75"/>
    <n v="600"/>
    <n v="450000"/>
    <n v="90000"/>
    <n v="0.2"/>
    <x v="1"/>
  </r>
  <r>
    <x v="0"/>
    <n v="1128299"/>
    <x v="294"/>
    <x v="2"/>
    <s v="Hawaii"/>
    <s v="Honolulu"/>
    <x v="2"/>
    <n v="75"/>
    <n v="600"/>
    <n v="450000"/>
    <n v="112500"/>
    <n v="0.25"/>
    <x v="1"/>
  </r>
  <r>
    <x v="0"/>
    <n v="1128299"/>
    <x v="294"/>
    <x v="2"/>
    <s v="Hawaii"/>
    <s v="Honolulu"/>
    <x v="3"/>
    <n v="75"/>
    <n v="475"/>
    <n v="356250"/>
    <n v="89062.5"/>
    <n v="0.25"/>
    <x v="1"/>
  </r>
  <r>
    <x v="0"/>
    <n v="1128299"/>
    <x v="294"/>
    <x v="2"/>
    <s v="Hawaii"/>
    <s v="Honolulu"/>
    <x v="4"/>
    <n v="85.000000000000014"/>
    <n v="350"/>
    <n v="297500.00000000006"/>
    <n v="44625.000000000007"/>
    <n v="0.15"/>
    <x v="1"/>
  </r>
  <r>
    <x v="0"/>
    <n v="1128299"/>
    <x v="294"/>
    <x v="2"/>
    <s v="Hawaii"/>
    <s v="Honolulu"/>
    <x v="5"/>
    <n v="100"/>
    <n v="650"/>
    <n v="650000"/>
    <n v="260000"/>
    <n v="0.4"/>
    <x v="1"/>
  </r>
  <r>
    <x v="0"/>
    <n v="1128299"/>
    <x v="323"/>
    <x v="2"/>
    <s v="Hawaii"/>
    <s v="Honolulu"/>
    <x v="0"/>
    <n v="80"/>
    <n v="800"/>
    <n v="640000"/>
    <n v="160000"/>
    <n v="0.25"/>
    <x v="1"/>
  </r>
  <r>
    <x v="0"/>
    <n v="1128299"/>
    <x v="323"/>
    <x v="2"/>
    <s v="Hawaii"/>
    <s v="Honolulu"/>
    <x v="1"/>
    <n v="85.000000000000014"/>
    <n v="650"/>
    <n v="552500.00000000012"/>
    <n v="110500.00000000003"/>
    <n v="0.2"/>
    <x v="1"/>
  </r>
  <r>
    <x v="0"/>
    <n v="1128299"/>
    <x v="323"/>
    <x v="2"/>
    <s v="Hawaii"/>
    <s v="Honolulu"/>
    <x v="2"/>
    <n v="85.000000000000014"/>
    <n v="600"/>
    <n v="510000.00000000006"/>
    <n v="127500.00000000001"/>
    <n v="0.25"/>
    <x v="1"/>
  </r>
  <r>
    <x v="0"/>
    <n v="1128299"/>
    <x v="323"/>
    <x v="2"/>
    <s v="Hawaii"/>
    <s v="Honolulu"/>
    <x v="3"/>
    <n v="80"/>
    <n v="500"/>
    <n v="400000"/>
    <n v="100000"/>
    <n v="0.25"/>
    <x v="1"/>
  </r>
  <r>
    <x v="0"/>
    <n v="1128299"/>
    <x v="323"/>
    <x v="2"/>
    <s v="Hawaii"/>
    <s v="Honolulu"/>
    <x v="4"/>
    <n v="85.000000000000014"/>
    <n v="550"/>
    <n v="467500.00000000006"/>
    <n v="70125"/>
    <n v="0.15"/>
    <x v="1"/>
  </r>
  <r>
    <x v="0"/>
    <n v="1128299"/>
    <x v="323"/>
    <x v="2"/>
    <s v="Hawaii"/>
    <s v="Honolulu"/>
    <x v="5"/>
    <n v="100"/>
    <n v="550"/>
    <n v="550000"/>
    <n v="220000"/>
    <n v="0.4"/>
    <x v="1"/>
  </r>
  <r>
    <x v="0"/>
    <n v="1128299"/>
    <x v="355"/>
    <x v="2"/>
    <s v="Hawaii"/>
    <s v="Honolulu"/>
    <x v="0"/>
    <n v="85.000000000000014"/>
    <n v="750"/>
    <n v="637500.00000000012"/>
    <n v="159375.00000000003"/>
    <n v="0.25"/>
    <x v="1"/>
  </r>
  <r>
    <x v="0"/>
    <n v="1128299"/>
    <x v="355"/>
    <x v="2"/>
    <s v="Hawaii"/>
    <s v="Honolulu"/>
    <x v="1"/>
    <n v="75.000000000000014"/>
    <n v="725"/>
    <n v="543750.00000000012"/>
    <n v="108750.00000000003"/>
    <n v="0.2"/>
    <x v="1"/>
  </r>
  <r>
    <x v="0"/>
    <n v="1128299"/>
    <x v="355"/>
    <x v="2"/>
    <s v="Hawaii"/>
    <s v="Honolulu"/>
    <x v="2"/>
    <n v="70"/>
    <n v="600"/>
    <n v="420000"/>
    <n v="105000"/>
    <n v="0.25"/>
    <x v="1"/>
  </r>
  <r>
    <x v="0"/>
    <n v="1128299"/>
    <x v="355"/>
    <x v="2"/>
    <s v="Hawaii"/>
    <s v="Honolulu"/>
    <x v="3"/>
    <n v="70"/>
    <n v="525"/>
    <n v="367500"/>
    <n v="91875"/>
    <n v="0.25"/>
    <x v="1"/>
  </r>
  <r>
    <x v="1"/>
    <n v="1128299"/>
    <x v="355"/>
    <x v="2"/>
    <s v="Hawaii"/>
    <s v="Honolulu"/>
    <x v="4"/>
    <n v="70"/>
    <n v="525"/>
    <n v="367500"/>
    <n v="55125"/>
    <n v="0.15"/>
    <x v="1"/>
  </r>
  <r>
    <x v="1"/>
    <n v="1128299"/>
    <x v="355"/>
    <x v="2"/>
    <s v="Hawaii"/>
    <s v="Honolulu"/>
    <x v="5"/>
    <n v="75"/>
    <n v="350"/>
    <n v="262500"/>
    <n v="105000"/>
    <n v="0.4"/>
    <x v="1"/>
  </r>
  <r>
    <x v="1"/>
    <n v="1128299"/>
    <x v="387"/>
    <x v="2"/>
    <s v="Hawaii"/>
    <s v="Honolulu"/>
    <x v="0"/>
    <n v="65.000000000000014"/>
    <n v="550"/>
    <n v="357500.00000000006"/>
    <n v="89375.000000000015"/>
    <n v="0.25"/>
    <x v="1"/>
  </r>
  <r>
    <x v="1"/>
    <n v="1128299"/>
    <x v="387"/>
    <x v="2"/>
    <s v="Hawaii"/>
    <s v="Honolulu"/>
    <x v="1"/>
    <n v="70.000000000000014"/>
    <n v="550"/>
    <n v="385000.00000000006"/>
    <n v="77000.000000000015"/>
    <n v="0.2"/>
    <x v="1"/>
  </r>
  <r>
    <x v="1"/>
    <n v="1128299"/>
    <x v="387"/>
    <x v="2"/>
    <s v="Hawaii"/>
    <s v="Honolulu"/>
    <x v="2"/>
    <n v="65.000000000000014"/>
    <n v="375"/>
    <n v="243750.00000000006"/>
    <n v="60937.500000000015"/>
    <n v="0.25"/>
    <x v="1"/>
  </r>
  <r>
    <x v="1"/>
    <n v="1128299"/>
    <x v="387"/>
    <x v="2"/>
    <s v="Hawaii"/>
    <s v="Honolulu"/>
    <x v="3"/>
    <n v="65.000000000000014"/>
    <n v="325"/>
    <n v="211250.00000000006"/>
    <n v="52812.500000000015"/>
    <n v="0.25"/>
    <x v="1"/>
  </r>
  <r>
    <x v="1"/>
    <n v="1128299"/>
    <x v="387"/>
    <x v="2"/>
    <s v="Hawaii"/>
    <s v="Honolulu"/>
    <x v="4"/>
    <n v="75.000000000000014"/>
    <n v="350"/>
    <n v="262500.00000000006"/>
    <n v="39375.000000000007"/>
    <n v="0.15"/>
    <x v="1"/>
  </r>
  <r>
    <x v="1"/>
    <n v="1128299"/>
    <x v="387"/>
    <x v="2"/>
    <s v="Hawaii"/>
    <s v="Honolulu"/>
    <x v="5"/>
    <n v="60"/>
    <n v="375"/>
    <n v="225000"/>
    <n v="90000"/>
    <n v="0.4"/>
    <x v="1"/>
  </r>
  <r>
    <x v="1"/>
    <n v="1128299"/>
    <x v="416"/>
    <x v="2"/>
    <s v="Hawaii"/>
    <s v="Honolulu"/>
    <x v="0"/>
    <n v="55.000000000000007"/>
    <n v="475"/>
    <n v="261250.00000000003"/>
    <n v="65312.500000000007"/>
    <n v="0.25"/>
    <x v="1"/>
  </r>
  <r>
    <x v="1"/>
    <n v="1128299"/>
    <x v="416"/>
    <x v="2"/>
    <s v="Hawaii"/>
    <s v="Honolulu"/>
    <x v="1"/>
    <n v="65.000000000000014"/>
    <n v="475"/>
    <n v="308750.00000000006"/>
    <n v="61750.000000000015"/>
    <n v="0.2"/>
    <x v="1"/>
  </r>
  <r>
    <x v="1"/>
    <n v="1128299"/>
    <x v="416"/>
    <x v="2"/>
    <s v="Hawaii"/>
    <s v="Honolulu"/>
    <x v="2"/>
    <n v="60.000000000000007"/>
    <n v="300"/>
    <n v="180000.00000000003"/>
    <n v="45000.000000000007"/>
    <n v="0.25"/>
    <x v="1"/>
  </r>
  <r>
    <x v="1"/>
    <n v="1128299"/>
    <x v="416"/>
    <x v="2"/>
    <s v="Hawaii"/>
    <s v="Honolulu"/>
    <x v="3"/>
    <n v="55.000000000000007"/>
    <n v="275"/>
    <n v="151250.00000000003"/>
    <n v="37812.500000000007"/>
    <n v="0.25"/>
    <x v="1"/>
  </r>
  <r>
    <x v="1"/>
    <n v="1128299"/>
    <x v="416"/>
    <x v="2"/>
    <s v="Hawaii"/>
    <s v="Honolulu"/>
    <x v="4"/>
    <n v="65"/>
    <n v="250"/>
    <n v="162500"/>
    <n v="24375"/>
    <n v="0.15"/>
    <x v="1"/>
  </r>
  <r>
    <x v="1"/>
    <n v="1128299"/>
    <x v="416"/>
    <x v="2"/>
    <s v="Hawaii"/>
    <s v="Honolulu"/>
    <x v="5"/>
    <n v="70"/>
    <n v="300"/>
    <n v="210000"/>
    <n v="84000"/>
    <n v="0.4"/>
    <x v="1"/>
  </r>
  <r>
    <x v="1"/>
    <n v="1128299"/>
    <x v="447"/>
    <x v="2"/>
    <s v="Hawaii"/>
    <s v="Honolulu"/>
    <x v="0"/>
    <n v="55.000000000000007"/>
    <n v="525"/>
    <n v="288750.00000000006"/>
    <n v="72187.500000000015"/>
    <n v="0.25"/>
    <x v="1"/>
  </r>
  <r>
    <x v="1"/>
    <n v="1128299"/>
    <x v="447"/>
    <x v="2"/>
    <s v="Hawaii"/>
    <s v="Honolulu"/>
    <x v="1"/>
    <n v="60.000000000000007"/>
    <n v="600"/>
    <n v="360000.00000000006"/>
    <n v="72000.000000000015"/>
    <n v="0.2"/>
    <x v="1"/>
  </r>
  <r>
    <x v="1"/>
    <n v="1128299"/>
    <x v="447"/>
    <x v="2"/>
    <s v="Hawaii"/>
    <s v="Honolulu"/>
    <x v="2"/>
    <n v="55.000000000000007"/>
    <n v="425"/>
    <n v="233750.00000000003"/>
    <n v="58437.500000000007"/>
    <n v="0.25"/>
    <x v="1"/>
  </r>
  <r>
    <x v="1"/>
    <n v="1128299"/>
    <x v="447"/>
    <x v="2"/>
    <s v="Hawaii"/>
    <s v="Honolulu"/>
    <x v="3"/>
    <n v="65.000000000000014"/>
    <n v="400"/>
    <n v="260000.00000000006"/>
    <n v="65000.000000000015"/>
    <n v="0.25"/>
    <x v="1"/>
  </r>
  <r>
    <x v="1"/>
    <n v="1128299"/>
    <x v="447"/>
    <x v="2"/>
    <s v="Hawaii"/>
    <s v="Honolulu"/>
    <x v="4"/>
    <n v="85.000000000000014"/>
    <n v="375"/>
    <n v="318750.00000000006"/>
    <n v="47812.500000000007"/>
    <n v="0.15"/>
    <x v="1"/>
  </r>
  <r>
    <x v="1"/>
    <n v="1128299"/>
    <x v="447"/>
    <x v="2"/>
    <s v="Hawaii"/>
    <s v="Honolulu"/>
    <x v="5"/>
    <n v="90.000000000000014"/>
    <n v="500"/>
    <n v="450000.00000000006"/>
    <n v="180000.00000000003"/>
    <n v="0.4"/>
    <x v="1"/>
  </r>
  <r>
    <x v="1"/>
    <n v="1128299"/>
    <x v="476"/>
    <x v="2"/>
    <s v="Hawaii"/>
    <s v="Honolulu"/>
    <x v="0"/>
    <n v="75.000000000000014"/>
    <n v="700"/>
    <n v="525000.00000000012"/>
    <n v="131250.00000000003"/>
    <n v="0.25"/>
    <x v="1"/>
  </r>
  <r>
    <x v="1"/>
    <n v="1128299"/>
    <x v="476"/>
    <x v="2"/>
    <s v="Hawaii"/>
    <s v="Honolulu"/>
    <x v="1"/>
    <n v="85.000000000000014"/>
    <n v="700"/>
    <n v="595000.00000000012"/>
    <n v="119000.00000000003"/>
    <n v="0.2"/>
    <x v="1"/>
  </r>
  <r>
    <x v="2"/>
    <n v="1128299"/>
    <x v="476"/>
    <x v="2"/>
    <s v="Hawaii"/>
    <s v="Honolulu"/>
    <x v="2"/>
    <n v="80.000000000000014"/>
    <n v="500"/>
    <n v="400000.00000000006"/>
    <n v="100000.00000000001"/>
    <n v="0.25"/>
    <x v="1"/>
  </r>
  <r>
    <x v="2"/>
    <n v="1128299"/>
    <x v="476"/>
    <x v="2"/>
    <s v="Hawaii"/>
    <s v="Honolulu"/>
    <x v="3"/>
    <n v="80.000000000000014"/>
    <n v="500"/>
    <n v="400000.00000000006"/>
    <n v="100000.00000000001"/>
    <n v="0.25"/>
    <x v="1"/>
  </r>
  <r>
    <x v="2"/>
    <n v="1128299"/>
    <x v="476"/>
    <x v="2"/>
    <s v="Hawaii"/>
    <s v="Honolulu"/>
    <x v="4"/>
    <n v="90.000000000000014"/>
    <n v="425"/>
    <n v="382500.00000000006"/>
    <n v="57375.000000000007"/>
    <n v="0.15"/>
    <x v="1"/>
  </r>
  <r>
    <x v="2"/>
    <n v="1128299"/>
    <x v="476"/>
    <x v="2"/>
    <s v="Hawaii"/>
    <s v="Honolulu"/>
    <x v="5"/>
    <n v="95.000000000000014"/>
    <n v="525"/>
    <n v="498750.00000000006"/>
    <n v="199500.00000000003"/>
    <n v="0.4"/>
    <x v="1"/>
  </r>
  <r>
    <x v="2"/>
    <n v="1128299"/>
    <x v="181"/>
    <x v="2"/>
    <s v="Hawaii"/>
    <s v="Honolulu"/>
    <x v="0"/>
    <n v="40"/>
    <n v="425"/>
    <n v="170000"/>
    <n v="51000"/>
    <n v="0.3"/>
    <x v="1"/>
  </r>
  <r>
    <x v="2"/>
    <n v="1128299"/>
    <x v="181"/>
    <x v="2"/>
    <s v="Hawaii"/>
    <s v="Honolulu"/>
    <x v="1"/>
    <n v="50"/>
    <n v="425"/>
    <n v="212500"/>
    <n v="53125"/>
    <n v="0.25"/>
    <x v="1"/>
  </r>
  <r>
    <x v="2"/>
    <n v="1128299"/>
    <x v="181"/>
    <x v="2"/>
    <s v="Hawaii"/>
    <s v="Honolulu"/>
    <x v="2"/>
    <n v="50"/>
    <n v="425"/>
    <n v="212500"/>
    <n v="63750"/>
    <n v="0.3"/>
    <x v="1"/>
  </r>
  <r>
    <x v="2"/>
    <n v="1128299"/>
    <x v="181"/>
    <x v="2"/>
    <s v="Hawaii"/>
    <s v="Honolulu"/>
    <x v="3"/>
    <n v="50"/>
    <n v="275"/>
    <n v="137500"/>
    <n v="41250"/>
    <n v="0.3"/>
    <x v="1"/>
  </r>
  <r>
    <x v="2"/>
    <n v="1128299"/>
    <x v="181"/>
    <x v="2"/>
    <s v="Hawaii"/>
    <s v="Honolulu"/>
    <x v="4"/>
    <n v="55.000000000000007"/>
    <n v="225"/>
    <n v="123750.00000000001"/>
    <n v="24750.000000000004"/>
    <n v="0.2"/>
    <x v="1"/>
  </r>
  <r>
    <x v="2"/>
    <n v="1128299"/>
    <x v="181"/>
    <x v="2"/>
    <s v="Hawaii"/>
    <s v="Honolulu"/>
    <x v="5"/>
    <n v="50"/>
    <n v="475"/>
    <n v="237500"/>
    <n v="106875"/>
    <n v="0.45"/>
    <x v="1"/>
  </r>
  <r>
    <x v="2"/>
    <n v="1128299"/>
    <x v="212"/>
    <x v="2"/>
    <s v="Hawaii"/>
    <s v="Honolulu"/>
    <x v="0"/>
    <n v="40"/>
    <n v="525"/>
    <n v="210000"/>
    <n v="63000"/>
    <n v="0.3"/>
    <x v="1"/>
  </r>
  <r>
    <x v="2"/>
    <n v="1128299"/>
    <x v="212"/>
    <x v="2"/>
    <s v="Hawaii"/>
    <s v="Honolulu"/>
    <x v="1"/>
    <n v="50"/>
    <n v="425"/>
    <n v="212500"/>
    <n v="53125"/>
    <n v="0.25"/>
    <x v="1"/>
  </r>
  <r>
    <x v="2"/>
    <n v="1128299"/>
    <x v="212"/>
    <x v="2"/>
    <s v="Hawaii"/>
    <s v="Honolulu"/>
    <x v="2"/>
    <n v="50"/>
    <n v="425"/>
    <n v="212500"/>
    <n v="63750"/>
    <n v="0.3"/>
    <x v="1"/>
  </r>
  <r>
    <x v="2"/>
    <n v="1128299"/>
    <x v="212"/>
    <x v="4"/>
    <s v="Florida"/>
    <s v="Orlando"/>
    <x v="3"/>
    <n v="50"/>
    <n v="275"/>
    <n v="137500"/>
    <n v="41250"/>
    <n v="0.3"/>
    <x v="1"/>
  </r>
  <r>
    <x v="2"/>
    <n v="1128299"/>
    <x v="212"/>
    <x v="4"/>
    <s v="Florida"/>
    <s v="Orlando"/>
    <x v="4"/>
    <n v="55.000000000000007"/>
    <n v="200"/>
    <n v="110000.00000000001"/>
    <n v="22000.000000000004"/>
    <n v="0.2"/>
    <x v="1"/>
  </r>
  <r>
    <x v="2"/>
    <n v="1128299"/>
    <x v="212"/>
    <x v="4"/>
    <s v="Florida"/>
    <s v="Orlando"/>
    <x v="5"/>
    <n v="50"/>
    <n v="400"/>
    <n v="200000"/>
    <n v="90000"/>
    <n v="0.45"/>
    <x v="1"/>
  </r>
  <r>
    <x v="2"/>
    <n v="1128299"/>
    <x v="221"/>
    <x v="4"/>
    <s v="Florida"/>
    <s v="Orlando"/>
    <x v="0"/>
    <n v="50"/>
    <n v="550"/>
    <n v="275000"/>
    <n v="82500"/>
    <n v="0.3"/>
    <x v="1"/>
  </r>
  <r>
    <x v="2"/>
    <n v="1128299"/>
    <x v="221"/>
    <x v="4"/>
    <s v="Florida"/>
    <s v="Orlando"/>
    <x v="1"/>
    <n v="60"/>
    <n v="400"/>
    <n v="240000"/>
    <n v="60000"/>
    <n v="0.25"/>
    <x v="1"/>
  </r>
  <r>
    <x v="2"/>
    <n v="1128299"/>
    <x v="221"/>
    <x v="4"/>
    <s v="Florida"/>
    <s v="Orlando"/>
    <x v="2"/>
    <n v="64.999999999999986"/>
    <n v="425"/>
    <n v="276249.99999999994"/>
    <n v="82874.999999999985"/>
    <n v="0.3"/>
    <x v="1"/>
  </r>
  <r>
    <x v="2"/>
    <n v="1128299"/>
    <x v="221"/>
    <x v="4"/>
    <s v="Florida"/>
    <s v="Orlando"/>
    <x v="3"/>
    <n v="60"/>
    <n v="325"/>
    <n v="195000"/>
    <n v="58500"/>
    <n v="0.3"/>
    <x v="1"/>
  </r>
  <r>
    <x v="2"/>
    <n v="1128299"/>
    <x v="221"/>
    <x v="4"/>
    <s v="Florida"/>
    <s v="Orlando"/>
    <x v="4"/>
    <n v="65"/>
    <n v="175"/>
    <n v="113750"/>
    <n v="22750"/>
    <n v="0.2"/>
    <x v="1"/>
  </r>
  <r>
    <x v="2"/>
    <n v="1128299"/>
    <x v="221"/>
    <x v="4"/>
    <s v="Florida"/>
    <s v="Orlando"/>
    <x v="5"/>
    <n v="60"/>
    <n v="375"/>
    <n v="225000"/>
    <n v="101250"/>
    <n v="0.45"/>
    <x v="1"/>
  </r>
  <r>
    <x v="1"/>
    <n v="1128299"/>
    <x v="240"/>
    <x v="4"/>
    <s v="Florida"/>
    <s v="Orlando"/>
    <x v="0"/>
    <n v="65"/>
    <n v="550"/>
    <n v="357500"/>
    <n v="107250"/>
    <n v="0.3"/>
    <x v="1"/>
  </r>
  <r>
    <x v="1"/>
    <n v="1128299"/>
    <x v="240"/>
    <x v="4"/>
    <s v="Florida"/>
    <s v="Orlando"/>
    <x v="1"/>
    <n v="70"/>
    <n v="350"/>
    <n v="245000"/>
    <n v="61250"/>
    <n v="0.25"/>
    <x v="1"/>
  </r>
  <r>
    <x v="1"/>
    <n v="1128299"/>
    <x v="240"/>
    <x v="4"/>
    <s v="Florida"/>
    <s v="Orlando"/>
    <x v="2"/>
    <n v="70"/>
    <n v="400"/>
    <n v="280000"/>
    <n v="84000"/>
    <n v="0.3"/>
    <x v="1"/>
  </r>
  <r>
    <x v="1"/>
    <n v="1128299"/>
    <x v="240"/>
    <x v="4"/>
    <s v="Florida"/>
    <s v="Orlando"/>
    <x v="3"/>
    <n v="55.000000000000007"/>
    <n v="300"/>
    <n v="165000.00000000003"/>
    <n v="49500.000000000007"/>
    <n v="0.3"/>
    <x v="1"/>
  </r>
  <r>
    <x v="1"/>
    <n v="1128299"/>
    <x v="240"/>
    <x v="4"/>
    <s v="Florida"/>
    <s v="Orlando"/>
    <x v="4"/>
    <n v="60.000000000000007"/>
    <n v="200"/>
    <n v="120000.00000000001"/>
    <n v="24000.000000000004"/>
    <n v="0.2"/>
    <x v="1"/>
  </r>
  <r>
    <x v="1"/>
    <n v="1128299"/>
    <x v="240"/>
    <x v="4"/>
    <s v="Florida"/>
    <s v="Orlando"/>
    <x v="5"/>
    <n v="75.000000000000014"/>
    <n v="375"/>
    <n v="281250.00000000006"/>
    <n v="126562.50000000003"/>
    <n v="0.45"/>
    <x v="1"/>
  </r>
  <r>
    <x v="1"/>
    <n v="1128299"/>
    <x v="271"/>
    <x v="4"/>
    <s v="Florida"/>
    <s v="Orlando"/>
    <x v="0"/>
    <n v="60"/>
    <n v="575"/>
    <n v="345000"/>
    <n v="103500"/>
    <n v="0.3"/>
    <x v="1"/>
  </r>
  <r>
    <x v="1"/>
    <n v="1128299"/>
    <x v="271"/>
    <x v="4"/>
    <s v="Florida"/>
    <s v="Orlando"/>
    <x v="1"/>
    <n v="65"/>
    <n v="425"/>
    <n v="276250"/>
    <n v="69062.5"/>
    <n v="0.25"/>
    <x v="1"/>
  </r>
  <r>
    <x v="1"/>
    <n v="1128299"/>
    <x v="271"/>
    <x v="4"/>
    <s v="Florida"/>
    <s v="Orlando"/>
    <x v="2"/>
    <n v="65"/>
    <n v="425"/>
    <n v="276250"/>
    <n v="82875"/>
    <n v="0.3"/>
    <x v="1"/>
  </r>
  <r>
    <x v="1"/>
    <n v="1128299"/>
    <x v="271"/>
    <x v="4"/>
    <s v="Florida"/>
    <s v="Orlando"/>
    <x v="3"/>
    <n v="60"/>
    <n v="325"/>
    <n v="195000"/>
    <n v="58500"/>
    <n v="0.3"/>
    <x v="1"/>
  </r>
  <r>
    <x v="1"/>
    <n v="1128299"/>
    <x v="271"/>
    <x v="4"/>
    <s v="Florida"/>
    <s v="Orlando"/>
    <x v="4"/>
    <n v="54.999999999999993"/>
    <n v="225"/>
    <n v="123749.99999999999"/>
    <n v="24750"/>
    <n v="0.2"/>
    <x v="1"/>
  </r>
  <r>
    <x v="1"/>
    <n v="1128299"/>
    <x v="271"/>
    <x v="4"/>
    <s v="Florida"/>
    <s v="Orlando"/>
    <x v="5"/>
    <n v="70"/>
    <n v="575"/>
    <n v="402500"/>
    <n v="181125"/>
    <n v="0.45"/>
    <x v="1"/>
  </r>
  <r>
    <x v="1"/>
    <n v="1128299"/>
    <x v="301"/>
    <x v="4"/>
    <s v="Florida"/>
    <s v="Orlando"/>
    <x v="0"/>
    <n v="64.999999999999986"/>
    <n v="825"/>
    <n v="536249.99999999988"/>
    <n v="160874.99999999997"/>
    <n v="0.3"/>
    <x v="1"/>
  </r>
  <r>
    <x v="1"/>
    <n v="1128299"/>
    <x v="301"/>
    <x v="4"/>
    <s v="Florida"/>
    <s v="Orlando"/>
    <x v="1"/>
    <n v="70"/>
    <n v="700"/>
    <n v="490000"/>
    <n v="122500"/>
    <n v="0.25"/>
    <x v="0"/>
  </r>
  <r>
    <x v="1"/>
    <n v="1128299"/>
    <x v="301"/>
    <x v="4"/>
    <s v="Florida"/>
    <s v="Orlando"/>
    <x v="2"/>
    <n v="85"/>
    <n v="700"/>
    <n v="595000"/>
    <n v="178500"/>
    <n v="0.3"/>
    <x v="0"/>
  </r>
  <r>
    <x v="1"/>
    <n v="1128299"/>
    <x v="301"/>
    <x v="4"/>
    <s v="Florida"/>
    <s v="Orlando"/>
    <x v="3"/>
    <n v="85"/>
    <n v="575"/>
    <n v="488750"/>
    <n v="146625"/>
    <n v="0.3"/>
    <x v="0"/>
  </r>
  <r>
    <x v="1"/>
    <n v="1128299"/>
    <x v="301"/>
    <x v="4"/>
    <s v="Florida"/>
    <s v="Orlando"/>
    <x v="4"/>
    <n v="95"/>
    <n v="450"/>
    <n v="427500"/>
    <n v="85500"/>
    <n v="0.2"/>
    <x v="0"/>
  </r>
  <r>
    <x v="1"/>
    <n v="1128299"/>
    <x v="301"/>
    <x v="4"/>
    <s v="Florida"/>
    <s v="Orlando"/>
    <x v="5"/>
    <n v="110.00000000000001"/>
    <n v="750"/>
    <n v="825000.00000000012"/>
    <n v="371250.00000000006"/>
    <n v="0.45"/>
    <x v="0"/>
  </r>
  <r>
    <x v="1"/>
    <n v="1128299"/>
    <x v="330"/>
    <x v="4"/>
    <s v="Florida"/>
    <s v="Orlando"/>
    <x v="0"/>
    <n v="90"/>
    <n v="900"/>
    <n v="810000"/>
    <n v="243000"/>
    <n v="0.3"/>
    <x v="0"/>
  </r>
  <r>
    <x v="1"/>
    <n v="1128299"/>
    <x v="330"/>
    <x v="4"/>
    <s v="Florida"/>
    <s v="Orlando"/>
    <x v="1"/>
    <n v="95"/>
    <n v="750"/>
    <n v="712500"/>
    <n v="178125"/>
    <n v="0.25"/>
    <x v="0"/>
  </r>
  <r>
    <x v="1"/>
    <n v="1128299"/>
    <x v="330"/>
    <x v="4"/>
    <s v="Florida"/>
    <s v="Orlando"/>
    <x v="2"/>
    <n v="95"/>
    <n v="700"/>
    <n v="665000"/>
    <n v="199500"/>
    <n v="0.3"/>
    <x v="0"/>
  </r>
  <r>
    <x v="1"/>
    <n v="1128299"/>
    <x v="330"/>
    <x v="4"/>
    <s v="Florida"/>
    <s v="Orlando"/>
    <x v="3"/>
    <n v="90"/>
    <n v="600"/>
    <n v="540000"/>
    <n v="162000"/>
    <n v="0.3"/>
    <x v="0"/>
  </r>
  <r>
    <x v="1"/>
    <n v="1128299"/>
    <x v="330"/>
    <x v="4"/>
    <s v="Florida"/>
    <s v="Orlando"/>
    <x v="4"/>
    <n v="95"/>
    <n v="650"/>
    <n v="617500"/>
    <n v="123500"/>
    <n v="0.2"/>
    <x v="0"/>
  </r>
  <r>
    <x v="1"/>
    <n v="1128299"/>
    <x v="330"/>
    <x v="4"/>
    <s v="Florida"/>
    <s v="Orlando"/>
    <x v="5"/>
    <n v="110.00000000000001"/>
    <n v="650"/>
    <n v="715000.00000000012"/>
    <n v="321750.00000000006"/>
    <n v="0.45"/>
    <x v="0"/>
  </r>
  <r>
    <x v="1"/>
    <n v="1128299"/>
    <x v="362"/>
    <x v="4"/>
    <s v="Florida"/>
    <s v="Orlando"/>
    <x v="0"/>
    <n v="95"/>
    <n v="850"/>
    <n v="807500"/>
    <n v="242250"/>
    <n v="0.3"/>
    <x v="0"/>
  </r>
  <r>
    <x v="1"/>
    <n v="1128299"/>
    <x v="362"/>
    <x v="4"/>
    <s v="Florida"/>
    <s v="Orlando"/>
    <x v="1"/>
    <n v="85.000000000000014"/>
    <n v="825"/>
    <n v="701250.00000000012"/>
    <n v="175312.50000000003"/>
    <n v="0.25"/>
    <x v="0"/>
  </r>
  <r>
    <x v="1"/>
    <n v="1128299"/>
    <x v="362"/>
    <x v="4"/>
    <s v="Florida"/>
    <s v="Orlando"/>
    <x v="2"/>
    <n v="80"/>
    <n v="700"/>
    <n v="560000"/>
    <n v="168000"/>
    <n v="0.3"/>
    <x v="0"/>
  </r>
  <r>
    <x v="1"/>
    <n v="1128299"/>
    <x v="362"/>
    <x v="4"/>
    <s v="Florida"/>
    <s v="Orlando"/>
    <x v="3"/>
    <n v="80"/>
    <n v="475"/>
    <n v="380000"/>
    <n v="114000"/>
    <n v="0.3"/>
    <x v="0"/>
  </r>
  <r>
    <x v="1"/>
    <n v="1128299"/>
    <x v="362"/>
    <x v="4"/>
    <s v="Florida"/>
    <s v="Orlando"/>
    <x v="4"/>
    <n v="80"/>
    <n v="475"/>
    <n v="380000"/>
    <n v="76000"/>
    <n v="0.2"/>
    <x v="0"/>
  </r>
  <r>
    <x v="1"/>
    <n v="1128299"/>
    <x v="362"/>
    <x v="4"/>
    <s v="Florida"/>
    <s v="Orlando"/>
    <x v="5"/>
    <n v="85"/>
    <n v="300"/>
    <n v="255000"/>
    <n v="114750"/>
    <n v="0.45"/>
    <x v="0"/>
  </r>
  <r>
    <x v="1"/>
    <n v="1128299"/>
    <x v="394"/>
    <x v="4"/>
    <s v="Florida"/>
    <s v="Orlando"/>
    <x v="0"/>
    <n v="60.000000000000007"/>
    <n v="500"/>
    <n v="300000.00000000006"/>
    <n v="90000.000000000015"/>
    <n v="0.3"/>
    <x v="0"/>
  </r>
  <r>
    <x v="1"/>
    <n v="1128299"/>
    <x v="394"/>
    <x v="4"/>
    <s v="Florida"/>
    <s v="Orlando"/>
    <x v="1"/>
    <n v="65.000000000000014"/>
    <n v="500"/>
    <n v="325000.00000000006"/>
    <n v="81250.000000000015"/>
    <n v="0.25"/>
    <x v="0"/>
  </r>
  <r>
    <x v="1"/>
    <n v="1128299"/>
    <x v="394"/>
    <x v="4"/>
    <s v="Florida"/>
    <s v="Orlando"/>
    <x v="2"/>
    <n v="60.000000000000007"/>
    <n v="300"/>
    <n v="180000.00000000003"/>
    <n v="54000.000000000007"/>
    <n v="0.3"/>
    <x v="0"/>
  </r>
  <r>
    <x v="1"/>
    <n v="1128299"/>
    <x v="394"/>
    <x v="4"/>
    <s v="Florida"/>
    <s v="Orlando"/>
    <x v="3"/>
    <n v="60.000000000000007"/>
    <n v="250"/>
    <n v="150000.00000000003"/>
    <n v="45000.000000000007"/>
    <n v="0.3"/>
    <x v="0"/>
  </r>
  <r>
    <x v="1"/>
    <n v="1128299"/>
    <x v="394"/>
    <x v="4"/>
    <s v="Florida"/>
    <s v="Orlando"/>
    <x v="4"/>
    <n v="70"/>
    <n v="275"/>
    <n v="192500"/>
    <n v="38500"/>
    <n v="0.2"/>
    <x v="0"/>
  </r>
  <r>
    <x v="1"/>
    <n v="1128299"/>
    <x v="394"/>
    <x v="4"/>
    <s v="Florida"/>
    <s v="Orlando"/>
    <x v="5"/>
    <n v="54.999999999999993"/>
    <n v="300"/>
    <n v="164999.99999999997"/>
    <n v="74249.999999999985"/>
    <n v="0.45"/>
    <x v="0"/>
  </r>
  <r>
    <x v="1"/>
    <n v="1128299"/>
    <x v="423"/>
    <x v="4"/>
    <s v="Florida"/>
    <s v="Orlando"/>
    <x v="0"/>
    <n v="50"/>
    <n v="400"/>
    <n v="200000"/>
    <n v="60000"/>
    <n v="0.3"/>
    <x v="0"/>
  </r>
  <r>
    <x v="1"/>
    <n v="1128299"/>
    <x v="423"/>
    <x v="4"/>
    <s v="Florida"/>
    <s v="Orlando"/>
    <x v="1"/>
    <n v="65.000000000000014"/>
    <n v="575"/>
    <n v="373750.00000000006"/>
    <n v="93437.500000000015"/>
    <n v="0.25"/>
    <x v="0"/>
  </r>
  <r>
    <x v="1"/>
    <n v="1128299"/>
    <x v="423"/>
    <x v="4"/>
    <s v="Florida"/>
    <s v="Orlando"/>
    <x v="2"/>
    <n v="60.000000000000007"/>
    <n v="400"/>
    <n v="240000.00000000003"/>
    <n v="72000"/>
    <n v="0.3"/>
    <x v="0"/>
  </r>
  <r>
    <x v="1"/>
    <n v="1128299"/>
    <x v="423"/>
    <x v="4"/>
    <s v="Florida"/>
    <s v="Orlando"/>
    <x v="3"/>
    <n v="55.000000000000007"/>
    <n v="375"/>
    <n v="206250.00000000003"/>
    <n v="61875.000000000007"/>
    <n v="0.3"/>
    <x v="0"/>
  </r>
  <r>
    <x v="1"/>
    <n v="1128299"/>
    <x v="423"/>
    <x v="4"/>
    <s v="Florida"/>
    <s v="Orlando"/>
    <x v="4"/>
    <n v="65"/>
    <n v="350"/>
    <n v="227500"/>
    <n v="45500"/>
    <n v="0.2"/>
    <x v="0"/>
  </r>
  <r>
    <x v="1"/>
    <n v="1128299"/>
    <x v="423"/>
    <x v="4"/>
    <s v="Florida"/>
    <s v="Orlando"/>
    <x v="5"/>
    <n v="70"/>
    <n v="400"/>
    <n v="280000"/>
    <n v="126000"/>
    <n v="0.45"/>
    <x v="0"/>
  </r>
  <r>
    <x v="1"/>
    <n v="1128299"/>
    <x v="454"/>
    <x v="4"/>
    <s v="Florida"/>
    <s v="Orlando"/>
    <x v="0"/>
    <n v="55.000000000000007"/>
    <n v="625"/>
    <n v="343750.00000000006"/>
    <n v="103125.00000000001"/>
    <n v="0.3"/>
    <x v="0"/>
  </r>
  <r>
    <x v="1"/>
    <n v="1128299"/>
    <x v="454"/>
    <x v="4"/>
    <s v="Florida"/>
    <s v="Orlando"/>
    <x v="1"/>
    <n v="60.000000000000007"/>
    <n v="700"/>
    <n v="420000.00000000006"/>
    <n v="105000.00000000001"/>
    <n v="0.25"/>
    <x v="0"/>
  </r>
  <r>
    <x v="1"/>
    <n v="1128299"/>
    <x v="454"/>
    <x v="4"/>
    <s v="Florida"/>
    <s v="Orlando"/>
    <x v="2"/>
    <n v="55.000000000000007"/>
    <n v="525"/>
    <n v="288750.00000000006"/>
    <n v="86625.000000000015"/>
    <n v="0.3"/>
    <x v="0"/>
  </r>
  <r>
    <x v="1"/>
    <n v="1128299"/>
    <x v="454"/>
    <x v="4"/>
    <s v="Florida"/>
    <s v="Orlando"/>
    <x v="3"/>
    <n v="65.000000000000014"/>
    <n v="500"/>
    <n v="325000.00000000006"/>
    <n v="97500.000000000015"/>
    <n v="0.3"/>
    <x v="0"/>
  </r>
  <r>
    <x v="1"/>
    <n v="1128299"/>
    <x v="454"/>
    <x v="4"/>
    <s v="Florida"/>
    <s v="Orlando"/>
    <x v="4"/>
    <n v="85.000000000000014"/>
    <n v="475"/>
    <n v="403750.00000000006"/>
    <n v="80750.000000000015"/>
    <n v="0.2"/>
    <x v="0"/>
  </r>
  <r>
    <x v="1"/>
    <n v="1128299"/>
    <x v="454"/>
    <x v="4"/>
    <s v="Florida"/>
    <s v="Orlando"/>
    <x v="5"/>
    <n v="90.000000000000014"/>
    <n v="600"/>
    <n v="540000.00000000012"/>
    <n v="243000.00000000006"/>
    <n v="0.45"/>
    <x v="0"/>
  </r>
  <r>
    <x v="1"/>
    <n v="1128299"/>
    <x v="483"/>
    <x v="4"/>
    <s v="Florida"/>
    <s v="Orlando"/>
    <x v="0"/>
    <n v="75.000000000000014"/>
    <n v="800"/>
    <n v="600000.00000000012"/>
    <n v="180000.00000000003"/>
    <n v="0.3"/>
    <x v="0"/>
  </r>
  <r>
    <x v="1"/>
    <n v="1128299"/>
    <x v="483"/>
    <x v="4"/>
    <s v="Florida"/>
    <s v="Orlando"/>
    <x v="1"/>
    <n v="85.000000000000014"/>
    <n v="800"/>
    <n v="680000.00000000012"/>
    <n v="170000.00000000003"/>
    <n v="0.25"/>
    <x v="0"/>
  </r>
  <r>
    <x v="3"/>
    <n v="1128299"/>
    <x v="483"/>
    <x v="4"/>
    <s v="Florida"/>
    <s v="Orlando"/>
    <x v="2"/>
    <n v="80.000000000000014"/>
    <n v="600"/>
    <n v="480000.00000000006"/>
    <n v="144000"/>
    <n v="0.3"/>
    <x v="0"/>
  </r>
  <r>
    <x v="3"/>
    <n v="1128299"/>
    <x v="483"/>
    <x v="4"/>
    <s v="Florida"/>
    <s v="Orlando"/>
    <x v="3"/>
    <n v="80.000000000000014"/>
    <n v="600"/>
    <n v="480000.00000000006"/>
    <n v="144000"/>
    <n v="0.3"/>
    <x v="0"/>
  </r>
  <r>
    <x v="3"/>
    <n v="1128299"/>
    <x v="483"/>
    <x v="4"/>
    <s v="Florida"/>
    <s v="Orlando"/>
    <x v="4"/>
    <n v="90.000000000000014"/>
    <n v="525"/>
    <n v="472500.00000000006"/>
    <n v="94500.000000000015"/>
    <n v="0.2"/>
    <x v="0"/>
  </r>
  <r>
    <x v="3"/>
    <n v="1128299"/>
    <x v="483"/>
    <x v="4"/>
    <s v="Florida"/>
    <s v="Orlando"/>
    <x v="5"/>
    <n v="95.000000000000014"/>
    <n v="625"/>
    <n v="593750.00000000012"/>
    <n v="267187.50000000006"/>
    <n v="0.45"/>
    <x v="0"/>
  </r>
  <r>
    <x v="3"/>
    <n v="1185732"/>
    <x v="176"/>
    <x v="4"/>
    <s v="Florida"/>
    <s v="Orlando"/>
    <x v="0"/>
    <n v="45"/>
    <n v="850"/>
    <n v="382500"/>
    <n v="172125"/>
    <n v="0.45"/>
    <x v="0"/>
  </r>
  <r>
    <x v="3"/>
    <n v="1185732"/>
    <x v="176"/>
    <x v="4"/>
    <s v="Florida"/>
    <s v="Orlando"/>
    <x v="1"/>
    <n v="45"/>
    <n v="650"/>
    <n v="292500"/>
    <n v="102375"/>
    <n v="0.35"/>
    <x v="0"/>
  </r>
  <r>
    <x v="3"/>
    <n v="1185732"/>
    <x v="176"/>
    <x v="4"/>
    <s v="Florida"/>
    <s v="Orlando"/>
    <x v="2"/>
    <n v="35"/>
    <n v="650"/>
    <n v="227500"/>
    <n v="56875"/>
    <n v="0.25"/>
    <x v="0"/>
  </r>
  <r>
    <x v="3"/>
    <n v="1185732"/>
    <x v="176"/>
    <x v="4"/>
    <s v="Florida"/>
    <s v="Orlando"/>
    <x v="3"/>
    <n v="40"/>
    <n v="500"/>
    <n v="200000"/>
    <n v="60000"/>
    <n v="0.3"/>
    <x v="0"/>
  </r>
  <r>
    <x v="3"/>
    <n v="1185732"/>
    <x v="176"/>
    <x v="4"/>
    <s v="Florida"/>
    <s v="Orlando"/>
    <x v="4"/>
    <n v="55.000000000000007"/>
    <n v="550"/>
    <n v="302500.00000000006"/>
    <n v="105875.00000000001"/>
    <n v="0.35"/>
    <x v="0"/>
  </r>
  <r>
    <x v="3"/>
    <n v="1185732"/>
    <x v="176"/>
    <x v="4"/>
    <s v="Florida"/>
    <s v="Orlando"/>
    <x v="5"/>
    <n v="45"/>
    <n v="650"/>
    <n v="292500"/>
    <n v="146250"/>
    <n v="0.5"/>
    <x v="0"/>
  </r>
  <r>
    <x v="3"/>
    <n v="1185732"/>
    <x v="205"/>
    <x v="4"/>
    <s v="Florida"/>
    <s v="Orlando"/>
    <x v="0"/>
    <n v="45"/>
    <n v="900"/>
    <n v="405000"/>
    <n v="182250"/>
    <n v="0.45"/>
    <x v="0"/>
  </r>
  <r>
    <x v="3"/>
    <n v="1185732"/>
    <x v="205"/>
    <x v="4"/>
    <s v="Florida"/>
    <s v="Orlando"/>
    <x v="1"/>
    <n v="45"/>
    <n v="550"/>
    <n v="247500"/>
    <n v="86625"/>
    <n v="0.35"/>
    <x v="0"/>
  </r>
  <r>
    <x v="3"/>
    <n v="1185732"/>
    <x v="205"/>
    <x v="4"/>
    <s v="Florida"/>
    <s v="Orlando"/>
    <x v="2"/>
    <n v="35"/>
    <n v="600"/>
    <n v="210000"/>
    <n v="52500"/>
    <n v="0.25"/>
    <x v="0"/>
  </r>
  <r>
    <x v="3"/>
    <n v="1185732"/>
    <x v="205"/>
    <x v="0"/>
    <s v="New York"/>
    <s v="Albany"/>
    <x v="3"/>
    <n v="40"/>
    <n v="475"/>
    <n v="190000"/>
    <n v="57000"/>
    <n v="0.3"/>
    <x v="0"/>
  </r>
  <r>
    <x v="3"/>
    <n v="1185732"/>
    <x v="205"/>
    <x v="0"/>
    <s v="New York"/>
    <s v="Albany"/>
    <x v="4"/>
    <n v="55.000000000000007"/>
    <n v="550"/>
    <n v="302500.00000000006"/>
    <n v="105875.00000000001"/>
    <n v="0.35"/>
    <x v="0"/>
  </r>
  <r>
    <x v="3"/>
    <n v="1185732"/>
    <x v="205"/>
    <x v="0"/>
    <s v="New York"/>
    <s v="Albany"/>
    <x v="5"/>
    <n v="45"/>
    <n v="650"/>
    <n v="292500"/>
    <n v="146250"/>
    <n v="0.5"/>
    <x v="0"/>
  </r>
  <r>
    <x v="3"/>
    <n v="1185732"/>
    <x v="710"/>
    <x v="0"/>
    <s v="New York"/>
    <s v="Albany"/>
    <x v="0"/>
    <n v="45"/>
    <n v="870"/>
    <n v="391500"/>
    <n v="176175"/>
    <n v="0.45"/>
    <x v="0"/>
  </r>
  <r>
    <x v="3"/>
    <n v="1185732"/>
    <x v="710"/>
    <x v="0"/>
    <s v="New York"/>
    <s v="Albany"/>
    <x v="1"/>
    <n v="45"/>
    <n v="550"/>
    <n v="247500"/>
    <n v="86625"/>
    <n v="0.35"/>
    <x v="0"/>
  </r>
  <r>
    <x v="3"/>
    <n v="1185732"/>
    <x v="710"/>
    <x v="0"/>
    <s v="New York"/>
    <s v="Albany"/>
    <x v="2"/>
    <n v="35"/>
    <n v="575"/>
    <n v="201250"/>
    <n v="50312.5"/>
    <n v="0.25"/>
    <x v="0"/>
  </r>
  <r>
    <x v="3"/>
    <n v="1185732"/>
    <x v="710"/>
    <x v="0"/>
    <s v="New York"/>
    <s v="Albany"/>
    <x v="3"/>
    <n v="40"/>
    <n v="425"/>
    <n v="170000"/>
    <n v="51000"/>
    <n v="0.3"/>
    <x v="0"/>
  </r>
  <r>
    <x v="3"/>
    <n v="1185732"/>
    <x v="710"/>
    <x v="0"/>
    <s v="New York"/>
    <s v="Albany"/>
    <x v="4"/>
    <n v="55.000000000000007"/>
    <n v="475"/>
    <n v="261250.00000000003"/>
    <n v="91437.5"/>
    <n v="0.35"/>
    <x v="0"/>
  </r>
  <r>
    <x v="3"/>
    <n v="1185732"/>
    <x v="710"/>
    <x v="0"/>
    <s v="New York"/>
    <s v="Albany"/>
    <x v="5"/>
    <n v="45"/>
    <n v="575"/>
    <n v="258750"/>
    <n v="129375"/>
    <n v="0.5"/>
    <x v="0"/>
  </r>
  <r>
    <x v="3"/>
    <n v="1185732"/>
    <x v="232"/>
    <x v="0"/>
    <s v="New York"/>
    <s v="Albany"/>
    <x v="0"/>
    <n v="45"/>
    <n v="825"/>
    <n v="371250"/>
    <n v="167062.5"/>
    <n v="0.45"/>
    <x v="0"/>
  </r>
  <r>
    <x v="3"/>
    <n v="1185732"/>
    <x v="232"/>
    <x v="0"/>
    <s v="New York"/>
    <s v="Albany"/>
    <x v="1"/>
    <n v="45"/>
    <n v="525"/>
    <n v="236250"/>
    <n v="82687.5"/>
    <n v="0.35"/>
    <x v="0"/>
  </r>
  <r>
    <x v="3"/>
    <n v="1185732"/>
    <x v="232"/>
    <x v="0"/>
    <s v="New York"/>
    <s v="Albany"/>
    <x v="2"/>
    <n v="35"/>
    <n v="525"/>
    <n v="183750"/>
    <n v="45937.5"/>
    <n v="0.25"/>
    <x v="0"/>
  </r>
  <r>
    <x v="3"/>
    <n v="1185732"/>
    <x v="232"/>
    <x v="0"/>
    <s v="New York"/>
    <s v="Albany"/>
    <x v="3"/>
    <n v="40"/>
    <n v="450"/>
    <n v="180000"/>
    <n v="54000"/>
    <n v="0.3"/>
    <x v="0"/>
  </r>
  <r>
    <x v="3"/>
    <n v="1185732"/>
    <x v="232"/>
    <x v="0"/>
    <s v="New York"/>
    <s v="Albany"/>
    <x v="4"/>
    <n v="55.000000000000007"/>
    <n v="475"/>
    <n v="261250.00000000003"/>
    <n v="91437.5"/>
    <n v="0.35"/>
    <x v="0"/>
  </r>
  <r>
    <x v="3"/>
    <n v="1185732"/>
    <x v="232"/>
    <x v="0"/>
    <s v="New York"/>
    <s v="Albany"/>
    <x v="5"/>
    <n v="45"/>
    <n v="600"/>
    <n v="270000"/>
    <n v="135000"/>
    <n v="0.5"/>
    <x v="0"/>
  </r>
  <r>
    <x v="3"/>
    <n v="1185732"/>
    <x v="261"/>
    <x v="0"/>
    <s v="New York"/>
    <s v="Albany"/>
    <x v="0"/>
    <n v="55.000000000000007"/>
    <n v="870"/>
    <n v="478500.00000000006"/>
    <n v="215325.00000000003"/>
    <n v="0.45"/>
    <x v="0"/>
  </r>
  <r>
    <x v="3"/>
    <n v="1185732"/>
    <x v="261"/>
    <x v="0"/>
    <s v="New York"/>
    <s v="Albany"/>
    <x v="1"/>
    <n v="55.000000000000007"/>
    <n v="575"/>
    <n v="316250.00000000006"/>
    <n v="110687.50000000001"/>
    <n v="0.35"/>
    <x v="0"/>
  </r>
  <r>
    <x v="3"/>
    <n v="1185732"/>
    <x v="261"/>
    <x v="0"/>
    <s v="New York"/>
    <s v="Albany"/>
    <x v="2"/>
    <n v="50"/>
    <n v="550"/>
    <n v="275000"/>
    <n v="68750"/>
    <n v="0.25"/>
    <x v="0"/>
  </r>
  <r>
    <x v="3"/>
    <n v="1185732"/>
    <x v="261"/>
    <x v="0"/>
    <s v="New York"/>
    <s v="Albany"/>
    <x v="3"/>
    <n v="50"/>
    <n v="500"/>
    <n v="250000"/>
    <n v="75000"/>
    <n v="0.3"/>
    <x v="0"/>
  </r>
  <r>
    <x v="3"/>
    <n v="1185732"/>
    <x v="261"/>
    <x v="0"/>
    <s v="New York"/>
    <s v="Albany"/>
    <x v="4"/>
    <n v="60"/>
    <n v="525"/>
    <n v="315000"/>
    <n v="110250"/>
    <n v="0.35"/>
    <x v="0"/>
  </r>
  <r>
    <x v="3"/>
    <n v="1185732"/>
    <x v="261"/>
    <x v="0"/>
    <s v="New York"/>
    <s v="Albany"/>
    <x v="5"/>
    <n v="65"/>
    <n v="625"/>
    <n v="406250"/>
    <n v="203125"/>
    <n v="0.5"/>
    <x v="0"/>
  </r>
  <r>
    <x v="3"/>
    <n v="1185732"/>
    <x v="294"/>
    <x v="0"/>
    <s v="New York"/>
    <s v="Albany"/>
    <x v="0"/>
    <n v="60"/>
    <n v="875"/>
    <n v="525000"/>
    <n v="236250"/>
    <n v="0.45"/>
    <x v="0"/>
  </r>
  <r>
    <x v="3"/>
    <n v="1185732"/>
    <x v="294"/>
    <x v="0"/>
    <s v="New York"/>
    <s v="Albany"/>
    <x v="1"/>
    <n v="55.000000000000007"/>
    <n v="625"/>
    <n v="343750.00000000006"/>
    <n v="120312.50000000001"/>
    <n v="0.35"/>
    <x v="0"/>
  </r>
  <r>
    <x v="3"/>
    <n v="1185732"/>
    <x v="294"/>
    <x v="0"/>
    <s v="New York"/>
    <s v="Albany"/>
    <x v="2"/>
    <n v="50"/>
    <n v="600"/>
    <n v="300000"/>
    <n v="75000"/>
    <n v="0.25"/>
    <x v="0"/>
  </r>
  <r>
    <x v="3"/>
    <n v="1185732"/>
    <x v="294"/>
    <x v="0"/>
    <s v="New York"/>
    <s v="Albany"/>
    <x v="3"/>
    <n v="50"/>
    <n v="575"/>
    <n v="287500"/>
    <n v="86250"/>
    <n v="0.3"/>
    <x v="0"/>
  </r>
  <r>
    <x v="3"/>
    <n v="1185732"/>
    <x v="294"/>
    <x v="0"/>
    <s v="New York"/>
    <s v="Albany"/>
    <x v="4"/>
    <n v="65"/>
    <n v="575"/>
    <n v="373750"/>
    <n v="130812.49999999999"/>
    <n v="0.35"/>
    <x v="0"/>
  </r>
  <r>
    <x v="3"/>
    <n v="1185732"/>
    <x v="294"/>
    <x v="0"/>
    <s v="New York"/>
    <s v="Albany"/>
    <x v="5"/>
    <n v="70"/>
    <n v="725"/>
    <n v="507500"/>
    <n v="253750"/>
    <n v="0.5"/>
    <x v="0"/>
  </r>
  <r>
    <x v="3"/>
    <n v="1185732"/>
    <x v="322"/>
    <x v="0"/>
    <s v="New York"/>
    <s v="Albany"/>
    <x v="0"/>
    <n v="65"/>
    <n v="950"/>
    <n v="617500"/>
    <n v="277875"/>
    <n v="0.45"/>
    <x v="0"/>
  </r>
  <r>
    <x v="3"/>
    <n v="1185732"/>
    <x v="322"/>
    <x v="0"/>
    <s v="New York"/>
    <s v="Albany"/>
    <x v="1"/>
    <n v="60.000000000000007"/>
    <n v="700"/>
    <n v="420000.00000000006"/>
    <n v="147000"/>
    <n v="0.35"/>
    <x v="0"/>
  </r>
  <r>
    <x v="3"/>
    <n v="1185732"/>
    <x v="322"/>
    <x v="0"/>
    <s v="New York"/>
    <s v="Albany"/>
    <x v="2"/>
    <n v="55.000000000000007"/>
    <n v="625"/>
    <n v="343750.00000000006"/>
    <n v="85937.500000000015"/>
    <n v="0.25"/>
    <x v="0"/>
  </r>
  <r>
    <x v="3"/>
    <n v="1185732"/>
    <x v="322"/>
    <x v="0"/>
    <s v="New York"/>
    <s v="Albany"/>
    <x v="3"/>
    <n v="55.000000000000007"/>
    <n v="575"/>
    <n v="316250.00000000006"/>
    <n v="94875.000000000015"/>
    <n v="0.3"/>
    <x v="0"/>
  </r>
  <r>
    <x v="3"/>
    <n v="1185732"/>
    <x v="322"/>
    <x v="0"/>
    <s v="New York"/>
    <s v="Albany"/>
    <x v="4"/>
    <n v="65"/>
    <n v="600"/>
    <n v="390000"/>
    <n v="136500"/>
    <n v="0.35"/>
    <x v="0"/>
  </r>
  <r>
    <x v="3"/>
    <n v="1185732"/>
    <x v="322"/>
    <x v="0"/>
    <s v="New York"/>
    <s v="Albany"/>
    <x v="5"/>
    <n v="70"/>
    <n v="775"/>
    <n v="542500"/>
    <n v="271250"/>
    <n v="0.5"/>
    <x v="0"/>
  </r>
  <r>
    <x v="3"/>
    <n v="1185732"/>
    <x v="354"/>
    <x v="0"/>
    <s v="New York"/>
    <s v="Albany"/>
    <x v="0"/>
    <n v="65"/>
    <n v="925"/>
    <n v="601250"/>
    <n v="270562.5"/>
    <n v="0.45"/>
    <x v="0"/>
  </r>
  <r>
    <x v="3"/>
    <n v="1185732"/>
    <x v="354"/>
    <x v="0"/>
    <s v="New York"/>
    <s v="Albany"/>
    <x v="1"/>
    <n v="60.000000000000007"/>
    <n v="700"/>
    <n v="420000.00000000006"/>
    <n v="147000"/>
    <n v="0.35"/>
    <x v="0"/>
  </r>
  <r>
    <x v="3"/>
    <n v="1185732"/>
    <x v="354"/>
    <x v="0"/>
    <s v="New York"/>
    <s v="Albany"/>
    <x v="2"/>
    <n v="55.000000000000007"/>
    <n v="625"/>
    <n v="343750.00000000006"/>
    <n v="85937.500000000015"/>
    <n v="0.25"/>
    <x v="0"/>
  </r>
  <r>
    <x v="3"/>
    <n v="1185732"/>
    <x v="354"/>
    <x v="0"/>
    <s v="New York"/>
    <s v="Albany"/>
    <x v="3"/>
    <n v="45"/>
    <n v="575"/>
    <n v="258750"/>
    <n v="77625"/>
    <n v="0.3"/>
    <x v="0"/>
  </r>
  <r>
    <x v="3"/>
    <n v="1185732"/>
    <x v="354"/>
    <x v="0"/>
    <s v="New York"/>
    <s v="Albany"/>
    <x v="4"/>
    <n v="55.000000000000007"/>
    <n v="550"/>
    <n v="302500.00000000006"/>
    <n v="105875.00000000001"/>
    <n v="0.35"/>
    <x v="0"/>
  </r>
  <r>
    <x v="3"/>
    <n v="1185732"/>
    <x v="354"/>
    <x v="0"/>
    <s v="New York"/>
    <s v="Albany"/>
    <x v="5"/>
    <n v="60.000000000000007"/>
    <n v="725"/>
    <n v="435000.00000000006"/>
    <n v="217500.00000000003"/>
    <n v="0.5"/>
    <x v="0"/>
  </r>
  <r>
    <x v="3"/>
    <n v="1185732"/>
    <x v="384"/>
    <x v="0"/>
    <s v="New York"/>
    <s v="Albany"/>
    <x v="0"/>
    <n v="55.000000000000007"/>
    <n v="850"/>
    <n v="467500.00000000006"/>
    <n v="210375.00000000003"/>
    <n v="0.45"/>
    <x v="0"/>
  </r>
  <r>
    <x v="3"/>
    <n v="1185732"/>
    <x v="384"/>
    <x v="0"/>
    <s v="New York"/>
    <s v="Albany"/>
    <x v="1"/>
    <n v="50.000000000000014"/>
    <n v="650"/>
    <n v="325000.00000000012"/>
    <n v="113750.00000000003"/>
    <n v="0.35"/>
    <x v="0"/>
  </r>
  <r>
    <x v="3"/>
    <n v="1185732"/>
    <x v="384"/>
    <x v="0"/>
    <s v="New York"/>
    <s v="Albany"/>
    <x v="2"/>
    <n v="45"/>
    <n v="550"/>
    <n v="247500"/>
    <n v="61875"/>
    <n v="0.25"/>
    <x v="0"/>
  </r>
  <r>
    <x v="3"/>
    <n v="1185732"/>
    <x v="384"/>
    <x v="0"/>
    <s v="New York"/>
    <s v="Albany"/>
    <x v="3"/>
    <n v="45"/>
    <n v="525"/>
    <n v="236250"/>
    <n v="70875"/>
    <n v="0.3"/>
    <x v="0"/>
  </r>
  <r>
    <x v="3"/>
    <n v="1185732"/>
    <x v="384"/>
    <x v="0"/>
    <s v="New York"/>
    <s v="Albany"/>
    <x v="4"/>
    <n v="55.000000000000007"/>
    <n v="525"/>
    <n v="288750.00000000006"/>
    <n v="101062.50000000001"/>
    <n v="0.35"/>
    <x v="0"/>
  </r>
  <r>
    <x v="3"/>
    <n v="1185732"/>
    <x v="384"/>
    <x v="0"/>
    <s v="New York"/>
    <s v="Albany"/>
    <x v="5"/>
    <n v="60.000000000000007"/>
    <n v="625"/>
    <n v="375000.00000000006"/>
    <n v="187500.00000000003"/>
    <n v="0.5"/>
    <x v="0"/>
  </r>
  <r>
    <x v="3"/>
    <n v="1185732"/>
    <x v="416"/>
    <x v="0"/>
    <s v="New York"/>
    <s v="Albany"/>
    <x v="0"/>
    <n v="60.000000000000007"/>
    <n v="800"/>
    <n v="480000.00000000006"/>
    <n v="216000.00000000003"/>
    <n v="0.45"/>
    <x v="0"/>
  </r>
  <r>
    <x v="3"/>
    <n v="1185732"/>
    <x v="416"/>
    <x v="0"/>
    <s v="New York"/>
    <s v="Albany"/>
    <x v="1"/>
    <n v="50.000000000000014"/>
    <n v="625"/>
    <n v="312500.00000000012"/>
    <n v="109375.00000000003"/>
    <n v="0.35"/>
    <x v="0"/>
  </r>
  <r>
    <x v="3"/>
    <n v="1185732"/>
    <x v="416"/>
    <x v="0"/>
    <s v="New York"/>
    <s v="Albany"/>
    <x v="2"/>
    <n v="50.000000000000014"/>
    <n v="525"/>
    <n v="262500.00000000006"/>
    <n v="65625.000000000015"/>
    <n v="0.25"/>
    <x v="0"/>
  </r>
  <r>
    <x v="3"/>
    <n v="1185732"/>
    <x v="416"/>
    <x v="0"/>
    <s v="New York"/>
    <s v="Albany"/>
    <x v="3"/>
    <n v="50.000000000000014"/>
    <n v="500"/>
    <n v="250000.00000000006"/>
    <n v="75000.000000000015"/>
    <n v="0.3"/>
    <x v="0"/>
  </r>
  <r>
    <x v="3"/>
    <n v="1185732"/>
    <x v="416"/>
    <x v="0"/>
    <s v="New York"/>
    <s v="Albany"/>
    <x v="4"/>
    <n v="60.000000000000007"/>
    <n v="500"/>
    <n v="300000.00000000006"/>
    <n v="105000.00000000001"/>
    <n v="0.35"/>
    <x v="0"/>
  </r>
  <r>
    <x v="3"/>
    <n v="1185732"/>
    <x v="416"/>
    <x v="0"/>
    <s v="New York"/>
    <s v="Albany"/>
    <x v="5"/>
    <n v="65"/>
    <n v="625"/>
    <n v="406250"/>
    <n v="203125"/>
    <n v="0.5"/>
    <x v="0"/>
  </r>
  <r>
    <x v="3"/>
    <n v="1185732"/>
    <x v="446"/>
    <x v="0"/>
    <s v="New York"/>
    <s v="Albany"/>
    <x v="0"/>
    <n v="60.000000000000007"/>
    <n v="775"/>
    <n v="465000.00000000006"/>
    <n v="209250.00000000003"/>
    <n v="0.45"/>
    <x v="0"/>
  </r>
  <r>
    <x v="3"/>
    <n v="1185732"/>
    <x v="446"/>
    <x v="0"/>
    <s v="New York"/>
    <s v="Albany"/>
    <x v="1"/>
    <n v="50.000000000000014"/>
    <n v="600"/>
    <n v="300000.00000000006"/>
    <n v="105000.00000000001"/>
    <n v="0.35"/>
    <x v="0"/>
  </r>
  <r>
    <x v="3"/>
    <n v="1185732"/>
    <x v="446"/>
    <x v="0"/>
    <s v="New York"/>
    <s v="Albany"/>
    <x v="2"/>
    <n v="50.000000000000014"/>
    <n v="545"/>
    <n v="272500.00000000006"/>
    <n v="68125.000000000015"/>
    <n v="0.25"/>
    <x v="0"/>
  </r>
  <r>
    <x v="3"/>
    <n v="1185732"/>
    <x v="446"/>
    <x v="0"/>
    <s v="New York"/>
    <s v="Albany"/>
    <x v="3"/>
    <n v="50.000000000000014"/>
    <n v="575"/>
    <n v="287500.00000000006"/>
    <n v="86250.000000000015"/>
    <n v="0.3"/>
    <x v="0"/>
  </r>
  <r>
    <x v="3"/>
    <n v="1185732"/>
    <x v="446"/>
    <x v="0"/>
    <s v="New York"/>
    <s v="Albany"/>
    <x v="4"/>
    <n v="65"/>
    <n v="550"/>
    <n v="357500"/>
    <n v="125124.99999999999"/>
    <n v="0.35"/>
    <x v="0"/>
  </r>
  <r>
    <x v="3"/>
    <n v="1185732"/>
    <x v="446"/>
    <x v="0"/>
    <s v="New York"/>
    <s v="Albany"/>
    <x v="5"/>
    <n v="70"/>
    <n v="650"/>
    <n v="455000"/>
    <n v="227500"/>
    <n v="0.5"/>
    <x v="0"/>
  </r>
  <r>
    <x v="3"/>
    <n v="1185732"/>
    <x v="475"/>
    <x v="0"/>
    <s v="New York"/>
    <s v="Albany"/>
    <x v="0"/>
    <n v="65"/>
    <n v="875"/>
    <n v="568750"/>
    <n v="255937.5"/>
    <n v="0.45"/>
    <x v="0"/>
  </r>
  <r>
    <x v="3"/>
    <n v="1185732"/>
    <x v="475"/>
    <x v="0"/>
    <s v="New York"/>
    <s v="Albany"/>
    <x v="1"/>
    <n v="55.000000000000007"/>
    <n v="675"/>
    <n v="371250.00000000006"/>
    <n v="129937.50000000001"/>
    <n v="0.35"/>
    <x v="0"/>
  </r>
  <r>
    <x v="4"/>
    <n v="1185732"/>
    <x v="475"/>
    <x v="0"/>
    <s v="New York"/>
    <s v="Albany"/>
    <x v="2"/>
    <n v="55.000000000000007"/>
    <n v="625"/>
    <n v="343750.00000000006"/>
    <n v="85937.500000000015"/>
    <n v="0.25"/>
    <x v="0"/>
  </r>
  <r>
    <x v="4"/>
    <n v="1185732"/>
    <x v="475"/>
    <x v="0"/>
    <s v="New York"/>
    <s v="Albany"/>
    <x v="3"/>
    <n v="55.000000000000007"/>
    <n v="575"/>
    <n v="316250.00000000006"/>
    <n v="94875.000000000015"/>
    <n v="0.3"/>
    <x v="0"/>
  </r>
  <r>
    <x v="4"/>
    <n v="1185732"/>
    <x v="475"/>
    <x v="0"/>
    <s v="New York"/>
    <s v="Albany"/>
    <x v="4"/>
    <n v="65"/>
    <n v="575"/>
    <n v="373750"/>
    <n v="130812.49999999999"/>
    <n v="0.35"/>
    <x v="0"/>
  </r>
  <r>
    <x v="4"/>
    <n v="1185732"/>
    <x v="475"/>
    <x v="0"/>
    <s v="New York"/>
    <s v="Albany"/>
    <x v="5"/>
    <n v="70"/>
    <n v="675"/>
    <n v="472500"/>
    <n v="236250"/>
    <n v="0.5"/>
    <x v="0"/>
  </r>
  <r>
    <x v="4"/>
    <n v="1185732"/>
    <x v="178"/>
    <x v="0"/>
    <s v="New York"/>
    <s v="Albany"/>
    <x v="0"/>
    <n v="40"/>
    <n v="800"/>
    <n v="320000"/>
    <n v="160000"/>
    <n v="0.5"/>
    <x v="0"/>
  </r>
  <r>
    <x v="4"/>
    <n v="1185732"/>
    <x v="178"/>
    <x v="0"/>
    <s v="New York"/>
    <s v="Albany"/>
    <x v="1"/>
    <n v="40"/>
    <n v="600"/>
    <n v="240000"/>
    <n v="72000"/>
    <n v="0.3"/>
    <x v="0"/>
  </r>
  <r>
    <x v="4"/>
    <n v="1185732"/>
    <x v="178"/>
    <x v="0"/>
    <s v="New York"/>
    <s v="Albany"/>
    <x v="2"/>
    <n v="30.000000000000004"/>
    <n v="600"/>
    <n v="180000.00000000003"/>
    <n v="63000.000000000007"/>
    <n v="0.35"/>
    <x v="0"/>
  </r>
  <r>
    <x v="4"/>
    <n v="1185732"/>
    <x v="178"/>
    <x v="0"/>
    <s v="New York"/>
    <s v="Albany"/>
    <x v="3"/>
    <n v="35"/>
    <n v="450"/>
    <n v="157500"/>
    <n v="55125"/>
    <n v="0.35"/>
    <x v="0"/>
  </r>
  <r>
    <x v="4"/>
    <n v="1185732"/>
    <x v="178"/>
    <x v="0"/>
    <s v="New York"/>
    <s v="Albany"/>
    <x v="4"/>
    <n v="50"/>
    <n v="500"/>
    <n v="250000"/>
    <n v="75000"/>
    <n v="0.3"/>
    <x v="0"/>
  </r>
  <r>
    <x v="4"/>
    <n v="1185732"/>
    <x v="178"/>
    <x v="0"/>
    <s v="New York"/>
    <s v="Albany"/>
    <x v="5"/>
    <n v="40"/>
    <n v="600"/>
    <n v="240000"/>
    <n v="60000"/>
    <n v="0.25"/>
    <x v="0"/>
  </r>
  <r>
    <x v="4"/>
    <n v="1185732"/>
    <x v="207"/>
    <x v="0"/>
    <s v="New York"/>
    <s v="Albany"/>
    <x v="0"/>
    <n v="40"/>
    <n v="850"/>
    <n v="340000"/>
    <n v="170000"/>
    <n v="0.5"/>
    <x v="0"/>
  </r>
  <r>
    <x v="4"/>
    <n v="1185732"/>
    <x v="207"/>
    <x v="0"/>
    <s v="New York"/>
    <s v="Albany"/>
    <x v="1"/>
    <n v="40"/>
    <n v="500"/>
    <n v="200000"/>
    <n v="60000"/>
    <n v="0.3"/>
    <x v="0"/>
  </r>
  <r>
    <x v="4"/>
    <n v="1185732"/>
    <x v="207"/>
    <x v="0"/>
    <s v="New York"/>
    <s v="Albany"/>
    <x v="2"/>
    <n v="30.000000000000004"/>
    <n v="550"/>
    <n v="165000.00000000003"/>
    <n v="57750.000000000007"/>
    <n v="0.35"/>
    <x v="0"/>
  </r>
  <r>
    <x v="4"/>
    <n v="1185732"/>
    <x v="207"/>
    <x v="2"/>
    <s v="Wyoming"/>
    <s v="Cheyenne"/>
    <x v="3"/>
    <n v="35"/>
    <n v="425"/>
    <n v="148750"/>
    <n v="52062.5"/>
    <n v="0.35"/>
    <x v="0"/>
  </r>
  <r>
    <x v="4"/>
    <n v="1185732"/>
    <x v="207"/>
    <x v="2"/>
    <s v="Wyoming"/>
    <s v="Cheyenne"/>
    <x v="4"/>
    <n v="50"/>
    <n v="500"/>
    <n v="250000"/>
    <n v="75000"/>
    <n v="0.3"/>
    <x v="0"/>
  </r>
  <r>
    <x v="4"/>
    <n v="1185732"/>
    <x v="207"/>
    <x v="2"/>
    <s v="Wyoming"/>
    <s v="Cheyenne"/>
    <x v="5"/>
    <n v="40"/>
    <n v="600"/>
    <n v="240000"/>
    <n v="60000"/>
    <n v="0.25"/>
    <x v="0"/>
  </r>
  <r>
    <x v="4"/>
    <n v="1185732"/>
    <x v="215"/>
    <x v="2"/>
    <s v="Wyoming"/>
    <s v="Cheyenne"/>
    <x v="0"/>
    <n v="40"/>
    <n v="820"/>
    <n v="328000"/>
    <n v="164000"/>
    <n v="0.5"/>
    <x v="0"/>
  </r>
  <r>
    <x v="4"/>
    <n v="1185732"/>
    <x v="215"/>
    <x v="2"/>
    <s v="Wyoming"/>
    <s v="Cheyenne"/>
    <x v="1"/>
    <n v="40"/>
    <n v="525"/>
    <n v="210000"/>
    <n v="63000"/>
    <n v="0.3"/>
    <x v="0"/>
  </r>
  <r>
    <x v="4"/>
    <n v="1185732"/>
    <x v="215"/>
    <x v="2"/>
    <s v="Wyoming"/>
    <s v="Cheyenne"/>
    <x v="2"/>
    <n v="30.000000000000004"/>
    <n v="550"/>
    <n v="165000.00000000003"/>
    <n v="57750.000000000007"/>
    <n v="0.35"/>
    <x v="0"/>
  </r>
  <r>
    <x v="4"/>
    <n v="1185732"/>
    <x v="215"/>
    <x v="2"/>
    <s v="Wyoming"/>
    <s v="Cheyenne"/>
    <x v="3"/>
    <n v="35"/>
    <n v="400"/>
    <n v="140000"/>
    <n v="49000"/>
    <n v="0.35"/>
    <x v="0"/>
  </r>
  <r>
    <x v="4"/>
    <n v="1185732"/>
    <x v="215"/>
    <x v="2"/>
    <s v="Wyoming"/>
    <s v="Cheyenne"/>
    <x v="4"/>
    <n v="50"/>
    <n v="450"/>
    <n v="225000"/>
    <n v="67500"/>
    <n v="0.3"/>
    <x v="0"/>
  </r>
  <r>
    <x v="4"/>
    <n v="1185732"/>
    <x v="215"/>
    <x v="2"/>
    <s v="Wyoming"/>
    <s v="Cheyenne"/>
    <x v="5"/>
    <n v="40"/>
    <n v="550"/>
    <n v="220000"/>
    <n v="55000"/>
    <n v="0.25"/>
    <x v="0"/>
  </r>
  <r>
    <x v="4"/>
    <n v="1185732"/>
    <x v="234"/>
    <x v="2"/>
    <s v="Wyoming"/>
    <s v="Cheyenne"/>
    <x v="0"/>
    <n v="40"/>
    <n v="800"/>
    <n v="320000"/>
    <n v="160000"/>
    <n v="0.5"/>
    <x v="0"/>
  </r>
  <r>
    <x v="4"/>
    <n v="1185732"/>
    <x v="234"/>
    <x v="2"/>
    <s v="Wyoming"/>
    <s v="Cheyenne"/>
    <x v="1"/>
    <n v="40"/>
    <n v="500"/>
    <n v="200000"/>
    <n v="60000"/>
    <n v="0.3"/>
    <x v="0"/>
  </r>
  <r>
    <x v="4"/>
    <n v="1185732"/>
    <x v="234"/>
    <x v="2"/>
    <s v="Wyoming"/>
    <s v="Cheyenne"/>
    <x v="2"/>
    <n v="30.000000000000004"/>
    <n v="500"/>
    <n v="150000.00000000003"/>
    <n v="52500.000000000007"/>
    <n v="0.35"/>
    <x v="0"/>
  </r>
  <r>
    <x v="4"/>
    <n v="1185732"/>
    <x v="234"/>
    <x v="2"/>
    <s v="Wyoming"/>
    <s v="Cheyenne"/>
    <x v="3"/>
    <n v="35"/>
    <n v="425"/>
    <n v="148750"/>
    <n v="52062.5"/>
    <n v="0.35"/>
    <x v="0"/>
  </r>
  <r>
    <x v="4"/>
    <n v="1185732"/>
    <x v="234"/>
    <x v="2"/>
    <s v="Wyoming"/>
    <s v="Cheyenne"/>
    <x v="4"/>
    <n v="50"/>
    <n v="425"/>
    <n v="212500"/>
    <n v="63750"/>
    <n v="0.3"/>
    <x v="0"/>
  </r>
  <r>
    <x v="4"/>
    <n v="1185732"/>
    <x v="234"/>
    <x v="2"/>
    <s v="Wyoming"/>
    <s v="Cheyenne"/>
    <x v="5"/>
    <n v="40"/>
    <n v="550"/>
    <n v="220000"/>
    <n v="55000"/>
    <n v="0.25"/>
    <x v="0"/>
  </r>
  <r>
    <x v="4"/>
    <n v="1185732"/>
    <x v="263"/>
    <x v="2"/>
    <s v="Wyoming"/>
    <s v="Cheyenne"/>
    <x v="0"/>
    <n v="50"/>
    <n v="820"/>
    <n v="410000"/>
    <n v="205000"/>
    <n v="0.5"/>
    <x v="0"/>
  </r>
  <r>
    <x v="4"/>
    <n v="1185732"/>
    <x v="263"/>
    <x v="2"/>
    <s v="Wyoming"/>
    <s v="Cheyenne"/>
    <x v="1"/>
    <n v="45.000000000000007"/>
    <n v="525"/>
    <n v="236250.00000000003"/>
    <n v="70875"/>
    <n v="0.3"/>
    <x v="0"/>
  </r>
  <r>
    <x v="4"/>
    <n v="1185732"/>
    <x v="263"/>
    <x v="2"/>
    <s v="Wyoming"/>
    <s v="Cheyenne"/>
    <x v="2"/>
    <n v="40"/>
    <n v="500"/>
    <n v="200000"/>
    <n v="70000"/>
    <n v="0.35"/>
    <x v="0"/>
  </r>
  <r>
    <x v="4"/>
    <n v="1185732"/>
    <x v="263"/>
    <x v="2"/>
    <s v="Wyoming"/>
    <s v="Cheyenne"/>
    <x v="3"/>
    <n v="40"/>
    <n v="450"/>
    <n v="180000"/>
    <n v="62999.999999999993"/>
    <n v="0.35"/>
    <x v="0"/>
  </r>
  <r>
    <x v="4"/>
    <n v="1185732"/>
    <x v="263"/>
    <x v="2"/>
    <s v="Wyoming"/>
    <s v="Cheyenne"/>
    <x v="4"/>
    <n v="50"/>
    <n v="475"/>
    <n v="237500"/>
    <n v="71250"/>
    <n v="0.3"/>
    <x v="0"/>
  </r>
  <r>
    <x v="4"/>
    <n v="1185732"/>
    <x v="263"/>
    <x v="2"/>
    <s v="Wyoming"/>
    <s v="Cheyenne"/>
    <x v="5"/>
    <n v="55.000000000000007"/>
    <n v="600"/>
    <n v="330000.00000000006"/>
    <n v="82500.000000000015"/>
    <n v="0.25"/>
    <x v="0"/>
  </r>
  <r>
    <x v="4"/>
    <n v="1185732"/>
    <x v="296"/>
    <x v="2"/>
    <s v="Wyoming"/>
    <s v="Cheyenne"/>
    <x v="0"/>
    <n v="50"/>
    <n v="850"/>
    <n v="425000"/>
    <n v="212500"/>
    <n v="0.5"/>
    <x v="0"/>
  </r>
  <r>
    <x v="4"/>
    <n v="1185732"/>
    <x v="296"/>
    <x v="2"/>
    <s v="Wyoming"/>
    <s v="Cheyenne"/>
    <x v="1"/>
    <n v="45.000000000000007"/>
    <n v="600"/>
    <n v="270000.00000000006"/>
    <n v="81000.000000000015"/>
    <n v="0.3"/>
    <x v="0"/>
  </r>
  <r>
    <x v="4"/>
    <n v="1185732"/>
    <x v="296"/>
    <x v="2"/>
    <s v="Wyoming"/>
    <s v="Cheyenne"/>
    <x v="2"/>
    <n v="40"/>
    <n v="525"/>
    <n v="210000"/>
    <n v="73500"/>
    <n v="0.35"/>
    <x v="0"/>
  </r>
  <r>
    <x v="4"/>
    <n v="1185732"/>
    <x v="296"/>
    <x v="2"/>
    <s v="Wyoming"/>
    <s v="Cheyenne"/>
    <x v="3"/>
    <n v="40"/>
    <n v="500"/>
    <n v="200000"/>
    <n v="70000"/>
    <n v="0.35"/>
    <x v="0"/>
  </r>
  <r>
    <x v="4"/>
    <n v="1185732"/>
    <x v="296"/>
    <x v="2"/>
    <s v="Wyoming"/>
    <s v="Cheyenne"/>
    <x v="4"/>
    <n v="50"/>
    <n v="500"/>
    <n v="250000"/>
    <n v="75000"/>
    <n v="0.3"/>
    <x v="0"/>
  </r>
  <r>
    <x v="4"/>
    <n v="1185732"/>
    <x v="296"/>
    <x v="2"/>
    <s v="Wyoming"/>
    <s v="Cheyenne"/>
    <x v="5"/>
    <n v="55.000000000000007"/>
    <n v="650"/>
    <n v="357500.00000000006"/>
    <n v="89375.000000000015"/>
    <n v="0.25"/>
    <x v="0"/>
  </r>
  <r>
    <x v="4"/>
    <n v="1185732"/>
    <x v="324"/>
    <x v="2"/>
    <s v="Wyoming"/>
    <s v="Cheyenne"/>
    <x v="0"/>
    <n v="50"/>
    <n v="875"/>
    <n v="437500"/>
    <n v="218750"/>
    <n v="0.5"/>
    <x v="0"/>
  </r>
  <r>
    <x v="4"/>
    <n v="1185732"/>
    <x v="324"/>
    <x v="2"/>
    <s v="Wyoming"/>
    <s v="Cheyenne"/>
    <x v="1"/>
    <n v="45.000000000000007"/>
    <n v="625"/>
    <n v="281250.00000000006"/>
    <n v="84375.000000000015"/>
    <n v="0.3"/>
    <x v="0"/>
  </r>
  <r>
    <x v="4"/>
    <n v="1185732"/>
    <x v="324"/>
    <x v="2"/>
    <s v="Wyoming"/>
    <s v="Cheyenne"/>
    <x v="2"/>
    <n v="40"/>
    <n v="550"/>
    <n v="220000"/>
    <n v="77000"/>
    <n v="0.35"/>
    <x v="0"/>
  </r>
  <r>
    <x v="4"/>
    <n v="1185732"/>
    <x v="324"/>
    <x v="2"/>
    <s v="Wyoming"/>
    <s v="Cheyenne"/>
    <x v="3"/>
    <n v="40"/>
    <n v="500"/>
    <n v="200000"/>
    <n v="70000"/>
    <n v="0.35"/>
    <x v="0"/>
  </r>
  <r>
    <x v="4"/>
    <n v="1185732"/>
    <x v="324"/>
    <x v="2"/>
    <s v="Wyoming"/>
    <s v="Cheyenne"/>
    <x v="4"/>
    <n v="50"/>
    <n v="525"/>
    <n v="262500"/>
    <n v="78750"/>
    <n v="0.3"/>
    <x v="0"/>
  </r>
  <r>
    <x v="4"/>
    <n v="1185732"/>
    <x v="324"/>
    <x v="2"/>
    <s v="Wyoming"/>
    <s v="Cheyenne"/>
    <x v="5"/>
    <n v="55.000000000000007"/>
    <n v="700"/>
    <n v="385000.00000000006"/>
    <n v="96250.000000000015"/>
    <n v="0.25"/>
    <x v="0"/>
  </r>
  <r>
    <x v="4"/>
    <n v="1185732"/>
    <x v="356"/>
    <x v="2"/>
    <s v="Wyoming"/>
    <s v="Cheyenne"/>
    <x v="0"/>
    <n v="50"/>
    <n v="850"/>
    <n v="425000"/>
    <n v="212500"/>
    <n v="0.5"/>
    <x v="0"/>
  </r>
  <r>
    <x v="4"/>
    <n v="1185732"/>
    <x v="356"/>
    <x v="2"/>
    <s v="Wyoming"/>
    <s v="Cheyenne"/>
    <x v="1"/>
    <n v="45.000000000000007"/>
    <n v="625"/>
    <n v="281250.00000000006"/>
    <n v="84375.000000000015"/>
    <n v="0.3"/>
    <x v="0"/>
  </r>
  <r>
    <x v="4"/>
    <n v="1185732"/>
    <x v="356"/>
    <x v="2"/>
    <s v="Wyoming"/>
    <s v="Cheyenne"/>
    <x v="2"/>
    <n v="40"/>
    <n v="550"/>
    <n v="220000"/>
    <n v="77000"/>
    <n v="0.35"/>
    <x v="0"/>
  </r>
  <r>
    <x v="4"/>
    <n v="1185732"/>
    <x v="356"/>
    <x v="2"/>
    <s v="Wyoming"/>
    <s v="Cheyenne"/>
    <x v="3"/>
    <n v="40"/>
    <n v="525"/>
    <n v="210000"/>
    <n v="73500"/>
    <n v="0.35"/>
    <x v="0"/>
  </r>
  <r>
    <x v="4"/>
    <n v="1185732"/>
    <x v="356"/>
    <x v="2"/>
    <s v="Wyoming"/>
    <s v="Cheyenne"/>
    <x v="4"/>
    <n v="50"/>
    <n v="500"/>
    <n v="250000"/>
    <n v="75000"/>
    <n v="0.3"/>
    <x v="0"/>
  </r>
  <r>
    <x v="4"/>
    <n v="1185732"/>
    <x v="356"/>
    <x v="2"/>
    <s v="Wyoming"/>
    <s v="Cheyenne"/>
    <x v="5"/>
    <n v="55.000000000000007"/>
    <n v="675"/>
    <n v="371250.00000000006"/>
    <n v="92812.500000000015"/>
    <n v="0.25"/>
    <x v="0"/>
  </r>
  <r>
    <x v="4"/>
    <n v="1185732"/>
    <x v="386"/>
    <x v="2"/>
    <s v="Wyoming"/>
    <s v="Cheyenne"/>
    <x v="0"/>
    <n v="50"/>
    <n v="800"/>
    <n v="400000"/>
    <n v="200000"/>
    <n v="0.5"/>
    <x v="0"/>
  </r>
  <r>
    <x v="4"/>
    <n v="1185732"/>
    <x v="386"/>
    <x v="2"/>
    <s v="Wyoming"/>
    <s v="Cheyenne"/>
    <x v="1"/>
    <n v="45.000000000000007"/>
    <n v="600"/>
    <n v="270000.00000000006"/>
    <n v="81000.000000000015"/>
    <n v="0.3"/>
    <x v="0"/>
  </r>
  <r>
    <x v="4"/>
    <n v="1185732"/>
    <x v="386"/>
    <x v="2"/>
    <s v="Wyoming"/>
    <s v="Cheyenne"/>
    <x v="2"/>
    <n v="40"/>
    <n v="525"/>
    <n v="210000"/>
    <n v="73500"/>
    <n v="0.35"/>
    <x v="0"/>
  </r>
  <r>
    <x v="4"/>
    <n v="1185732"/>
    <x v="386"/>
    <x v="2"/>
    <s v="Wyoming"/>
    <s v="Cheyenne"/>
    <x v="3"/>
    <n v="40"/>
    <n v="500"/>
    <n v="200000"/>
    <n v="70000"/>
    <n v="0.35"/>
    <x v="0"/>
  </r>
  <r>
    <x v="4"/>
    <n v="1185732"/>
    <x v="386"/>
    <x v="2"/>
    <s v="Wyoming"/>
    <s v="Cheyenne"/>
    <x v="4"/>
    <n v="50"/>
    <n v="500"/>
    <n v="250000"/>
    <n v="75000"/>
    <n v="0.3"/>
    <x v="0"/>
  </r>
  <r>
    <x v="4"/>
    <n v="1185732"/>
    <x v="386"/>
    <x v="2"/>
    <s v="Wyoming"/>
    <s v="Cheyenne"/>
    <x v="5"/>
    <n v="55.000000000000007"/>
    <n v="600"/>
    <n v="330000.00000000006"/>
    <n v="82500.000000000015"/>
    <n v="0.25"/>
    <x v="0"/>
  </r>
  <r>
    <x v="4"/>
    <n v="1185732"/>
    <x v="418"/>
    <x v="2"/>
    <s v="Wyoming"/>
    <s v="Cheyenne"/>
    <x v="0"/>
    <n v="55.000000000000007"/>
    <n v="775"/>
    <n v="426250.00000000006"/>
    <n v="213125.00000000003"/>
    <n v="0.5"/>
    <x v="0"/>
  </r>
  <r>
    <x v="4"/>
    <n v="1185732"/>
    <x v="418"/>
    <x v="2"/>
    <s v="Wyoming"/>
    <s v="Cheyenne"/>
    <x v="1"/>
    <n v="45.000000000000007"/>
    <n v="600"/>
    <n v="270000.00000000006"/>
    <n v="81000.000000000015"/>
    <n v="0.3"/>
    <x v="0"/>
  </r>
  <r>
    <x v="4"/>
    <n v="1185732"/>
    <x v="418"/>
    <x v="2"/>
    <s v="Wyoming"/>
    <s v="Cheyenne"/>
    <x v="2"/>
    <n v="45.000000000000007"/>
    <n v="500"/>
    <n v="225000.00000000003"/>
    <n v="78750"/>
    <n v="0.35"/>
    <x v="0"/>
  </r>
  <r>
    <x v="4"/>
    <n v="1185732"/>
    <x v="418"/>
    <x v="2"/>
    <s v="Wyoming"/>
    <s v="Cheyenne"/>
    <x v="3"/>
    <n v="45.000000000000007"/>
    <n v="475"/>
    <n v="213750.00000000003"/>
    <n v="74812.5"/>
    <n v="0.35"/>
    <x v="0"/>
  </r>
  <r>
    <x v="4"/>
    <n v="1185732"/>
    <x v="418"/>
    <x v="2"/>
    <s v="Wyoming"/>
    <s v="Cheyenne"/>
    <x v="4"/>
    <n v="55.000000000000007"/>
    <n v="475"/>
    <n v="261250.00000000003"/>
    <n v="78375"/>
    <n v="0.3"/>
    <x v="0"/>
  </r>
  <r>
    <x v="4"/>
    <n v="1185732"/>
    <x v="418"/>
    <x v="2"/>
    <s v="Wyoming"/>
    <s v="Cheyenne"/>
    <x v="5"/>
    <n v="60"/>
    <n v="600"/>
    <n v="360000"/>
    <n v="90000"/>
    <n v="0.25"/>
    <x v="0"/>
  </r>
  <r>
    <x v="4"/>
    <n v="1185732"/>
    <x v="448"/>
    <x v="2"/>
    <s v="Wyoming"/>
    <s v="Cheyenne"/>
    <x v="0"/>
    <n v="55.000000000000007"/>
    <n v="750"/>
    <n v="412500.00000000006"/>
    <n v="206250.00000000003"/>
    <n v="0.5"/>
    <x v="0"/>
  </r>
  <r>
    <x v="4"/>
    <n v="1185732"/>
    <x v="448"/>
    <x v="2"/>
    <s v="Wyoming"/>
    <s v="Cheyenne"/>
    <x v="1"/>
    <n v="45.000000000000007"/>
    <n v="575"/>
    <n v="258750.00000000003"/>
    <n v="77625"/>
    <n v="0.3"/>
    <x v="0"/>
  </r>
  <r>
    <x v="4"/>
    <n v="1185732"/>
    <x v="448"/>
    <x v="2"/>
    <s v="Wyoming"/>
    <s v="Cheyenne"/>
    <x v="2"/>
    <n v="45.000000000000007"/>
    <n v="520"/>
    <n v="234000.00000000003"/>
    <n v="81900"/>
    <n v="0.35"/>
    <x v="0"/>
  </r>
  <r>
    <x v="4"/>
    <n v="1185732"/>
    <x v="448"/>
    <x v="2"/>
    <s v="Wyoming"/>
    <s v="Cheyenne"/>
    <x v="3"/>
    <n v="45.000000000000007"/>
    <n v="500"/>
    <n v="225000.00000000003"/>
    <n v="78750"/>
    <n v="0.35"/>
    <x v="0"/>
  </r>
  <r>
    <x v="4"/>
    <n v="1185732"/>
    <x v="448"/>
    <x v="2"/>
    <s v="Wyoming"/>
    <s v="Cheyenne"/>
    <x v="4"/>
    <n v="55.000000000000007"/>
    <n v="475"/>
    <n v="261250.00000000003"/>
    <n v="78375"/>
    <n v="0.3"/>
    <x v="0"/>
  </r>
  <r>
    <x v="4"/>
    <n v="1185732"/>
    <x v="448"/>
    <x v="2"/>
    <s v="Wyoming"/>
    <s v="Cheyenne"/>
    <x v="5"/>
    <n v="60"/>
    <n v="575"/>
    <n v="345000"/>
    <n v="86250"/>
    <n v="0.25"/>
    <x v="0"/>
  </r>
  <r>
    <x v="4"/>
    <n v="1185732"/>
    <x v="477"/>
    <x v="2"/>
    <s v="Wyoming"/>
    <s v="Cheyenne"/>
    <x v="0"/>
    <n v="55.000000000000007"/>
    <n v="800"/>
    <n v="440000.00000000006"/>
    <n v="220000.00000000003"/>
    <n v="0.5"/>
    <x v="0"/>
  </r>
  <r>
    <x v="4"/>
    <n v="1185732"/>
    <x v="477"/>
    <x v="2"/>
    <s v="Wyoming"/>
    <s v="Cheyenne"/>
    <x v="1"/>
    <n v="45.000000000000007"/>
    <n v="600"/>
    <n v="270000.00000000006"/>
    <n v="81000.000000000015"/>
    <n v="0.3"/>
    <x v="0"/>
  </r>
  <r>
    <x v="0"/>
    <n v="1185732"/>
    <x v="477"/>
    <x v="2"/>
    <s v="Wyoming"/>
    <s v="Cheyenne"/>
    <x v="2"/>
    <n v="45.000000000000007"/>
    <n v="550"/>
    <n v="247500.00000000003"/>
    <n v="86625"/>
    <n v="0.35"/>
    <x v="0"/>
  </r>
  <r>
    <x v="0"/>
    <n v="1185732"/>
    <x v="477"/>
    <x v="2"/>
    <s v="Wyoming"/>
    <s v="Cheyenne"/>
    <x v="3"/>
    <n v="45.000000000000007"/>
    <n v="500"/>
    <n v="225000.00000000003"/>
    <n v="78750"/>
    <n v="0.35"/>
    <x v="0"/>
  </r>
  <r>
    <x v="0"/>
    <n v="1185732"/>
    <x v="477"/>
    <x v="2"/>
    <s v="Wyoming"/>
    <s v="Cheyenne"/>
    <x v="4"/>
    <n v="55.000000000000007"/>
    <n v="500"/>
    <n v="275000.00000000006"/>
    <n v="82500.000000000015"/>
    <n v="0.3"/>
    <x v="0"/>
  </r>
  <r>
    <x v="0"/>
    <n v="1185732"/>
    <x v="477"/>
    <x v="2"/>
    <s v="Wyoming"/>
    <s v="Cheyenne"/>
    <x v="5"/>
    <n v="60"/>
    <n v="600"/>
    <n v="360000"/>
    <n v="90000"/>
    <n v="0.25"/>
    <x v="0"/>
  </r>
  <r>
    <x v="0"/>
    <n v="1128299"/>
    <x v="188"/>
    <x v="2"/>
    <s v="Wyoming"/>
    <s v="Cheyenne"/>
    <x v="0"/>
    <n v="30.000000000000004"/>
    <n v="350"/>
    <n v="105000.00000000001"/>
    <n v="36750"/>
    <n v="0.35"/>
    <x v="0"/>
  </r>
  <r>
    <x v="0"/>
    <n v="1128299"/>
    <x v="188"/>
    <x v="2"/>
    <s v="Wyoming"/>
    <s v="Cheyenne"/>
    <x v="1"/>
    <n v="40"/>
    <n v="350"/>
    <n v="140000"/>
    <n v="49000"/>
    <n v="0.35"/>
    <x v="0"/>
  </r>
  <r>
    <x v="0"/>
    <n v="1128299"/>
    <x v="188"/>
    <x v="2"/>
    <s v="Wyoming"/>
    <s v="Cheyenne"/>
    <x v="2"/>
    <n v="40"/>
    <n v="350"/>
    <n v="140000"/>
    <n v="49000"/>
    <n v="0.35"/>
    <x v="0"/>
  </r>
  <r>
    <x v="0"/>
    <n v="1128299"/>
    <x v="188"/>
    <x v="2"/>
    <s v="Wyoming"/>
    <s v="Cheyenne"/>
    <x v="3"/>
    <n v="40"/>
    <n v="200"/>
    <n v="80000"/>
    <n v="28000"/>
    <n v="0.35"/>
    <x v="0"/>
  </r>
  <r>
    <x v="0"/>
    <n v="1128299"/>
    <x v="188"/>
    <x v="2"/>
    <s v="Wyoming"/>
    <s v="Cheyenne"/>
    <x v="4"/>
    <n v="45.000000000000007"/>
    <n v="150"/>
    <n v="67500.000000000015"/>
    <n v="27000.000000000007"/>
    <n v="0.4"/>
    <x v="0"/>
  </r>
  <r>
    <x v="0"/>
    <n v="1128299"/>
    <x v="188"/>
    <x v="2"/>
    <s v="Wyoming"/>
    <s v="Cheyenne"/>
    <x v="5"/>
    <n v="40"/>
    <n v="400"/>
    <n v="160000"/>
    <n v="48000"/>
    <n v="0.3"/>
    <x v="0"/>
  </r>
  <r>
    <x v="0"/>
    <n v="1128299"/>
    <x v="698"/>
    <x v="2"/>
    <s v="Wyoming"/>
    <s v="Cheyenne"/>
    <x v="0"/>
    <n v="30.000000000000004"/>
    <n v="450"/>
    <n v="135000.00000000003"/>
    <n v="47250.000000000007"/>
    <n v="0.35"/>
    <x v="0"/>
  </r>
  <r>
    <x v="0"/>
    <n v="1128299"/>
    <x v="698"/>
    <x v="2"/>
    <s v="Wyoming"/>
    <s v="Cheyenne"/>
    <x v="1"/>
    <n v="40"/>
    <n v="350"/>
    <n v="140000"/>
    <n v="49000"/>
    <n v="0.35"/>
    <x v="0"/>
  </r>
  <r>
    <x v="0"/>
    <n v="1128299"/>
    <x v="698"/>
    <x v="2"/>
    <s v="Wyoming"/>
    <s v="Cheyenne"/>
    <x v="2"/>
    <n v="40"/>
    <n v="350"/>
    <n v="140000"/>
    <n v="49000"/>
    <n v="0.35"/>
    <x v="0"/>
  </r>
  <r>
    <x v="0"/>
    <n v="1128299"/>
    <x v="698"/>
    <x v="4"/>
    <s v="Virginia"/>
    <s v="Richmond"/>
    <x v="3"/>
    <n v="40"/>
    <n v="200"/>
    <n v="80000"/>
    <n v="28000"/>
    <n v="0.35"/>
    <x v="0"/>
  </r>
  <r>
    <x v="0"/>
    <n v="1128299"/>
    <x v="698"/>
    <x v="4"/>
    <s v="Virginia"/>
    <s v="Richmond"/>
    <x v="4"/>
    <n v="45.000000000000007"/>
    <n v="125"/>
    <n v="56250.000000000007"/>
    <n v="22500.000000000004"/>
    <n v="0.4"/>
    <x v="0"/>
  </r>
  <r>
    <x v="0"/>
    <n v="1128299"/>
    <x v="698"/>
    <x v="4"/>
    <s v="Virginia"/>
    <s v="Richmond"/>
    <x v="5"/>
    <n v="40"/>
    <n v="325"/>
    <n v="130000"/>
    <n v="39000"/>
    <n v="0.3"/>
    <x v="0"/>
  </r>
  <r>
    <x v="0"/>
    <n v="1128299"/>
    <x v="228"/>
    <x v="4"/>
    <s v="Virginia"/>
    <s v="Richmond"/>
    <x v="0"/>
    <n v="40"/>
    <n v="475"/>
    <n v="190000"/>
    <n v="66500"/>
    <n v="0.35"/>
    <x v="0"/>
  </r>
  <r>
    <x v="0"/>
    <n v="1128299"/>
    <x v="228"/>
    <x v="4"/>
    <s v="Virginia"/>
    <s v="Richmond"/>
    <x v="1"/>
    <n v="50"/>
    <n v="325"/>
    <n v="162500"/>
    <n v="56875"/>
    <n v="0.35"/>
    <x v="0"/>
  </r>
  <r>
    <x v="0"/>
    <n v="1128299"/>
    <x v="228"/>
    <x v="4"/>
    <s v="Virginia"/>
    <s v="Richmond"/>
    <x v="2"/>
    <n v="54.999999999999993"/>
    <n v="350"/>
    <n v="192499.99999999997"/>
    <n v="67374.999999999985"/>
    <n v="0.35"/>
    <x v="0"/>
  </r>
  <r>
    <x v="0"/>
    <n v="1128299"/>
    <x v="228"/>
    <x v="4"/>
    <s v="Virginia"/>
    <s v="Richmond"/>
    <x v="3"/>
    <n v="50"/>
    <n v="250"/>
    <n v="125000"/>
    <n v="43750"/>
    <n v="0.35"/>
    <x v="0"/>
  </r>
  <r>
    <x v="0"/>
    <n v="1128299"/>
    <x v="228"/>
    <x v="4"/>
    <s v="Virginia"/>
    <s v="Richmond"/>
    <x v="4"/>
    <n v="55.000000000000007"/>
    <n v="100"/>
    <n v="55000.000000000007"/>
    <n v="22000.000000000004"/>
    <n v="0.4"/>
    <x v="0"/>
  </r>
  <r>
    <x v="0"/>
    <n v="1128299"/>
    <x v="228"/>
    <x v="4"/>
    <s v="Virginia"/>
    <s v="Richmond"/>
    <x v="5"/>
    <n v="50"/>
    <n v="300"/>
    <n v="150000"/>
    <n v="45000"/>
    <n v="0.3"/>
    <x v="0"/>
  </r>
  <r>
    <x v="0"/>
    <n v="1128299"/>
    <x v="247"/>
    <x v="4"/>
    <s v="Virginia"/>
    <s v="Richmond"/>
    <x v="0"/>
    <n v="55.000000000000007"/>
    <n v="475"/>
    <n v="261250.00000000003"/>
    <n v="91437.5"/>
    <n v="0.35"/>
    <x v="0"/>
  </r>
  <r>
    <x v="0"/>
    <n v="1128299"/>
    <x v="247"/>
    <x v="4"/>
    <s v="Virginia"/>
    <s v="Richmond"/>
    <x v="1"/>
    <n v="60.000000000000007"/>
    <n v="275"/>
    <n v="165000.00000000003"/>
    <n v="57750.000000000007"/>
    <n v="0.35"/>
    <x v="0"/>
  </r>
  <r>
    <x v="0"/>
    <n v="1128299"/>
    <x v="247"/>
    <x v="4"/>
    <s v="Virginia"/>
    <s v="Richmond"/>
    <x v="2"/>
    <n v="60.000000000000007"/>
    <n v="325"/>
    <n v="195000.00000000003"/>
    <n v="68250"/>
    <n v="0.35"/>
    <x v="0"/>
  </r>
  <r>
    <x v="0"/>
    <n v="1128299"/>
    <x v="247"/>
    <x v="4"/>
    <s v="Virginia"/>
    <s v="Richmond"/>
    <x v="3"/>
    <n v="45.000000000000007"/>
    <n v="225"/>
    <n v="101250.00000000001"/>
    <n v="35437.5"/>
    <n v="0.35"/>
    <x v="0"/>
  </r>
  <r>
    <x v="0"/>
    <n v="1128299"/>
    <x v="247"/>
    <x v="4"/>
    <s v="Virginia"/>
    <s v="Richmond"/>
    <x v="4"/>
    <n v="50.000000000000014"/>
    <n v="125"/>
    <n v="62500.000000000015"/>
    <n v="25000.000000000007"/>
    <n v="0.4"/>
    <x v="0"/>
  </r>
  <r>
    <x v="0"/>
    <n v="1128299"/>
    <x v="247"/>
    <x v="4"/>
    <s v="Virginia"/>
    <s v="Richmond"/>
    <x v="5"/>
    <n v="65.000000000000014"/>
    <n v="300"/>
    <n v="195000.00000000003"/>
    <n v="58500.000000000007"/>
    <n v="0.3"/>
    <x v="0"/>
  </r>
  <r>
    <x v="0"/>
    <n v="1128299"/>
    <x v="278"/>
    <x v="4"/>
    <s v="Virginia"/>
    <s v="Richmond"/>
    <x v="0"/>
    <n v="50"/>
    <n v="500"/>
    <n v="250000"/>
    <n v="87500"/>
    <n v="0.35"/>
    <x v="0"/>
  </r>
  <r>
    <x v="0"/>
    <n v="1128299"/>
    <x v="278"/>
    <x v="4"/>
    <s v="Virginia"/>
    <s v="Richmond"/>
    <x v="1"/>
    <n v="55.000000000000007"/>
    <n v="350"/>
    <n v="192500.00000000003"/>
    <n v="67375"/>
    <n v="0.35"/>
    <x v="0"/>
  </r>
  <r>
    <x v="0"/>
    <n v="1128299"/>
    <x v="278"/>
    <x v="4"/>
    <s v="Virginia"/>
    <s v="Richmond"/>
    <x v="2"/>
    <n v="55.000000000000007"/>
    <n v="350"/>
    <n v="192500.00000000003"/>
    <n v="67375"/>
    <n v="0.35"/>
    <x v="0"/>
  </r>
  <r>
    <x v="0"/>
    <n v="1128299"/>
    <x v="278"/>
    <x v="4"/>
    <s v="Virginia"/>
    <s v="Richmond"/>
    <x v="3"/>
    <n v="50"/>
    <n v="275"/>
    <n v="137500"/>
    <n v="48125"/>
    <n v="0.35"/>
    <x v="0"/>
  </r>
  <r>
    <x v="0"/>
    <n v="1128299"/>
    <x v="278"/>
    <x v="4"/>
    <s v="Virginia"/>
    <s v="Richmond"/>
    <x v="4"/>
    <n v="44.999999999999993"/>
    <n v="175"/>
    <n v="78749.999999999985"/>
    <n v="31499.999999999996"/>
    <n v="0.4"/>
    <x v="0"/>
  </r>
  <r>
    <x v="0"/>
    <n v="1128299"/>
    <x v="278"/>
    <x v="4"/>
    <s v="Virginia"/>
    <s v="Richmond"/>
    <x v="5"/>
    <n v="60"/>
    <n v="525"/>
    <n v="315000"/>
    <n v="94500"/>
    <n v="0.3"/>
    <x v="0"/>
  </r>
  <r>
    <x v="0"/>
    <n v="1128299"/>
    <x v="308"/>
    <x v="4"/>
    <s v="Virginia"/>
    <s v="Richmond"/>
    <x v="0"/>
    <n v="54.999999999999993"/>
    <n v="775"/>
    <n v="426249.99999999994"/>
    <n v="149187.49999999997"/>
    <n v="0.35"/>
    <x v="0"/>
  </r>
  <r>
    <x v="0"/>
    <n v="1128299"/>
    <x v="308"/>
    <x v="4"/>
    <s v="Virginia"/>
    <s v="Richmond"/>
    <x v="1"/>
    <n v="64.999999999999986"/>
    <n v="650"/>
    <n v="422499.99999999988"/>
    <n v="147874.99999999994"/>
    <n v="0.35"/>
    <x v="0"/>
  </r>
  <r>
    <x v="0"/>
    <n v="1128299"/>
    <x v="308"/>
    <x v="4"/>
    <s v="Virginia"/>
    <s v="Richmond"/>
    <x v="2"/>
    <n v="80"/>
    <n v="650"/>
    <n v="520000"/>
    <n v="182000"/>
    <n v="0.35"/>
    <x v="0"/>
  </r>
  <r>
    <x v="0"/>
    <n v="1128299"/>
    <x v="308"/>
    <x v="4"/>
    <s v="Virginia"/>
    <s v="Richmond"/>
    <x v="3"/>
    <n v="80"/>
    <n v="525"/>
    <n v="420000"/>
    <n v="147000"/>
    <n v="0.35"/>
    <x v="0"/>
  </r>
  <r>
    <x v="0"/>
    <n v="1128299"/>
    <x v="308"/>
    <x v="4"/>
    <s v="Virginia"/>
    <s v="Richmond"/>
    <x v="4"/>
    <n v="90"/>
    <n v="400"/>
    <n v="360000"/>
    <n v="144000"/>
    <n v="0.4"/>
    <x v="0"/>
  </r>
  <r>
    <x v="0"/>
    <n v="1128299"/>
    <x v="308"/>
    <x v="4"/>
    <s v="Virginia"/>
    <s v="Richmond"/>
    <x v="5"/>
    <n v="105"/>
    <n v="700"/>
    <n v="735000"/>
    <n v="220500"/>
    <n v="0.3"/>
    <x v="0"/>
  </r>
  <r>
    <x v="0"/>
    <n v="1128299"/>
    <x v="337"/>
    <x v="4"/>
    <s v="Virginia"/>
    <s v="Richmond"/>
    <x v="0"/>
    <n v="85"/>
    <n v="850"/>
    <n v="722500"/>
    <n v="252874.99999999997"/>
    <n v="0.35"/>
    <x v="0"/>
  </r>
  <r>
    <x v="0"/>
    <n v="1128299"/>
    <x v="337"/>
    <x v="4"/>
    <s v="Virginia"/>
    <s v="Richmond"/>
    <x v="1"/>
    <n v="90"/>
    <n v="700"/>
    <n v="630000"/>
    <n v="220500"/>
    <n v="0.35"/>
    <x v="0"/>
  </r>
  <r>
    <x v="0"/>
    <n v="1128299"/>
    <x v="337"/>
    <x v="4"/>
    <s v="Virginia"/>
    <s v="Richmond"/>
    <x v="2"/>
    <n v="90"/>
    <n v="650"/>
    <n v="585000"/>
    <n v="204750"/>
    <n v="0.35"/>
    <x v="0"/>
  </r>
  <r>
    <x v="0"/>
    <n v="1128299"/>
    <x v="337"/>
    <x v="4"/>
    <s v="Virginia"/>
    <s v="Richmond"/>
    <x v="3"/>
    <n v="85"/>
    <n v="550"/>
    <n v="467500"/>
    <n v="163625"/>
    <n v="0.35"/>
    <x v="0"/>
  </r>
  <r>
    <x v="0"/>
    <n v="1128299"/>
    <x v="337"/>
    <x v="4"/>
    <s v="Virginia"/>
    <s v="Richmond"/>
    <x v="4"/>
    <n v="90"/>
    <n v="600"/>
    <n v="540000"/>
    <n v="216000"/>
    <n v="0.4"/>
    <x v="0"/>
  </r>
  <r>
    <x v="0"/>
    <n v="1128299"/>
    <x v="337"/>
    <x v="4"/>
    <s v="Virginia"/>
    <s v="Richmond"/>
    <x v="5"/>
    <n v="105"/>
    <n v="600"/>
    <n v="630000"/>
    <n v="189000"/>
    <n v="0.3"/>
    <x v="0"/>
  </r>
  <r>
    <x v="0"/>
    <n v="1128299"/>
    <x v="369"/>
    <x v="4"/>
    <s v="Virginia"/>
    <s v="Richmond"/>
    <x v="0"/>
    <n v="90"/>
    <n v="800"/>
    <n v="720000"/>
    <n v="251999.99999999997"/>
    <n v="0.35"/>
    <x v="0"/>
  </r>
  <r>
    <x v="0"/>
    <n v="1128299"/>
    <x v="369"/>
    <x v="4"/>
    <s v="Virginia"/>
    <s v="Richmond"/>
    <x v="1"/>
    <n v="80"/>
    <n v="775"/>
    <n v="620000"/>
    <n v="217000"/>
    <n v="0.35"/>
    <x v="0"/>
  </r>
  <r>
    <x v="0"/>
    <n v="1128299"/>
    <x v="369"/>
    <x v="4"/>
    <s v="Virginia"/>
    <s v="Richmond"/>
    <x v="2"/>
    <n v="70"/>
    <n v="650"/>
    <n v="455000"/>
    <n v="159250"/>
    <n v="0.35"/>
    <x v="0"/>
  </r>
  <r>
    <x v="0"/>
    <n v="1128299"/>
    <x v="369"/>
    <x v="4"/>
    <s v="Virginia"/>
    <s v="Richmond"/>
    <x v="3"/>
    <n v="70"/>
    <n v="425"/>
    <n v="297500"/>
    <n v="104125"/>
    <n v="0.35"/>
    <x v="0"/>
  </r>
  <r>
    <x v="0"/>
    <n v="1128299"/>
    <x v="369"/>
    <x v="4"/>
    <s v="Virginia"/>
    <s v="Richmond"/>
    <x v="4"/>
    <n v="70"/>
    <n v="425"/>
    <n v="297500"/>
    <n v="119000"/>
    <n v="0.4"/>
    <x v="0"/>
  </r>
  <r>
    <x v="0"/>
    <n v="1128299"/>
    <x v="369"/>
    <x v="4"/>
    <s v="Virginia"/>
    <s v="Richmond"/>
    <x v="5"/>
    <n v="75"/>
    <n v="250"/>
    <n v="187500"/>
    <n v="56250"/>
    <n v="0.3"/>
    <x v="0"/>
  </r>
  <r>
    <x v="0"/>
    <n v="1128299"/>
    <x v="401"/>
    <x v="4"/>
    <s v="Virginia"/>
    <s v="Richmond"/>
    <x v="0"/>
    <n v="50.000000000000014"/>
    <n v="450"/>
    <n v="225000.00000000006"/>
    <n v="78750.000000000015"/>
    <n v="0.35"/>
    <x v="0"/>
  </r>
  <r>
    <x v="0"/>
    <n v="1128299"/>
    <x v="401"/>
    <x v="4"/>
    <s v="Virginia"/>
    <s v="Richmond"/>
    <x v="1"/>
    <n v="55.000000000000014"/>
    <n v="450"/>
    <n v="247500.00000000006"/>
    <n v="86625.000000000015"/>
    <n v="0.35"/>
    <x v="0"/>
  </r>
  <r>
    <x v="0"/>
    <n v="1128299"/>
    <x v="401"/>
    <x v="4"/>
    <s v="Virginia"/>
    <s v="Richmond"/>
    <x v="2"/>
    <n v="50.000000000000014"/>
    <n v="250"/>
    <n v="125000.00000000003"/>
    <n v="43750.000000000007"/>
    <n v="0.35"/>
    <x v="0"/>
  </r>
  <r>
    <x v="0"/>
    <n v="1128299"/>
    <x v="401"/>
    <x v="4"/>
    <s v="Virginia"/>
    <s v="Richmond"/>
    <x v="3"/>
    <n v="50.000000000000014"/>
    <n v="200"/>
    <n v="100000.00000000003"/>
    <n v="35000.000000000007"/>
    <n v="0.35"/>
    <x v="0"/>
  </r>
  <r>
    <x v="0"/>
    <n v="1128299"/>
    <x v="401"/>
    <x v="4"/>
    <s v="Virginia"/>
    <s v="Richmond"/>
    <x v="4"/>
    <n v="60.000000000000007"/>
    <n v="225"/>
    <n v="135000.00000000003"/>
    <n v="54000.000000000015"/>
    <n v="0.4"/>
    <x v="0"/>
  </r>
  <r>
    <x v="0"/>
    <n v="1128299"/>
    <x v="401"/>
    <x v="4"/>
    <s v="Virginia"/>
    <s v="Richmond"/>
    <x v="5"/>
    <n v="44.999999999999993"/>
    <n v="250"/>
    <n v="112499.99999999999"/>
    <n v="33749.999999999993"/>
    <n v="0.3"/>
    <x v="0"/>
  </r>
  <r>
    <x v="0"/>
    <n v="1128299"/>
    <x v="430"/>
    <x v="4"/>
    <s v="Virginia"/>
    <s v="Richmond"/>
    <x v="0"/>
    <n v="40"/>
    <n v="350"/>
    <n v="140000"/>
    <n v="49000"/>
    <n v="0.35"/>
    <x v="0"/>
  </r>
  <r>
    <x v="0"/>
    <n v="1128299"/>
    <x v="430"/>
    <x v="4"/>
    <s v="Virginia"/>
    <s v="Richmond"/>
    <x v="1"/>
    <n v="55.000000000000014"/>
    <n v="525"/>
    <n v="288750.00000000006"/>
    <n v="101062.50000000001"/>
    <n v="0.35"/>
    <x v="0"/>
  </r>
  <r>
    <x v="0"/>
    <n v="1128299"/>
    <x v="430"/>
    <x v="4"/>
    <s v="Virginia"/>
    <s v="Richmond"/>
    <x v="2"/>
    <n v="50.000000000000014"/>
    <n v="350"/>
    <n v="175000.00000000006"/>
    <n v="61250.000000000015"/>
    <n v="0.35"/>
    <x v="0"/>
  </r>
  <r>
    <x v="0"/>
    <n v="1128299"/>
    <x v="430"/>
    <x v="4"/>
    <s v="Virginia"/>
    <s v="Richmond"/>
    <x v="3"/>
    <n v="45.000000000000007"/>
    <n v="325"/>
    <n v="146250.00000000003"/>
    <n v="51187.500000000007"/>
    <n v="0.35"/>
    <x v="0"/>
  </r>
  <r>
    <x v="0"/>
    <n v="1128299"/>
    <x v="430"/>
    <x v="4"/>
    <s v="Virginia"/>
    <s v="Richmond"/>
    <x v="4"/>
    <n v="55.000000000000007"/>
    <n v="300"/>
    <n v="165000.00000000003"/>
    <n v="66000.000000000015"/>
    <n v="0.4"/>
    <x v="0"/>
  </r>
  <r>
    <x v="0"/>
    <n v="1128299"/>
    <x v="430"/>
    <x v="4"/>
    <s v="Virginia"/>
    <s v="Richmond"/>
    <x v="5"/>
    <n v="60.000000000000007"/>
    <n v="350"/>
    <n v="210000.00000000003"/>
    <n v="63000.000000000007"/>
    <n v="0.3"/>
    <x v="0"/>
  </r>
  <r>
    <x v="0"/>
    <n v="1128299"/>
    <x v="461"/>
    <x v="4"/>
    <s v="Virginia"/>
    <s v="Richmond"/>
    <x v="0"/>
    <n v="45.000000000000007"/>
    <n v="575"/>
    <n v="258750.00000000003"/>
    <n v="90562.5"/>
    <n v="0.35"/>
    <x v="0"/>
  </r>
  <r>
    <x v="0"/>
    <n v="1128299"/>
    <x v="461"/>
    <x v="4"/>
    <s v="Virginia"/>
    <s v="Richmond"/>
    <x v="1"/>
    <n v="50.000000000000014"/>
    <n v="650"/>
    <n v="325000.00000000012"/>
    <n v="113750.00000000003"/>
    <n v="0.35"/>
    <x v="0"/>
  </r>
  <r>
    <x v="0"/>
    <n v="1128299"/>
    <x v="461"/>
    <x v="4"/>
    <s v="Virginia"/>
    <s v="Richmond"/>
    <x v="2"/>
    <n v="45.000000000000007"/>
    <n v="475"/>
    <n v="213750.00000000003"/>
    <n v="74812.5"/>
    <n v="0.35"/>
    <x v="0"/>
  </r>
  <r>
    <x v="0"/>
    <n v="1128299"/>
    <x v="461"/>
    <x v="4"/>
    <s v="Virginia"/>
    <s v="Richmond"/>
    <x v="3"/>
    <n v="55.000000000000014"/>
    <n v="450"/>
    <n v="247500.00000000006"/>
    <n v="86625.000000000015"/>
    <n v="0.35"/>
    <x v="0"/>
  </r>
  <r>
    <x v="0"/>
    <n v="1128299"/>
    <x v="461"/>
    <x v="4"/>
    <s v="Virginia"/>
    <s v="Richmond"/>
    <x v="4"/>
    <n v="75.000000000000014"/>
    <n v="425"/>
    <n v="318750.00000000006"/>
    <n v="127500.00000000003"/>
    <n v="0.4"/>
    <x v="0"/>
  </r>
  <r>
    <x v="0"/>
    <n v="1128299"/>
    <x v="461"/>
    <x v="4"/>
    <s v="Virginia"/>
    <s v="Richmond"/>
    <x v="5"/>
    <n v="80.000000000000014"/>
    <n v="550"/>
    <n v="440000.00000000006"/>
    <n v="132000"/>
    <n v="0.3"/>
    <x v="0"/>
  </r>
  <r>
    <x v="0"/>
    <n v="1128299"/>
    <x v="490"/>
    <x v="4"/>
    <s v="Virginia"/>
    <s v="Richmond"/>
    <x v="0"/>
    <n v="65.000000000000014"/>
    <n v="750"/>
    <n v="487500.00000000012"/>
    <n v="170625.00000000003"/>
    <n v="0.35"/>
    <x v="0"/>
  </r>
  <r>
    <x v="0"/>
    <n v="1128299"/>
    <x v="490"/>
    <x v="4"/>
    <s v="Virginia"/>
    <s v="Richmond"/>
    <x v="1"/>
    <n v="75.000000000000028"/>
    <n v="750"/>
    <n v="562500.00000000023"/>
    <n v="196875.00000000006"/>
    <n v="0.35"/>
    <x v="0"/>
  </r>
  <r>
    <x v="2"/>
    <n v="1128299"/>
    <x v="490"/>
    <x v="4"/>
    <s v="Virginia"/>
    <s v="Richmond"/>
    <x v="2"/>
    <n v="70.000000000000014"/>
    <n v="550"/>
    <n v="385000.00000000006"/>
    <n v="134750"/>
    <n v="0.35"/>
    <x v="0"/>
  </r>
  <r>
    <x v="2"/>
    <n v="1128299"/>
    <x v="490"/>
    <x v="4"/>
    <s v="Virginia"/>
    <s v="Richmond"/>
    <x v="3"/>
    <n v="70.000000000000014"/>
    <n v="550"/>
    <n v="385000.00000000006"/>
    <n v="134750"/>
    <n v="0.35"/>
    <x v="0"/>
  </r>
  <r>
    <x v="2"/>
    <n v="1128299"/>
    <x v="490"/>
    <x v="4"/>
    <s v="Virginia"/>
    <s v="Richmond"/>
    <x v="4"/>
    <n v="80.000000000000014"/>
    <n v="475"/>
    <n v="380000.00000000006"/>
    <n v="152000.00000000003"/>
    <n v="0.4"/>
    <x v="0"/>
  </r>
  <r>
    <x v="2"/>
    <n v="1128299"/>
    <x v="490"/>
    <x v="4"/>
    <s v="Virginia"/>
    <s v="Richmond"/>
    <x v="5"/>
    <n v="85.000000000000014"/>
    <n v="575"/>
    <n v="488750.00000000006"/>
    <n v="146625"/>
    <n v="0.3"/>
    <x v="0"/>
  </r>
  <r>
    <x v="2"/>
    <n v="1185732"/>
    <x v="183"/>
    <x v="4"/>
    <s v="Virginia"/>
    <s v="Richmond"/>
    <x v="0"/>
    <n v="35"/>
    <n v="750"/>
    <n v="262500"/>
    <n v="131250"/>
    <n v="0.5"/>
    <x v="0"/>
  </r>
  <r>
    <x v="2"/>
    <n v="1185732"/>
    <x v="183"/>
    <x v="4"/>
    <s v="Virginia"/>
    <s v="Richmond"/>
    <x v="1"/>
    <n v="35"/>
    <n v="550"/>
    <n v="192500"/>
    <n v="77000"/>
    <n v="0.39999999999999997"/>
    <x v="0"/>
  </r>
  <r>
    <x v="2"/>
    <n v="1185732"/>
    <x v="183"/>
    <x v="4"/>
    <s v="Virginia"/>
    <s v="Richmond"/>
    <x v="2"/>
    <n v="25"/>
    <n v="550"/>
    <n v="137500"/>
    <n v="41250"/>
    <n v="0.3"/>
    <x v="0"/>
  </r>
  <r>
    <x v="2"/>
    <n v="1185732"/>
    <x v="183"/>
    <x v="4"/>
    <s v="Virginia"/>
    <s v="Richmond"/>
    <x v="3"/>
    <n v="29.999999999999993"/>
    <n v="400"/>
    <n v="119999.99999999997"/>
    <n v="41999.999999999985"/>
    <n v="0.35"/>
    <x v="0"/>
  </r>
  <r>
    <x v="2"/>
    <n v="1185732"/>
    <x v="183"/>
    <x v="4"/>
    <s v="Virginia"/>
    <s v="Richmond"/>
    <x v="4"/>
    <n v="45.000000000000007"/>
    <n v="450"/>
    <n v="202500.00000000003"/>
    <n v="81000"/>
    <n v="0.39999999999999997"/>
    <x v="0"/>
  </r>
  <r>
    <x v="2"/>
    <n v="1185732"/>
    <x v="183"/>
    <x v="4"/>
    <s v="Virginia"/>
    <s v="Richmond"/>
    <x v="5"/>
    <n v="35"/>
    <n v="550"/>
    <n v="192500"/>
    <n v="105875.00000000001"/>
    <n v="0.55000000000000004"/>
    <x v="0"/>
  </r>
  <r>
    <x v="2"/>
    <n v="1185732"/>
    <x v="212"/>
    <x v="4"/>
    <s v="Virginia"/>
    <s v="Richmond"/>
    <x v="0"/>
    <n v="35"/>
    <n v="800"/>
    <n v="280000"/>
    <n v="140000"/>
    <n v="0.5"/>
    <x v="0"/>
  </r>
  <r>
    <x v="2"/>
    <n v="1185732"/>
    <x v="212"/>
    <x v="4"/>
    <s v="Virginia"/>
    <s v="Richmond"/>
    <x v="1"/>
    <n v="35"/>
    <n v="450"/>
    <n v="157500"/>
    <n v="62999.999999999993"/>
    <n v="0.39999999999999997"/>
    <x v="0"/>
  </r>
  <r>
    <x v="2"/>
    <n v="1185732"/>
    <x v="212"/>
    <x v="4"/>
    <s v="Virginia"/>
    <s v="Richmond"/>
    <x v="2"/>
    <n v="25"/>
    <n v="500"/>
    <n v="125000"/>
    <n v="37500"/>
    <n v="0.3"/>
    <x v="0"/>
  </r>
  <r>
    <x v="2"/>
    <n v="1185732"/>
    <x v="212"/>
    <x v="3"/>
    <s v="Michigan"/>
    <s v="Detroit"/>
    <x v="3"/>
    <n v="29.999999999999993"/>
    <n v="375"/>
    <n v="112499.99999999997"/>
    <n v="39374.999999999985"/>
    <n v="0.35"/>
    <x v="0"/>
  </r>
  <r>
    <x v="2"/>
    <n v="1185732"/>
    <x v="212"/>
    <x v="3"/>
    <s v="Michigan"/>
    <s v="Detroit"/>
    <x v="4"/>
    <n v="45.000000000000007"/>
    <n v="450"/>
    <n v="202500.00000000003"/>
    <n v="81000"/>
    <n v="0.39999999999999997"/>
    <x v="0"/>
  </r>
  <r>
    <x v="2"/>
    <n v="1185732"/>
    <x v="212"/>
    <x v="3"/>
    <s v="Michigan"/>
    <s v="Detroit"/>
    <x v="5"/>
    <n v="35"/>
    <n v="550"/>
    <n v="192500"/>
    <n v="105875.00000000001"/>
    <n v="0.55000000000000004"/>
    <x v="0"/>
  </r>
  <r>
    <x v="2"/>
    <n v="1185732"/>
    <x v="220"/>
    <x v="3"/>
    <s v="Michigan"/>
    <s v="Detroit"/>
    <x v="0"/>
    <n v="35"/>
    <n v="770"/>
    <n v="269500"/>
    <n v="134750"/>
    <n v="0.5"/>
    <x v="0"/>
  </r>
  <r>
    <x v="2"/>
    <n v="1185732"/>
    <x v="220"/>
    <x v="3"/>
    <s v="Michigan"/>
    <s v="Detroit"/>
    <x v="1"/>
    <n v="35"/>
    <n v="450"/>
    <n v="157500"/>
    <n v="62999.999999999993"/>
    <n v="0.39999999999999997"/>
    <x v="0"/>
  </r>
  <r>
    <x v="2"/>
    <n v="1185732"/>
    <x v="220"/>
    <x v="3"/>
    <s v="Michigan"/>
    <s v="Detroit"/>
    <x v="2"/>
    <n v="25"/>
    <n v="475"/>
    <n v="118750"/>
    <n v="35625"/>
    <n v="0.3"/>
    <x v="0"/>
  </r>
  <r>
    <x v="2"/>
    <n v="1185732"/>
    <x v="220"/>
    <x v="3"/>
    <s v="Michigan"/>
    <s v="Detroit"/>
    <x v="3"/>
    <n v="29.999999999999993"/>
    <n v="325"/>
    <n v="97499.999999999971"/>
    <n v="34124.999999999985"/>
    <n v="0.35"/>
    <x v="0"/>
  </r>
  <r>
    <x v="2"/>
    <n v="1185732"/>
    <x v="220"/>
    <x v="3"/>
    <s v="Michigan"/>
    <s v="Detroit"/>
    <x v="4"/>
    <n v="45.000000000000007"/>
    <n v="375"/>
    <n v="168750.00000000003"/>
    <n v="67500"/>
    <n v="0.39999999999999997"/>
    <x v="0"/>
  </r>
  <r>
    <x v="2"/>
    <n v="1185732"/>
    <x v="220"/>
    <x v="3"/>
    <s v="Michigan"/>
    <s v="Detroit"/>
    <x v="5"/>
    <n v="35"/>
    <n v="475"/>
    <n v="166250"/>
    <n v="91437.500000000015"/>
    <n v="0.55000000000000004"/>
    <x v="0"/>
  </r>
  <r>
    <x v="2"/>
    <n v="1185732"/>
    <x v="239"/>
    <x v="3"/>
    <s v="Michigan"/>
    <s v="Detroit"/>
    <x v="0"/>
    <n v="35"/>
    <n v="725"/>
    <n v="253750"/>
    <n v="126875"/>
    <n v="0.5"/>
    <x v="0"/>
  </r>
  <r>
    <x v="2"/>
    <n v="1185732"/>
    <x v="239"/>
    <x v="3"/>
    <s v="Michigan"/>
    <s v="Detroit"/>
    <x v="1"/>
    <n v="40"/>
    <n v="425"/>
    <n v="170000"/>
    <n v="68000"/>
    <n v="0.39999999999999997"/>
    <x v="0"/>
  </r>
  <r>
    <x v="2"/>
    <n v="1185732"/>
    <x v="239"/>
    <x v="3"/>
    <s v="Michigan"/>
    <s v="Detroit"/>
    <x v="2"/>
    <n v="30.000000000000004"/>
    <n v="450"/>
    <n v="135000.00000000003"/>
    <n v="40500.000000000007"/>
    <n v="0.3"/>
    <x v="0"/>
  </r>
  <r>
    <x v="2"/>
    <n v="1185732"/>
    <x v="239"/>
    <x v="3"/>
    <s v="Michigan"/>
    <s v="Detroit"/>
    <x v="3"/>
    <n v="35"/>
    <n v="375"/>
    <n v="131250"/>
    <n v="45937.5"/>
    <n v="0.35"/>
    <x v="0"/>
  </r>
  <r>
    <x v="2"/>
    <n v="1185732"/>
    <x v="239"/>
    <x v="3"/>
    <s v="Michigan"/>
    <s v="Detroit"/>
    <x v="4"/>
    <n v="50"/>
    <n v="400"/>
    <n v="200000"/>
    <n v="80000"/>
    <n v="0.39999999999999997"/>
    <x v="0"/>
  </r>
  <r>
    <x v="2"/>
    <n v="1185732"/>
    <x v="239"/>
    <x v="3"/>
    <s v="Michigan"/>
    <s v="Detroit"/>
    <x v="5"/>
    <n v="40"/>
    <n v="525"/>
    <n v="210000"/>
    <n v="115500.00000000001"/>
    <n v="0.55000000000000004"/>
    <x v="0"/>
  </r>
  <r>
    <x v="2"/>
    <n v="1185732"/>
    <x v="268"/>
    <x v="3"/>
    <s v="Michigan"/>
    <s v="Detroit"/>
    <x v="0"/>
    <n v="50"/>
    <n v="795"/>
    <n v="397500"/>
    <n v="198750"/>
    <n v="0.5"/>
    <x v="0"/>
  </r>
  <r>
    <x v="2"/>
    <n v="1185732"/>
    <x v="268"/>
    <x v="3"/>
    <s v="Michigan"/>
    <s v="Detroit"/>
    <x v="1"/>
    <n v="50"/>
    <n v="500"/>
    <n v="250000"/>
    <n v="99999.999999999985"/>
    <n v="0.39999999999999997"/>
    <x v="0"/>
  </r>
  <r>
    <x v="2"/>
    <n v="1185732"/>
    <x v="268"/>
    <x v="3"/>
    <s v="Michigan"/>
    <s v="Detroit"/>
    <x v="2"/>
    <n v="45"/>
    <n v="475"/>
    <n v="213750"/>
    <n v="64125"/>
    <n v="0.3"/>
    <x v="0"/>
  </r>
  <r>
    <x v="2"/>
    <n v="1185732"/>
    <x v="268"/>
    <x v="3"/>
    <s v="Michigan"/>
    <s v="Detroit"/>
    <x v="3"/>
    <n v="45"/>
    <n v="450"/>
    <n v="202500"/>
    <n v="70875"/>
    <n v="0.35"/>
    <x v="0"/>
  </r>
  <r>
    <x v="2"/>
    <n v="1185732"/>
    <x v="268"/>
    <x v="3"/>
    <s v="Michigan"/>
    <s v="Detroit"/>
    <x v="4"/>
    <n v="54.999999999999993"/>
    <n v="475"/>
    <n v="261249.99999999997"/>
    <n v="104499.99999999999"/>
    <n v="0.39999999999999997"/>
    <x v="0"/>
  </r>
  <r>
    <x v="2"/>
    <n v="1185732"/>
    <x v="268"/>
    <x v="3"/>
    <s v="Michigan"/>
    <s v="Detroit"/>
    <x v="5"/>
    <n v="60"/>
    <n v="575"/>
    <n v="345000"/>
    <n v="189750.00000000003"/>
    <n v="0.55000000000000004"/>
    <x v="0"/>
  </r>
  <r>
    <x v="2"/>
    <n v="1185732"/>
    <x v="301"/>
    <x v="3"/>
    <s v="Michigan"/>
    <s v="Detroit"/>
    <x v="0"/>
    <n v="54.999999999999993"/>
    <n v="825"/>
    <n v="453749.99999999994"/>
    <n v="226874.99999999997"/>
    <n v="0.5"/>
    <x v="0"/>
  </r>
  <r>
    <x v="2"/>
    <n v="1185732"/>
    <x v="301"/>
    <x v="3"/>
    <s v="Michigan"/>
    <s v="Detroit"/>
    <x v="1"/>
    <n v="50"/>
    <n v="575"/>
    <n v="287500"/>
    <n v="114999.99999999999"/>
    <n v="0.39999999999999997"/>
    <x v="0"/>
  </r>
  <r>
    <x v="2"/>
    <n v="1185732"/>
    <x v="301"/>
    <x v="3"/>
    <s v="Michigan"/>
    <s v="Detroit"/>
    <x v="2"/>
    <n v="45"/>
    <n v="550"/>
    <n v="247500"/>
    <n v="74250"/>
    <n v="0.3"/>
    <x v="0"/>
  </r>
  <r>
    <x v="2"/>
    <n v="1185732"/>
    <x v="301"/>
    <x v="3"/>
    <s v="Michigan"/>
    <s v="Detroit"/>
    <x v="3"/>
    <n v="45"/>
    <n v="525"/>
    <n v="236250"/>
    <n v="82687.5"/>
    <n v="0.35"/>
    <x v="0"/>
  </r>
  <r>
    <x v="2"/>
    <n v="1185732"/>
    <x v="301"/>
    <x v="3"/>
    <s v="Michigan"/>
    <s v="Detroit"/>
    <x v="4"/>
    <n v="60"/>
    <n v="525"/>
    <n v="315000"/>
    <n v="125999.99999999999"/>
    <n v="0.39999999999999997"/>
    <x v="0"/>
  </r>
  <r>
    <x v="2"/>
    <n v="1185732"/>
    <x v="301"/>
    <x v="3"/>
    <s v="Michigan"/>
    <s v="Detroit"/>
    <x v="5"/>
    <n v="65"/>
    <n v="675"/>
    <n v="438750"/>
    <n v="241312.50000000003"/>
    <n v="0.55000000000000004"/>
    <x v="0"/>
  </r>
  <r>
    <x v="2"/>
    <n v="1185732"/>
    <x v="329"/>
    <x v="3"/>
    <s v="Michigan"/>
    <s v="Detroit"/>
    <x v="0"/>
    <n v="60"/>
    <n v="900"/>
    <n v="540000"/>
    <n v="270000"/>
    <n v="0.5"/>
    <x v="0"/>
  </r>
  <r>
    <x v="2"/>
    <n v="1185732"/>
    <x v="329"/>
    <x v="3"/>
    <s v="Michigan"/>
    <s v="Detroit"/>
    <x v="1"/>
    <n v="55.000000000000007"/>
    <n v="650"/>
    <n v="357500.00000000006"/>
    <n v="143000"/>
    <n v="0.39999999999999997"/>
    <x v="0"/>
  </r>
  <r>
    <x v="2"/>
    <n v="1185732"/>
    <x v="329"/>
    <x v="3"/>
    <s v="Michigan"/>
    <s v="Detroit"/>
    <x v="2"/>
    <n v="50"/>
    <n v="575"/>
    <n v="287500"/>
    <n v="86250"/>
    <n v="0.3"/>
    <x v="0"/>
  </r>
  <r>
    <x v="2"/>
    <n v="1185732"/>
    <x v="329"/>
    <x v="3"/>
    <s v="Michigan"/>
    <s v="Detroit"/>
    <x v="3"/>
    <n v="50"/>
    <n v="525"/>
    <n v="262500"/>
    <n v="91875"/>
    <n v="0.35"/>
    <x v="0"/>
  </r>
  <r>
    <x v="2"/>
    <n v="1185732"/>
    <x v="329"/>
    <x v="3"/>
    <s v="Michigan"/>
    <s v="Detroit"/>
    <x v="4"/>
    <n v="60"/>
    <n v="550"/>
    <n v="330000"/>
    <n v="132000"/>
    <n v="0.39999999999999997"/>
    <x v="0"/>
  </r>
  <r>
    <x v="2"/>
    <n v="1185732"/>
    <x v="329"/>
    <x v="3"/>
    <s v="Michigan"/>
    <s v="Detroit"/>
    <x v="5"/>
    <n v="65"/>
    <n v="725"/>
    <n v="471250"/>
    <n v="259187.50000000003"/>
    <n v="0.55000000000000004"/>
    <x v="0"/>
  </r>
  <r>
    <x v="2"/>
    <n v="1185732"/>
    <x v="361"/>
    <x v="3"/>
    <s v="Michigan"/>
    <s v="Detroit"/>
    <x v="0"/>
    <n v="60"/>
    <n v="875"/>
    <n v="525000"/>
    <n v="262500"/>
    <n v="0.5"/>
    <x v="0"/>
  </r>
  <r>
    <x v="2"/>
    <n v="1185732"/>
    <x v="361"/>
    <x v="3"/>
    <s v="Michigan"/>
    <s v="Detroit"/>
    <x v="1"/>
    <n v="55.000000000000007"/>
    <n v="650"/>
    <n v="357500.00000000006"/>
    <n v="143000"/>
    <n v="0.39999999999999997"/>
    <x v="0"/>
  </r>
  <r>
    <x v="2"/>
    <n v="1185732"/>
    <x v="361"/>
    <x v="3"/>
    <s v="Michigan"/>
    <s v="Detroit"/>
    <x v="2"/>
    <n v="45.000000000000007"/>
    <n v="575"/>
    <n v="258750.00000000003"/>
    <n v="77625"/>
    <n v="0.3"/>
    <x v="0"/>
  </r>
  <r>
    <x v="2"/>
    <n v="1185732"/>
    <x v="361"/>
    <x v="3"/>
    <s v="Michigan"/>
    <s v="Detroit"/>
    <x v="3"/>
    <n v="35"/>
    <n v="525"/>
    <n v="183750"/>
    <n v="64312.499999999993"/>
    <n v="0.35"/>
    <x v="0"/>
  </r>
  <r>
    <x v="2"/>
    <n v="1185732"/>
    <x v="361"/>
    <x v="3"/>
    <s v="Michigan"/>
    <s v="Detroit"/>
    <x v="4"/>
    <n v="45.000000000000007"/>
    <n v="500"/>
    <n v="225000.00000000003"/>
    <n v="90000"/>
    <n v="0.39999999999999997"/>
    <x v="0"/>
  </r>
  <r>
    <x v="2"/>
    <n v="1185732"/>
    <x v="361"/>
    <x v="3"/>
    <s v="Michigan"/>
    <s v="Detroit"/>
    <x v="5"/>
    <n v="50.000000000000014"/>
    <n v="675"/>
    <n v="337500.00000000012"/>
    <n v="185625.00000000009"/>
    <n v="0.55000000000000004"/>
    <x v="0"/>
  </r>
  <r>
    <x v="2"/>
    <n v="1185732"/>
    <x v="391"/>
    <x v="3"/>
    <s v="Michigan"/>
    <s v="Detroit"/>
    <x v="0"/>
    <n v="45.000000000000007"/>
    <n v="800"/>
    <n v="360000.00000000006"/>
    <n v="180000.00000000003"/>
    <n v="0.5"/>
    <x v="0"/>
  </r>
  <r>
    <x v="2"/>
    <n v="1185732"/>
    <x v="391"/>
    <x v="3"/>
    <s v="Michigan"/>
    <s v="Detroit"/>
    <x v="1"/>
    <n v="40.000000000000014"/>
    <n v="600"/>
    <n v="240000.00000000009"/>
    <n v="96000.000000000029"/>
    <n v="0.39999999999999997"/>
    <x v="0"/>
  </r>
  <r>
    <x v="2"/>
    <n v="1185732"/>
    <x v="391"/>
    <x v="3"/>
    <s v="Michigan"/>
    <s v="Detroit"/>
    <x v="2"/>
    <n v="35"/>
    <n v="500"/>
    <n v="175000"/>
    <n v="52500"/>
    <n v="0.3"/>
    <x v="0"/>
  </r>
  <r>
    <x v="2"/>
    <n v="1185732"/>
    <x v="391"/>
    <x v="3"/>
    <s v="Michigan"/>
    <s v="Detroit"/>
    <x v="3"/>
    <n v="35"/>
    <n v="475"/>
    <n v="166250"/>
    <n v="58187.499999999993"/>
    <n v="0.35"/>
    <x v="0"/>
  </r>
  <r>
    <x v="2"/>
    <n v="1185732"/>
    <x v="391"/>
    <x v="3"/>
    <s v="Michigan"/>
    <s v="Detroit"/>
    <x v="4"/>
    <n v="45.000000000000007"/>
    <n v="475"/>
    <n v="213750.00000000003"/>
    <n v="85500"/>
    <n v="0.39999999999999997"/>
    <x v="0"/>
  </r>
  <r>
    <x v="2"/>
    <n v="1185732"/>
    <x v="391"/>
    <x v="3"/>
    <s v="Michigan"/>
    <s v="Detroit"/>
    <x v="5"/>
    <n v="50.000000000000014"/>
    <n v="575"/>
    <n v="287500.00000000006"/>
    <n v="158125.00000000006"/>
    <n v="0.55000000000000004"/>
    <x v="0"/>
  </r>
  <r>
    <x v="2"/>
    <n v="1185732"/>
    <x v="423"/>
    <x v="3"/>
    <s v="Michigan"/>
    <s v="Detroit"/>
    <x v="0"/>
    <n v="50.000000000000014"/>
    <n v="750"/>
    <n v="375000.00000000012"/>
    <n v="187500.00000000006"/>
    <n v="0.5"/>
    <x v="0"/>
  </r>
  <r>
    <x v="2"/>
    <n v="1185732"/>
    <x v="423"/>
    <x v="3"/>
    <s v="Michigan"/>
    <s v="Detroit"/>
    <x v="1"/>
    <n v="40.000000000000014"/>
    <n v="575"/>
    <n v="230000.00000000009"/>
    <n v="92000.000000000029"/>
    <n v="0.39999999999999997"/>
    <x v="0"/>
  </r>
  <r>
    <x v="2"/>
    <n v="1185732"/>
    <x v="423"/>
    <x v="3"/>
    <s v="Michigan"/>
    <s v="Detroit"/>
    <x v="2"/>
    <n v="40.000000000000014"/>
    <n v="425"/>
    <n v="170000.00000000006"/>
    <n v="51000.000000000015"/>
    <n v="0.3"/>
    <x v="0"/>
  </r>
  <r>
    <x v="2"/>
    <n v="1185732"/>
    <x v="423"/>
    <x v="3"/>
    <s v="Michigan"/>
    <s v="Detroit"/>
    <x v="3"/>
    <n v="40.000000000000014"/>
    <n v="400"/>
    <n v="160000.00000000006"/>
    <n v="56000.000000000015"/>
    <n v="0.35"/>
    <x v="0"/>
  </r>
  <r>
    <x v="2"/>
    <n v="1185732"/>
    <x v="423"/>
    <x v="3"/>
    <s v="Michigan"/>
    <s v="Detroit"/>
    <x v="4"/>
    <n v="50.000000000000014"/>
    <n v="400"/>
    <n v="200000.00000000006"/>
    <n v="80000.000000000015"/>
    <n v="0.39999999999999997"/>
    <x v="0"/>
  </r>
  <r>
    <x v="2"/>
    <n v="1185732"/>
    <x v="423"/>
    <x v="3"/>
    <s v="Michigan"/>
    <s v="Detroit"/>
    <x v="5"/>
    <n v="55.000000000000007"/>
    <n v="525"/>
    <n v="288750.00000000006"/>
    <n v="158812.50000000006"/>
    <n v="0.55000000000000004"/>
    <x v="0"/>
  </r>
  <r>
    <x v="2"/>
    <n v="1185732"/>
    <x v="453"/>
    <x v="3"/>
    <s v="Michigan"/>
    <s v="Detroit"/>
    <x v="0"/>
    <n v="50.000000000000014"/>
    <n v="675"/>
    <n v="337500.00000000012"/>
    <n v="168750.00000000006"/>
    <n v="0.5"/>
    <x v="0"/>
  </r>
  <r>
    <x v="2"/>
    <n v="1185732"/>
    <x v="453"/>
    <x v="3"/>
    <s v="Michigan"/>
    <s v="Detroit"/>
    <x v="1"/>
    <n v="45.000000000000014"/>
    <n v="500"/>
    <n v="225000.00000000006"/>
    <n v="90000.000000000015"/>
    <n v="0.39999999999999997"/>
    <x v="0"/>
  </r>
  <r>
    <x v="2"/>
    <n v="1185732"/>
    <x v="453"/>
    <x v="3"/>
    <s v="Michigan"/>
    <s v="Detroit"/>
    <x v="2"/>
    <n v="45.000000000000014"/>
    <n v="445"/>
    <n v="200250.00000000006"/>
    <n v="60075.000000000015"/>
    <n v="0.3"/>
    <x v="0"/>
  </r>
  <r>
    <x v="2"/>
    <n v="1185732"/>
    <x v="453"/>
    <x v="3"/>
    <s v="Michigan"/>
    <s v="Detroit"/>
    <x v="3"/>
    <n v="45.000000000000014"/>
    <n v="475"/>
    <n v="213750.00000000006"/>
    <n v="74812.500000000015"/>
    <n v="0.35"/>
    <x v="0"/>
  </r>
  <r>
    <x v="2"/>
    <n v="1185732"/>
    <x v="453"/>
    <x v="3"/>
    <s v="Michigan"/>
    <s v="Detroit"/>
    <x v="4"/>
    <n v="60"/>
    <n v="450"/>
    <n v="270000"/>
    <n v="107999.99999999999"/>
    <n v="0.39999999999999997"/>
    <x v="0"/>
  </r>
  <r>
    <x v="2"/>
    <n v="1185732"/>
    <x v="453"/>
    <x v="3"/>
    <s v="Michigan"/>
    <s v="Detroit"/>
    <x v="5"/>
    <n v="64.999999999999986"/>
    <n v="625"/>
    <n v="406249.99999999988"/>
    <n v="223437.49999999994"/>
    <n v="0.55000000000000004"/>
    <x v="0"/>
  </r>
  <r>
    <x v="2"/>
    <n v="1185732"/>
    <x v="482"/>
    <x v="3"/>
    <s v="Michigan"/>
    <s v="Detroit"/>
    <x v="0"/>
    <n v="60"/>
    <n v="850"/>
    <n v="510000"/>
    <n v="255000"/>
    <n v="0.5"/>
    <x v="0"/>
  </r>
  <r>
    <x v="2"/>
    <n v="1185732"/>
    <x v="482"/>
    <x v="3"/>
    <s v="Michigan"/>
    <s v="Detroit"/>
    <x v="1"/>
    <n v="50"/>
    <n v="650"/>
    <n v="325000"/>
    <n v="129999.99999999999"/>
    <n v="0.39999999999999997"/>
    <x v="0"/>
  </r>
  <r>
    <x v="0"/>
    <n v="1185732"/>
    <x v="482"/>
    <x v="3"/>
    <s v="Michigan"/>
    <s v="Detroit"/>
    <x v="2"/>
    <n v="50"/>
    <n v="600"/>
    <n v="300000"/>
    <n v="90000"/>
    <n v="0.3"/>
    <x v="0"/>
  </r>
  <r>
    <x v="0"/>
    <n v="1185732"/>
    <x v="482"/>
    <x v="3"/>
    <s v="Michigan"/>
    <s v="Detroit"/>
    <x v="3"/>
    <n v="50"/>
    <n v="550"/>
    <n v="275000"/>
    <n v="96250"/>
    <n v="0.35"/>
    <x v="0"/>
  </r>
  <r>
    <x v="0"/>
    <n v="1185732"/>
    <x v="482"/>
    <x v="3"/>
    <s v="Michigan"/>
    <s v="Detroit"/>
    <x v="4"/>
    <n v="60"/>
    <n v="550"/>
    <n v="330000"/>
    <n v="132000"/>
    <n v="0.39999999999999997"/>
    <x v="0"/>
  </r>
  <r>
    <x v="0"/>
    <n v="1185732"/>
    <x v="482"/>
    <x v="3"/>
    <s v="Michigan"/>
    <s v="Detroit"/>
    <x v="5"/>
    <n v="64.999999999999986"/>
    <n v="650"/>
    <n v="422499.99999999988"/>
    <n v="232374.99999999994"/>
    <n v="0.55000000000000004"/>
    <x v="0"/>
  </r>
  <r>
    <x v="0"/>
    <n v="1185732"/>
    <x v="182"/>
    <x v="3"/>
    <s v="Michigan"/>
    <s v="Detroit"/>
    <x v="0"/>
    <n v="30"/>
    <n v="625"/>
    <n v="187500"/>
    <n v="75000"/>
    <n v="0.4"/>
    <x v="0"/>
  </r>
  <r>
    <x v="0"/>
    <n v="1185732"/>
    <x v="182"/>
    <x v="3"/>
    <s v="Michigan"/>
    <s v="Detroit"/>
    <x v="1"/>
    <n v="30"/>
    <n v="425"/>
    <n v="127500"/>
    <n v="44625"/>
    <n v="0.35"/>
    <x v="0"/>
  </r>
  <r>
    <x v="0"/>
    <n v="1185732"/>
    <x v="182"/>
    <x v="3"/>
    <s v="Michigan"/>
    <s v="Detroit"/>
    <x v="2"/>
    <n v="20"/>
    <n v="425"/>
    <n v="85000"/>
    <n v="29749.999999999996"/>
    <n v="0.35"/>
    <x v="0"/>
  </r>
  <r>
    <x v="0"/>
    <n v="1185732"/>
    <x v="182"/>
    <x v="3"/>
    <s v="Michigan"/>
    <s v="Detroit"/>
    <x v="3"/>
    <n v="25.000000000000007"/>
    <n v="275"/>
    <n v="68750.000000000015"/>
    <n v="27500.000000000007"/>
    <n v="0.4"/>
    <x v="0"/>
  </r>
  <r>
    <x v="0"/>
    <n v="1185732"/>
    <x v="182"/>
    <x v="3"/>
    <s v="Michigan"/>
    <s v="Detroit"/>
    <x v="4"/>
    <n v="40"/>
    <n v="325"/>
    <n v="130000"/>
    <n v="45500"/>
    <n v="0.35"/>
    <x v="0"/>
  </r>
  <r>
    <x v="0"/>
    <n v="1185732"/>
    <x v="182"/>
    <x v="3"/>
    <s v="Michigan"/>
    <s v="Detroit"/>
    <x v="5"/>
    <n v="30"/>
    <n v="425"/>
    <n v="127500"/>
    <n v="63750"/>
    <n v="0.5"/>
    <x v="0"/>
  </r>
  <r>
    <x v="0"/>
    <n v="1185732"/>
    <x v="213"/>
    <x v="3"/>
    <s v="Michigan"/>
    <s v="Detroit"/>
    <x v="0"/>
    <n v="30"/>
    <n v="675"/>
    <n v="202500"/>
    <n v="81000"/>
    <n v="0.4"/>
    <x v="0"/>
  </r>
  <r>
    <x v="0"/>
    <n v="1185732"/>
    <x v="213"/>
    <x v="3"/>
    <s v="Michigan"/>
    <s v="Detroit"/>
    <x v="1"/>
    <n v="30"/>
    <n v="325"/>
    <n v="97500"/>
    <n v="34125"/>
    <n v="0.35"/>
    <x v="0"/>
  </r>
  <r>
    <x v="0"/>
    <n v="1185732"/>
    <x v="213"/>
    <x v="3"/>
    <s v="Michigan"/>
    <s v="Detroit"/>
    <x v="2"/>
    <n v="20"/>
    <n v="375"/>
    <n v="75000"/>
    <n v="26250"/>
    <n v="0.35"/>
    <x v="0"/>
  </r>
  <r>
    <x v="0"/>
    <n v="1185732"/>
    <x v="213"/>
    <x v="3"/>
    <s v="Missouri"/>
    <s v="St. Louis"/>
    <x v="3"/>
    <n v="25.000000000000007"/>
    <n v="250"/>
    <n v="62500.000000000015"/>
    <n v="25000.000000000007"/>
    <n v="0.4"/>
    <x v="0"/>
  </r>
  <r>
    <x v="0"/>
    <n v="1185732"/>
    <x v="213"/>
    <x v="3"/>
    <s v="Missouri"/>
    <s v="St. Louis"/>
    <x v="4"/>
    <n v="40"/>
    <n v="325"/>
    <n v="130000"/>
    <n v="45500"/>
    <n v="0.35"/>
    <x v="0"/>
  </r>
  <r>
    <x v="0"/>
    <n v="1185732"/>
    <x v="213"/>
    <x v="3"/>
    <s v="Missouri"/>
    <s v="St. Louis"/>
    <x v="5"/>
    <n v="30"/>
    <n v="400"/>
    <n v="120000"/>
    <n v="60000"/>
    <n v="0.5"/>
    <x v="0"/>
  </r>
  <r>
    <x v="0"/>
    <n v="1185732"/>
    <x v="222"/>
    <x v="3"/>
    <s v="Missouri"/>
    <s v="St. Louis"/>
    <x v="0"/>
    <n v="35"/>
    <n v="620"/>
    <n v="217000"/>
    <n v="86800"/>
    <n v="0.4"/>
    <x v="0"/>
  </r>
  <r>
    <x v="0"/>
    <n v="1185732"/>
    <x v="222"/>
    <x v="3"/>
    <s v="Missouri"/>
    <s v="St. Louis"/>
    <x v="1"/>
    <n v="35"/>
    <n v="300"/>
    <n v="105000"/>
    <n v="36750"/>
    <n v="0.35"/>
    <x v="0"/>
  </r>
  <r>
    <x v="0"/>
    <n v="1185732"/>
    <x v="222"/>
    <x v="3"/>
    <s v="Missouri"/>
    <s v="St. Louis"/>
    <x v="2"/>
    <n v="25.000000000000007"/>
    <n v="350"/>
    <n v="87500.000000000029"/>
    <n v="30625.000000000007"/>
    <n v="0.35"/>
    <x v="0"/>
  </r>
  <r>
    <x v="0"/>
    <n v="1185732"/>
    <x v="222"/>
    <x v="3"/>
    <s v="Missouri"/>
    <s v="St. Louis"/>
    <x v="3"/>
    <n v="30"/>
    <n v="200"/>
    <n v="60000"/>
    <n v="24000"/>
    <n v="0.4"/>
    <x v="0"/>
  </r>
  <r>
    <x v="0"/>
    <n v="1185732"/>
    <x v="222"/>
    <x v="3"/>
    <s v="Missouri"/>
    <s v="St. Louis"/>
    <x v="4"/>
    <n v="45"/>
    <n v="250"/>
    <n v="112500"/>
    <n v="39375"/>
    <n v="0.35"/>
    <x v="0"/>
  </r>
  <r>
    <x v="0"/>
    <n v="1185732"/>
    <x v="222"/>
    <x v="3"/>
    <s v="Missouri"/>
    <s v="St. Louis"/>
    <x v="5"/>
    <n v="35"/>
    <n v="350"/>
    <n v="122500"/>
    <n v="61250"/>
    <n v="0.5"/>
    <x v="0"/>
  </r>
  <r>
    <x v="0"/>
    <n v="1185732"/>
    <x v="241"/>
    <x v="3"/>
    <s v="Missouri"/>
    <s v="St. Louis"/>
    <x v="0"/>
    <n v="35"/>
    <n v="575"/>
    <n v="201250"/>
    <n v="80500"/>
    <n v="0.4"/>
    <x v="0"/>
  </r>
  <r>
    <x v="0"/>
    <n v="1185732"/>
    <x v="241"/>
    <x v="3"/>
    <s v="Missouri"/>
    <s v="St. Louis"/>
    <x v="1"/>
    <n v="30.000000000000004"/>
    <n v="275"/>
    <n v="82500.000000000015"/>
    <n v="28875.000000000004"/>
    <n v="0.35"/>
    <x v="0"/>
  </r>
  <r>
    <x v="0"/>
    <n v="1185732"/>
    <x v="241"/>
    <x v="3"/>
    <s v="Missouri"/>
    <s v="St. Louis"/>
    <x v="2"/>
    <n v="20.000000000000007"/>
    <n v="275"/>
    <n v="55000.000000000022"/>
    <n v="19250.000000000007"/>
    <n v="0.35"/>
    <x v="0"/>
  </r>
  <r>
    <x v="0"/>
    <n v="1185732"/>
    <x v="241"/>
    <x v="3"/>
    <s v="Missouri"/>
    <s v="St. Louis"/>
    <x v="3"/>
    <n v="25"/>
    <n v="200"/>
    <n v="50000"/>
    <n v="20000"/>
    <n v="0.4"/>
    <x v="0"/>
  </r>
  <r>
    <x v="0"/>
    <n v="1185732"/>
    <x v="241"/>
    <x v="3"/>
    <s v="Missouri"/>
    <s v="St. Louis"/>
    <x v="4"/>
    <n v="40"/>
    <n v="225"/>
    <n v="90000"/>
    <n v="31499.999999999996"/>
    <n v="0.35"/>
    <x v="0"/>
  </r>
  <r>
    <x v="0"/>
    <n v="1185732"/>
    <x v="241"/>
    <x v="3"/>
    <s v="Missouri"/>
    <s v="St. Louis"/>
    <x v="5"/>
    <n v="30.000000000000004"/>
    <n v="350"/>
    <n v="105000.00000000001"/>
    <n v="52500.000000000007"/>
    <n v="0.5"/>
    <x v="0"/>
  </r>
  <r>
    <x v="0"/>
    <n v="1185732"/>
    <x v="272"/>
    <x v="3"/>
    <s v="Missouri"/>
    <s v="St. Louis"/>
    <x v="0"/>
    <n v="40"/>
    <n v="620"/>
    <n v="248000"/>
    <n v="99200"/>
    <n v="0.4"/>
    <x v="0"/>
  </r>
  <r>
    <x v="0"/>
    <n v="1185732"/>
    <x v="272"/>
    <x v="3"/>
    <s v="Missouri"/>
    <s v="St. Louis"/>
    <x v="1"/>
    <n v="35.000000000000007"/>
    <n v="325"/>
    <n v="113750.00000000003"/>
    <n v="39812.500000000007"/>
    <n v="0.35"/>
    <x v="0"/>
  </r>
  <r>
    <x v="0"/>
    <n v="1185732"/>
    <x v="272"/>
    <x v="3"/>
    <s v="Missouri"/>
    <s v="St. Louis"/>
    <x v="2"/>
    <n v="30.000000000000004"/>
    <n v="300"/>
    <n v="90000.000000000015"/>
    <n v="31500.000000000004"/>
    <n v="0.35"/>
    <x v="0"/>
  </r>
  <r>
    <x v="0"/>
    <n v="1185732"/>
    <x v="272"/>
    <x v="3"/>
    <s v="Missouri"/>
    <s v="St. Louis"/>
    <x v="3"/>
    <n v="30.000000000000004"/>
    <n v="225"/>
    <n v="67500.000000000015"/>
    <n v="27000.000000000007"/>
    <n v="0.4"/>
    <x v="0"/>
  </r>
  <r>
    <x v="0"/>
    <n v="1185732"/>
    <x v="272"/>
    <x v="3"/>
    <s v="Missouri"/>
    <s v="St. Louis"/>
    <x v="4"/>
    <n v="44.999999999999993"/>
    <n v="250"/>
    <n v="112499.99999999999"/>
    <n v="39374.999999999993"/>
    <n v="0.35"/>
    <x v="0"/>
  </r>
  <r>
    <x v="0"/>
    <n v="1185732"/>
    <x v="272"/>
    <x v="3"/>
    <s v="Missouri"/>
    <s v="St. Louis"/>
    <x v="5"/>
    <n v="49.999999999999993"/>
    <n v="350"/>
    <n v="174999.99999999997"/>
    <n v="87499.999999999985"/>
    <n v="0.5"/>
    <x v="0"/>
  </r>
  <r>
    <x v="0"/>
    <n v="1185732"/>
    <x v="302"/>
    <x v="3"/>
    <s v="Missouri"/>
    <s v="St. Louis"/>
    <x v="0"/>
    <n v="35"/>
    <n v="600"/>
    <n v="210000"/>
    <n v="84000"/>
    <n v="0.4"/>
    <x v="0"/>
  </r>
  <r>
    <x v="0"/>
    <n v="1185732"/>
    <x v="302"/>
    <x v="3"/>
    <s v="Missouri"/>
    <s v="St. Louis"/>
    <x v="1"/>
    <n v="30.000000000000011"/>
    <n v="350"/>
    <n v="105000.00000000004"/>
    <n v="36750.000000000015"/>
    <n v="0.35"/>
    <x v="0"/>
  </r>
  <r>
    <x v="0"/>
    <n v="1185732"/>
    <x v="302"/>
    <x v="3"/>
    <s v="Missouri"/>
    <s v="St. Louis"/>
    <x v="2"/>
    <n v="25.000000000000007"/>
    <n v="375"/>
    <n v="93750.000000000029"/>
    <n v="32812.500000000007"/>
    <n v="0.35"/>
    <x v="0"/>
  </r>
  <r>
    <x v="0"/>
    <n v="1185732"/>
    <x v="302"/>
    <x v="3"/>
    <s v="Missouri"/>
    <s v="St. Louis"/>
    <x v="3"/>
    <n v="25.000000000000007"/>
    <n v="350"/>
    <n v="87500.000000000029"/>
    <n v="35000.000000000015"/>
    <n v="0.4"/>
    <x v="0"/>
  </r>
  <r>
    <x v="0"/>
    <n v="1185732"/>
    <x v="302"/>
    <x v="3"/>
    <s v="Missouri"/>
    <s v="St. Louis"/>
    <x v="4"/>
    <n v="40"/>
    <n v="350"/>
    <n v="140000"/>
    <n v="49000"/>
    <n v="0.35"/>
    <x v="0"/>
  </r>
  <r>
    <x v="0"/>
    <n v="1185732"/>
    <x v="302"/>
    <x v="3"/>
    <s v="Missouri"/>
    <s v="St. Louis"/>
    <x v="5"/>
    <n v="45"/>
    <n v="525"/>
    <n v="236250"/>
    <n v="118125"/>
    <n v="0.5"/>
    <x v="0"/>
  </r>
  <r>
    <x v="0"/>
    <n v="1185732"/>
    <x v="331"/>
    <x v="3"/>
    <s v="Missouri"/>
    <s v="St. Louis"/>
    <x v="0"/>
    <n v="40"/>
    <n v="750"/>
    <n v="300000"/>
    <n v="120000"/>
    <n v="0.4"/>
    <x v="0"/>
  </r>
  <r>
    <x v="0"/>
    <n v="1185732"/>
    <x v="331"/>
    <x v="3"/>
    <s v="Missouri"/>
    <s v="St. Louis"/>
    <x v="1"/>
    <n v="35.000000000000007"/>
    <n v="500"/>
    <n v="175000.00000000003"/>
    <n v="61250.000000000007"/>
    <n v="0.35"/>
    <x v="0"/>
  </r>
  <r>
    <x v="0"/>
    <n v="1185732"/>
    <x v="331"/>
    <x v="3"/>
    <s v="Missouri"/>
    <s v="St. Louis"/>
    <x v="2"/>
    <n v="30.000000000000004"/>
    <n v="425"/>
    <n v="127500.00000000001"/>
    <n v="44625"/>
    <n v="0.35"/>
    <x v="0"/>
  </r>
  <r>
    <x v="0"/>
    <n v="1185732"/>
    <x v="331"/>
    <x v="3"/>
    <s v="Missouri"/>
    <s v="St. Louis"/>
    <x v="3"/>
    <n v="30.000000000000004"/>
    <n v="375"/>
    <n v="112500.00000000001"/>
    <n v="45000.000000000007"/>
    <n v="0.4"/>
    <x v="0"/>
  </r>
  <r>
    <x v="0"/>
    <n v="1185732"/>
    <x v="331"/>
    <x v="3"/>
    <s v="Missouri"/>
    <s v="St. Louis"/>
    <x v="4"/>
    <n v="40"/>
    <n v="375"/>
    <n v="150000"/>
    <n v="52500"/>
    <n v="0.35"/>
    <x v="0"/>
  </r>
  <r>
    <x v="0"/>
    <n v="1185732"/>
    <x v="331"/>
    <x v="3"/>
    <s v="Missouri"/>
    <s v="St. Louis"/>
    <x v="5"/>
    <n v="45"/>
    <n v="550"/>
    <n v="247500"/>
    <n v="123750"/>
    <n v="0.5"/>
    <x v="0"/>
  </r>
  <r>
    <x v="0"/>
    <n v="1185732"/>
    <x v="363"/>
    <x v="3"/>
    <s v="Missouri"/>
    <s v="St. Louis"/>
    <x v="0"/>
    <n v="40"/>
    <n v="700"/>
    <n v="280000"/>
    <n v="112000"/>
    <n v="0.4"/>
    <x v="0"/>
  </r>
  <r>
    <x v="0"/>
    <n v="1185732"/>
    <x v="363"/>
    <x v="3"/>
    <s v="Missouri"/>
    <s v="St. Louis"/>
    <x v="1"/>
    <n v="40.000000000000007"/>
    <n v="475"/>
    <n v="190000.00000000003"/>
    <n v="66500"/>
    <n v="0.35"/>
    <x v="0"/>
  </r>
  <r>
    <x v="0"/>
    <n v="1185732"/>
    <x v="363"/>
    <x v="3"/>
    <s v="Missouri"/>
    <s v="St. Louis"/>
    <x v="2"/>
    <n v="35"/>
    <n v="400"/>
    <n v="140000"/>
    <n v="49000"/>
    <n v="0.35"/>
    <x v="0"/>
  </r>
  <r>
    <x v="0"/>
    <n v="1185732"/>
    <x v="363"/>
    <x v="3"/>
    <s v="Missouri"/>
    <s v="St. Louis"/>
    <x v="3"/>
    <n v="25.000000000000007"/>
    <n v="325"/>
    <n v="81250.000000000029"/>
    <n v="32500.000000000015"/>
    <n v="0.4"/>
    <x v="0"/>
  </r>
  <r>
    <x v="0"/>
    <n v="1185732"/>
    <x v="363"/>
    <x v="3"/>
    <s v="Missouri"/>
    <s v="St. Louis"/>
    <x v="4"/>
    <n v="35"/>
    <n v="300"/>
    <n v="105000"/>
    <n v="36750"/>
    <n v="0.35"/>
    <x v="0"/>
  </r>
  <r>
    <x v="0"/>
    <n v="1185732"/>
    <x v="363"/>
    <x v="3"/>
    <s v="Missouri"/>
    <s v="St. Louis"/>
    <x v="5"/>
    <n v="40"/>
    <n v="475"/>
    <n v="190000"/>
    <n v="95000"/>
    <n v="0.5"/>
    <x v="0"/>
  </r>
  <r>
    <x v="0"/>
    <n v="1185732"/>
    <x v="395"/>
    <x v="3"/>
    <s v="Missouri"/>
    <s v="St. Louis"/>
    <x v="0"/>
    <n v="35"/>
    <n v="600"/>
    <n v="210000"/>
    <n v="84000"/>
    <n v="0.4"/>
    <x v="0"/>
  </r>
  <r>
    <x v="0"/>
    <n v="1185732"/>
    <x v="395"/>
    <x v="3"/>
    <s v="Missouri"/>
    <s v="St. Louis"/>
    <x v="1"/>
    <n v="30.000000000000011"/>
    <n v="400"/>
    <n v="120000.00000000004"/>
    <n v="42000.000000000015"/>
    <n v="0.35"/>
    <x v="0"/>
  </r>
  <r>
    <x v="0"/>
    <n v="1185732"/>
    <x v="395"/>
    <x v="3"/>
    <s v="Missouri"/>
    <s v="St. Louis"/>
    <x v="2"/>
    <n v="15.000000000000002"/>
    <n v="300"/>
    <n v="45000.000000000007"/>
    <n v="15750.000000000002"/>
    <n v="0.35"/>
    <x v="0"/>
  </r>
  <r>
    <x v="0"/>
    <n v="1185732"/>
    <x v="395"/>
    <x v="3"/>
    <s v="Missouri"/>
    <s v="St. Louis"/>
    <x v="3"/>
    <n v="15.000000000000002"/>
    <n v="275"/>
    <n v="41250.000000000007"/>
    <n v="16500.000000000004"/>
    <n v="0.4"/>
    <x v="0"/>
  </r>
  <r>
    <x v="0"/>
    <n v="1185732"/>
    <x v="395"/>
    <x v="3"/>
    <s v="Missouri"/>
    <s v="St. Louis"/>
    <x v="4"/>
    <n v="25"/>
    <n v="275"/>
    <n v="68750"/>
    <n v="24062.5"/>
    <n v="0.35"/>
    <x v="0"/>
  </r>
  <r>
    <x v="0"/>
    <n v="1185732"/>
    <x v="395"/>
    <x v="3"/>
    <s v="Missouri"/>
    <s v="St. Louis"/>
    <x v="5"/>
    <n v="30.000000000000004"/>
    <n v="350"/>
    <n v="105000.00000000001"/>
    <n v="52500.000000000007"/>
    <n v="0.5"/>
    <x v="0"/>
  </r>
  <r>
    <x v="0"/>
    <n v="1185732"/>
    <x v="424"/>
    <x v="3"/>
    <s v="Missouri"/>
    <s v="St. Louis"/>
    <x v="0"/>
    <n v="35"/>
    <n v="525"/>
    <n v="183750"/>
    <n v="73500"/>
    <n v="0.4"/>
    <x v="0"/>
  </r>
  <r>
    <x v="0"/>
    <n v="1185732"/>
    <x v="424"/>
    <x v="3"/>
    <s v="Missouri"/>
    <s v="St. Louis"/>
    <x v="1"/>
    <n v="25"/>
    <n v="350"/>
    <n v="87500"/>
    <n v="30624.999999999996"/>
    <n v="0.35"/>
    <x v="0"/>
  </r>
  <r>
    <x v="0"/>
    <n v="1185732"/>
    <x v="424"/>
    <x v="3"/>
    <s v="Missouri"/>
    <s v="St. Louis"/>
    <x v="2"/>
    <n v="25"/>
    <n v="250"/>
    <n v="62500"/>
    <n v="21875"/>
    <n v="0.35"/>
    <x v="0"/>
  </r>
  <r>
    <x v="0"/>
    <n v="1185732"/>
    <x v="424"/>
    <x v="3"/>
    <s v="Missouri"/>
    <s v="St. Louis"/>
    <x v="3"/>
    <n v="25"/>
    <n v="225"/>
    <n v="56250"/>
    <n v="22500"/>
    <n v="0.4"/>
    <x v="0"/>
  </r>
  <r>
    <x v="0"/>
    <n v="1185732"/>
    <x v="424"/>
    <x v="3"/>
    <s v="Missouri"/>
    <s v="St. Louis"/>
    <x v="4"/>
    <n v="35"/>
    <n v="225"/>
    <n v="78750"/>
    <n v="27562.5"/>
    <n v="0.35"/>
    <x v="0"/>
  </r>
  <r>
    <x v="0"/>
    <n v="1185732"/>
    <x v="424"/>
    <x v="3"/>
    <s v="Missouri"/>
    <s v="St. Louis"/>
    <x v="5"/>
    <n v="39.999999999999993"/>
    <n v="350"/>
    <n v="139999.99999999997"/>
    <n v="69999.999999999985"/>
    <n v="0.5"/>
    <x v="0"/>
  </r>
  <r>
    <x v="0"/>
    <n v="1185732"/>
    <x v="455"/>
    <x v="3"/>
    <s v="Missouri"/>
    <s v="St. Louis"/>
    <x v="0"/>
    <n v="35"/>
    <n v="500"/>
    <n v="175000"/>
    <n v="70000"/>
    <n v="0.4"/>
    <x v="0"/>
  </r>
  <r>
    <x v="0"/>
    <n v="1185732"/>
    <x v="455"/>
    <x v="3"/>
    <s v="Missouri"/>
    <s v="St. Louis"/>
    <x v="1"/>
    <n v="25.000000000000007"/>
    <n v="350"/>
    <n v="87500.000000000029"/>
    <n v="30625.000000000007"/>
    <n v="0.35"/>
    <x v="0"/>
  </r>
  <r>
    <x v="0"/>
    <n v="1185732"/>
    <x v="455"/>
    <x v="3"/>
    <s v="Missouri"/>
    <s v="St. Louis"/>
    <x v="2"/>
    <n v="25.000000000000007"/>
    <n v="295"/>
    <n v="73750.000000000015"/>
    <n v="25812.500000000004"/>
    <n v="0.35"/>
    <x v="0"/>
  </r>
  <r>
    <x v="0"/>
    <n v="1185732"/>
    <x v="455"/>
    <x v="3"/>
    <s v="Missouri"/>
    <s v="St. Louis"/>
    <x v="3"/>
    <n v="25.000000000000007"/>
    <n v="325"/>
    <n v="81250.000000000029"/>
    <n v="32500.000000000015"/>
    <n v="0.4"/>
    <x v="0"/>
  </r>
  <r>
    <x v="0"/>
    <n v="1185732"/>
    <x v="455"/>
    <x v="3"/>
    <s v="Missouri"/>
    <s v="St. Louis"/>
    <x v="4"/>
    <n v="44.999999999999993"/>
    <n v="300"/>
    <n v="134999.99999999997"/>
    <n v="47249.999999999985"/>
    <n v="0.35"/>
    <x v="0"/>
  </r>
  <r>
    <x v="0"/>
    <n v="1185732"/>
    <x v="455"/>
    <x v="3"/>
    <s v="Missouri"/>
    <s v="St. Louis"/>
    <x v="5"/>
    <n v="49.999999999999986"/>
    <n v="400"/>
    <n v="199999.99999999994"/>
    <n v="99999.999999999971"/>
    <n v="0.5"/>
    <x v="0"/>
  </r>
  <r>
    <x v="0"/>
    <n v="1185732"/>
    <x v="484"/>
    <x v="3"/>
    <s v="Missouri"/>
    <s v="St. Louis"/>
    <x v="0"/>
    <n v="44.999999999999993"/>
    <n v="650"/>
    <n v="292499.99999999994"/>
    <n v="116999.99999999999"/>
    <n v="0.4"/>
    <x v="0"/>
  </r>
  <r>
    <x v="0"/>
    <n v="1185732"/>
    <x v="484"/>
    <x v="3"/>
    <s v="Missouri"/>
    <s v="St. Louis"/>
    <x v="1"/>
    <n v="35"/>
    <n v="450"/>
    <n v="157500"/>
    <n v="55125"/>
    <n v="0.35"/>
    <x v="0"/>
  </r>
  <r>
    <x v="3"/>
    <n v="1185732"/>
    <x v="484"/>
    <x v="3"/>
    <s v="Missouri"/>
    <s v="St. Louis"/>
    <x v="2"/>
    <n v="35"/>
    <n v="400"/>
    <n v="140000"/>
    <n v="49000"/>
    <n v="0.35"/>
    <x v="0"/>
  </r>
  <r>
    <x v="3"/>
    <n v="1185732"/>
    <x v="484"/>
    <x v="3"/>
    <s v="Missouri"/>
    <s v="St. Louis"/>
    <x v="3"/>
    <n v="35"/>
    <n v="350"/>
    <n v="122500"/>
    <n v="49000"/>
    <n v="0.4"/>
    <x v="0"/>
  </r>
  <r>
    <x v="3"/>
    <n v="1185732"/>
    <x v="484"/>
    <x v="3"/>
    <s v="Missouri"/>
    <s v="St. Louis"/>
    <x v="4"/>
    <n v="44.999999999999993"/>
    <n v="350"/>
    <n v="157499.99999999997"/>
    <n v="55124.999999999985"/>
    <n v="0.35"/>
    <x v="0"/>
  </r>
  <r>
    <x v="3"/>
    <n v="1185732"/>
    <x v="484"/>
    <x v="3"/>
    <s v="Missouri"/>
    <s v="St. Louis"/>
    <x v="5"/>
    <n v="49.999999999999986"/>
    <n v="450"/>
    <n v="224999.99999999994"/>
    <n v="112499.99999999997"/>
    <n v="0.5"/>
    <x v="0"/>
  </r>
  <r>
    <x v="3"/>
    <n v="1185732"/>
    <x v="175"/>
    <x v="3"/>
    <s v="Missouri"/>
    <s v="St. Louis"/>
    <x v="0"/>
    <n v="25"/>
    <n v="675"/>
    <n v="168750"/>
    <n v="67500"/>
    <n v="0.4"/>
    <x v="0"/>
  </r>
  <r>
    <x v="3"/>
    <n v="1185732"/>
    <x v="175"/>
    <x v="3"/>
    <s v="Missouri"/>
    <s v="St. Louis"/>
    <x v="1"/>
    <n v="25"/>
    <n v="475"/>
    <n v="118750"/>
    <n v="41562.5"/>
    <n v="0.35"/>
    <x v="0"/>
  </r>
  <r>
    <x v="3"/>
    <n v="1185732"/>
    <x v="175"/>
    <x v="3"/>
    <s v="Missouri"/>
    <s v="St. Louis"/>
    <x v="2"/>
    <n v="15.000000000000002"/>
    <n v="475"/>
    <n v="71250.000000000015"/>
    <n v="24937.500000000004"/>
    <n v="0.35"/>
    <x v="0"/>
  </r>
  <r>
    <x v="3"/>
    <n v="1185732"/>
    <x v="175"/>
    <x v="3"/>
    <s v="Missouri"/>
    <s v="St. Louis"/>
    <x v="3"/>
    <n v="20.000000000000007"/>
    <n v="325"/>
    <n v="65000.000000000022"/>
    <n v="26000.000000000011"/>
    <n v="0.4"/>
    <x v="0"/>
  </r>
  <r>
    <x v="3"/>
    <n v="1185732"/>
    <x v="175"/>
    <x v="3"/>
    <s v="Missouri"/>
    <s v="St. Louis"/>
    <x v="4"/>
    <n v="35"/>
    <n v="375"/>
    <n v="131250"/>
    <n v="45937.5"/>
    <n v="0.35"/>
    <x v="0"/>
  </r>
  <r>
    <x v="3"/>
    <n v="1185732"/>
    <x v="175"/>
    <x v="3"/>
    <s v="Missouri"/>
    <s v="St. Louis"/>
    <x v="5"/>
    <n v="25"/>
    <n v="475"/>
    <n v="118750"/>
    <n v="59375"/>
    <n v="0.5"/>
    <x v="0"/>
  </r>
  <r>
    <x v="3"/>
    <n v="1185732"/>
    <x v="206"/>
    <x v="3"/>
    <s v="Missouri"/>
    <s v="St. Louis"/>
    <x v="0"/>
    <n v="25"/>
    <n v="725"/>
    <n v="181250"/>
    <n v="72500"/>
    <n v="0.4"/>
    <x v="0"/>
  </r>
  <r>
    <x v="3"/>
    <n v="1185732"/>
    <x v="206"/>
    <x v="3"/>
    <s v="Missouri"/>
    <s v="St. Louis"/>
    <x v="1"/>
    <n v="25"/>
    <n v="375"/>
    <n v="93750"/>
    <n v="32812.5"/>
    <n v="0.35"/>
    <x v="0"/>
  </r>
  <r>
    <x v="3"/>
    <n v="1185732"/>
    <x v="206"/>
    <x v="3"/>
    <s v="Missouri"/>
    <s v="St. Louis"/>
    <x v="2"/>
    <n v="15.000000000000002"/>
    <n v="425"/>
    <n v="63750.000000000007"/>
    <n v="22312.5"/>
    <n v="0.35"/>
    <x v="0"/>
  </r>
  <r>
    <x v="3"/>
    <n v="1185732"/>
    <x v="206"/>
    <x v="2"/>
    <s v="Utah"/>
    <s v="Salt Lake City"/>
    <x v="3"/>
    <n v="20.000000000000007"/>
    <n v="300"/>
    <n v="60000.000000000022"/>
    <n v="24000.000000000011"/>
    <n v="0.4"/>
    <x v="0"/>
  </r>
  <r>
    <x v="3"/>
    <n v="1185732"/>
    <x v="206"/>
    <x v="2"/>
    <s v="Utah"/>
    <s v="Salt Lake City"/>
    <x v="4"/>
    <n v="35"/>
    <n v="375"/>
    <n v="131250"/>
    <n v="45937.5"/>
    <n v="0.35"/>
    <x v="0"/>
  </r>
  <r>
    <x v="3"/>
    <n v="1185732"/>
    <x v="206"/>
    <x v="2"/>
    <s v="Utah"/>
    <s v="Salt Lake City"/>
    <x v="5"/>
    <n v="25"/>
    <n v="450"/>
    <n v="112500"/>
    <n v="56250"/>
    <n v="0.5"/>
    <x v="0"/>
  </r>
  <r>
    <x v="3"/>
    <n v="1185732"/>
    <x v="215"/>
    <x v="2"/>
    <s v="Utah"/>
    <s v="Salt Lake City"/>
    <x v="0"/>
    <n v="30.000000000000004"/>
    <n v="670"/>
    <n v="201000.00000000003"/>
    <n v="80400.000000000015"/>
    <n v="0.4"/>
    <x v="0"/>
  </r>
  <r>
    <x v="3"/>
    <n v="1185732"/>
    <x v="215"/>
    <x v="2"/>
    <s v="Utah"/>
    <s v="Salt Lake City"/>
    <x v="1"/>
    <n v="30.000000000000004"/>
    <n v="350"/>
    <n v="105000.00000000001"/>
    <n v="36750"/>
    <n v="0.35"/>
    <x v="0"/>
  </r>
  <r>
    <x v="3"/>
    <n v="1185732"/>
    <x v="215"/>
    <x v="2"/>
    <s v="Utah"/>
    <s v="Salt Lake City"/>
    <x v="2"/>
    <n v="20.000000000000007"/>
    <n v="400"/>
    <n v="80000.000000000029"/>
    <n v="28000.000000000007"/>
    <n v="0.35"/>
    <x v="0"/>
  </r>
  <r>
    <x v="3"/>
    <n v="1185732"/>
    <x v="215"/>
    <x v="2"/>
    <s v="Utah"/>
    <s v="Salt Lake City"/>
    <x v="3"/>
    <n v="25"/>
    <n v="250"/>
    <n v="62500"/>
    <n v="25000"/>
    <n v="0.4"/>
    <x v="0"/>
  </r>
  <r>
    <x v="3"/>
    <n v="1185732"/>
    <x v="215"/>
    <x v="2"/>
    <s v="Utah"/>
    <s v="Salt Lake City"/>
    <x v="4"/>
    <n v="40"/>
    <n v="300"/>
    <n v="120000"/>
    <n v="42000"/>
    <n v="0.35"/>
    <x v="0"/>
  </r>
  <r>
    <x v="3"/>
    <n v="1185732"/>
    <x v="215"/>
    <x v="2"/>
    <s v="Utah"/>
    <s v="Salt Lake City"/>
    <x v="5"/>
    <n v="30.000000000000004"/>
    <n v="400"/>
    <n v="120000.00000000001"/>
    <n v="60000.000000000007"/>
    <n v="0.5"/>
    <x v="0"/>
  </r>
  <r>
    <x v="3"/>
    <n v="1185732"/>
    <x v="234"/>
    <x v="2"/>
    <s v="Utah"/>
    <s v="Salt Lake City"/>
    <x v="0"/>
    <n v="30.000000000000004"/>
    <n v="625"/>
    <n v="187500.00000000003"/>
    <n v="75000.000000000015"/>
    <n v="0.4"/>
    <x v="0"/>
  </r>
  <r>
    <x v="3"/>
    <n v="1185732"/>
    <x v="234"/>
    <x v="2"/>
    <s v="Utah"/>
    <s v="Salt Lake City"/>
    <x v="1"/>
    <n v="25.000000000000007"/>
    <n v="325"/>
    <n v="81250.000000000029"/>
    <n v="28437.500000000007"/>
    <n v="0.35"/>
    <x v="0"/>
  </r>
  <r>
    <x v="3"/>
    <n v="1185732"/>
    <x v="234"/>
    <x v="2"/>
    <s v="Utah"/>
    <s v="Salt Lake City"/>
    <x v="2"/>
    <n v="15.000000000000007"/>
    <n v="325"/>
    <n v="48750.000000000022"/>
    <n v="17062.500000000007"/>
    <n v="0.35"/>
    <x v="0"/>
  </r>
  <r>
    <x v="3"/>
    <n v="1185732"/>
    <x v="234"/>
    <x v="2"/>
    <s v="Utah"/>
    <s v="Salt Lake City"/>
    <x v="3"/>
    <n v="20"/>
    <n v="250"/>
    <n v="50000"/>
    <n v="20000"/>
    <n v="0.4"/>
    <x v="0"/>
  </r>
  <r>
    <x v="3"/>
    <n v="1185732"/>
    <x v="234"/>
    <x v="2"/>
    <s v="Utah"/>
    <s v="Salt Lake City"/>
    <x v="4"/>
    <n v="35"/>
    <n v="275"/>
    <n v="96250"/>
    <n v="33687.5"/>
    <n v="0.35"/>
    <x v="0"/>
  </r>
  <r>
    <x v="3"/>
    <n v="1185732"/>
    <x v="234"/>
    <x v="2"/>
    <s v="Utah"/>
    <s v="Salt Lake City"/>
    <x v="5"/>
    <n v="25.000000000000007"/>
    <n v="400"/>
    <n v="100000.00000000003"/>
    <n v="50000.000000000015"/>
    <n v="0.5"/>
    <x v="0"/>
  </r>
  <r>
    <x v="3"/>
    <n v="1185732"/>
    <x v="265"/>
    <x v="2"/>
    <s v="Utah"/>
    <s v="Salt Lake City"/>
    <x v="0"/>
    <n v="35"/>
    <n v="670"/>
    <n v="234500"/>
    <n v="93800"/>
    <n v="0.4"/>
    <x v="0"/>
  </r>
  <r>
    <x v="3"/>
    <n v="1185732"/>
    <x v="265"/>
    <x v="2"/>
    <s v="Utah"/>
    <s v="Salt Lake City"/>
    <x v="1"/>
    <n v="30.000000000000011"/>
    <n v="375"/>
    <n v="112500.00000000004"/>
    <n v="39375.000000000015"/>
    <n v="0.35"/>
    <x v="0"/>
  </r>
  <r>
    <x v="3"/>
    <n v="1185732"/>
    <x v="265"/>
    <x v="2"/>
    <s v="Utah"/>
    <s v="Salt Lake City"/>
    <x v="2"/>
    <n v="25.000000000000007"/>
    <n v="350"/>
    <n v="87500.000000000029"/>
    <n v="30625.000000000007"/>
    <n v="0.35"/>
    <x v="0"/>
  </r>
  <r>
    <x v="3"/>
    <n v="1185732"/>
    <x v="265"/>
    <x v="2"/>
    <s v="Utah"/>
    <s v="Salt Lake City"/>
    <x v="3"/>
    <n v="25.000000000000007"/>
    <n v="275"/>
    <n v="68750.000000000015"/>
    <n v="27500.000000000007"/>
    <n v="0.4"/>
    <x v="0"/>
  </r>
  <r>
    <x v="3"/>
    <n v="1185732"/>
    <x v="265"/>
    <x v="2"/>
    <s v="Utah"/>
    <s v="Salt Lake City"/>
    <x v="4"/>
    <n v="40"/>
    <n v="300"/>
    <n v="120000"/>
    <n v="42000"/>
    <n v="0.35"/>
    <x v="0"/>
  </r>
  <r>
    <x v="3"/>
    <n v="1185732"/>
    <x v="265"/>
    <x v="2"/>
    <s v="Utah"/>
    <s v="Salt Lake City"/>
    <x v="5"/>
    <n v="44.999999999999993"/>
    <n v="400"/>
    <n v="179999.99999999997"/>
    <n v="89999.999999999985"/>
    <n v="0.5"/>
    <x v="0"/>
  </r>
  <r>
    <x v="3"/>
    <n v="1185732"/>
    <x v="295"/>
    <x v="2"/>
    <s v="Utah"/>
    <s v="Salt Lake City"/>
    <x v="0"/>
    <n v="30.000000000000004"/>
    <n v="650"/>
    <n v="195000.00000000003"/>
    <n v="78000.000000000015"/>
    <n v="0.4"/>
    <x v="0"/>
  </r>
  <r>
    <x v="3"/>
    <n v="1185732"/>
    <x v="295"/>
    <x v="2"/>
    <s v="Utah"/>
    <s v="Salt Lake City"/>
    <x v="1"/>
    <n v="25.000000000000011"/>
    <n v="400"/>
    <n v="100000.00000000004"/>
    <n v="35000.000000000015"/>
    <n v="0.35"/>
    <x v="0"/>
  </r>
  <r>
    <x v="3"/>
    <n v="1185732"/>
    <x v="295"/>
    <x v="2"/>
    <s v="Utah"/>
    <s v="Salt Lake City"/>
    <x v="2"/>
    <n v="20.000000000000007"/>
    <n v="425"/>
    <n v="85000.000000000029"/>
    <n v="29750.000000000007"/>
    <n v="0.35"/>
    <x v="0"/>
  </r>
  <r>
    <x v="3"/>
    <n v="1185732"/>
    <x v="295"/>
    <x v="2"/>
    <s v="Utah"/>
    <s v="Salt Lake City"/>
    <x v="3"/>
    <n v="20.000000000000007"/>
    <n v="400"/>
    <n v="80000.000000000029"/>
    <n v="32000.000000000015"/>
    <n v="0.4"/>
    <x v="0"/>
  </r>
  <r>
    <x v="3"/>
    <n v="1185732"/>
    <x v="295"/>
    <x v="2"/>
    <s v="Utah"/>
    <s v="Salt Lake City"/>
    <x v="4"/>
    <n v="35"/>
    <n v="400"/>
    <n v="140000"/>
    <n v="49000"/>
    <n v="0.35"/>
    <x v="0"/>
  </r>
  <r>
    <x v="3"/>
    <n v="1185732"/>
    <x v="295"/>
    <x v="2"/>
    <s v="Utah"/>
    <s v="Salt Lake City"/>
    <x v="5"/>
    <n v="40"/>
    <n v="575"/>
    <n v="230000"/>
    <n v="115000"/>
    <n v="0.5"/>
    <x v="0"/>
  </r>
  <r>
    <x v="3"/>
    <n v="1185732"/>
    <x v="324"/>
    <x v="2"/>
    <s v="Utah"/>
    <s v="Salt Lake City"/>
    <x v="0"/>
    <n v="35"/>
    <n v="800"/>
    <n v="280000"/>
    <n v="112000"/>
    <n v="0.4"/>
    <x v="0"/>
  </r>
  <r>
    <x v="3"/>
    <n v="1185732"/>
    <x v="324"/>
    <x v="2"/>
    <s v="Utah"/>
    <s v="Salt Lake City"/>
    <x v="1"/>
    <n v="30.000000000000011"/>
    <n v="550"/>
    <n v="165000.00000000006"/>
    <n v="57750.000000000015"/>
    <n v="0.35"/>
    <x v="0"/>
  </r>
  <r>
    <x v="3"/>
    <n v="1185732"/>
    <x v="324"/>
    <x v="2"/>
    <s v="Utah"/>
    <s v="Salt Lake City"/>
    <x v="2"/>
    <n v="25.000000000000007"/>
    <n v="475"/>
    <n v="118750.00000000003"/>
    <n v="41562.500000000007"/>
    <n v="0.35"/>
    <x v="0"/>
  </r>
  <r>
    <x v="3"/>
    <n v="1185732"/>
    <x v="324"/>
    <x v="2"/>
    <s v="Utah"/>
    <s v="Salt Lake City"/>
    <x v="3"/>
    <n v="25.000000000000007"/>
    <n v="425"/>
    <n v="106250.00000000003"/>
    <n v="42500.000000000015"/>
    <n v="0.4"/>
    <x v="0"/>
  </r>
  <r>
    <x v="3"/>
    <n v="1185732"/>
    <x v="324"/>
    <x v="2"/>
    <s v="Utah"/>
    <s v="Salt Lake City"/>
    <x v="4"/>
    <n v="35"/>
    <n v="425"/>
    <n v="148750"/>
    <n v="52062.5"/>
    <n v="0.35"/>
    <x v="0"/>
  </r>
  <r>
    <x v="3"/>
    <n v="1185732"/>
    <x v="324"/>
    <x v="2"/>
    <s v="Utah"/>
    <s v="Salt Lake City"/>
    <x v="5"/>
    <n v="40"/>
    <n v="600"/>
    <n v="240000"/>
    <n v="120000"/>
    <n v="0.5"/>
    <x v="0"/>
  </r>
  <r>
    <x v="3"/>
    <n v="1185732"/>
    <x v="356"/>
    <x v="2"/>
    <s v="Utah"/>
    <s v="Salt Lake City"/>
    <x v="0"/>
    <n v="35"/>
    <n v="750"/>
    <n v="262500"/>
    <n v="105000"/>
    <n v="0.4"/>
    <x v="0"/>
  </r>
  <r>
    <x v="3"/>
    <n v="1185732"/>
    <x v="356"/>
    <x v="2"/>
    <s v="Utah"/>
    <s v="Salt Lake City"/>
    <x v="1"/>
    <n v="35.000000000000007"/>
    <n v="525"/>
    <n v="183750.00000000003"/>
    <n v="64312.500000000007"/>
    <n v="0.35"/>
    <x v="0"/>
  </r>
  <r>
    <x v="3"/>
    <n v="1185732"/>
    <x v="356"/>
    <x v="2"/>
    <s v="Utah"/>
    <s v="Salt Lake City"/>
    <x v="2"/>
    <n v="30.000000000000004"/>
    <n v="450"/>
    <n v="135000.00000000003"/>
    <n v="47250.000000000007"/>
    <n v="0.35"/>
    <x v="0"/>
  </r>
  <r>
    <x v="3"/>
    <n v="1185732"/>
    <x v="356"/>
    <x v="2"/>
    <s v="Utah"/>
    <s v="Salt Lake City"/>
    <x v="3"/>
    <n v="20.000000000000007"/>
    <n v="375"/>
    <n v="75000.000000000029"/>
    <n v="30000.000000000015"/>
    <n v="0.4"/>
    <x v="0"/>
  </r>
  <r>
    <x v="3"/>
    <n v="1185732"/>
    <x v="356"/>
    <x v="2"/>
    <s v="Utah"/>
    <s v="Salt Lake City"/>
    <x v="4"/>
    <n v="30.000000000000004"/>
    <n v="350"/>
    <n v="105000.00000000001"/>
    <n v="36750"/>
    <n v="0.35"/>
    <x v="0"/>
  </r>
  <r>
    <x v="3"/>
    <n v="1185732"/>
    <x v="356"/>
    <x v="2"/>
    <s v="Utah"/>
    <s v="Salt Lake City"/>
    <x v="5"/>
    <n v="35"/>
    <n v="525"/>
    <n v="183750"/>
    <n v="91875"/>
    <n v="0.5"/>
    <x v="0"/>
  </r>
  <r>
    <x v="3"/>
    <n v="1185732"/>
    <x v="388"/>
    <x v="2"/>
    <s v="Utah"/>
    <s v="Salt Lake City"/>
    <x v="0"/>
    <n v="30.000000000000004"/>
    <n v="650"/>
    <n v="195000.00000000003"/>
    <n v="78000.000000000015"/>
    <n v="0.4"/>
    <x v="0"/>
  </r>
  <r>
    <x v="3"/>
    <n v="1185732"/>
    <x v="388"/>
    <x v="2"/>
    <s v="Utah"/>
    <s v="Salt Lake City"/>
    <x v="1"/>
    <n v="25.000000000000011"/>
    <n v="450"/>
    <n v="112500.00000000004"/>
    <n v="39375.000000000015"/>
    <n v="0.35"/>
    <x v="0"/>
  </r>
  <r>
    <x v="3"/>
    <n v="1185732"/>
    <x v="388"/>
    <x v="2"/>
    <s v="Utah"/>
    <s v="Salt Lake City"/>
    <x v="2"/>
    <n v="10.000000000000002"/>
    <n v="350"/>
    <n v="35000.000000000007"/>
    <n v="12250.000000000002"/>
    <n v="0.35"/>
    <x v="0"/>
  </r>
  <r>
    <x v="3"/>
    <n v="1185732"/>
    <x v="388"/>
    <x v="2"/>
    <s v="Utah"/>
    <s v="Salt Lake City"/>
    <x v="3"/>
    <n v="10.000000000000002"/>
    <n v="325"/>
    <n v="32500.000000000007"/>
    <n v="13000.000000000004"/>
    <n v="0.4"/>
    <x v="0"/>
  </r>
  <r>
    <x v="3"/>
    <n v="1185732"/>
    <x v="388"/>
    <x v="2"/>
    <s v="Utah"/>
    <s v="Salt Lake City"/>
    <x v="4"/>
    <n v="20"/>
    <n v="325"/>
    <n v="65000"/>
    <n v="22750"/>
    <n v="0.35"/>
    <x v="0"/>
  </r>
  <r>
    <x v="3"/>
    <n v="1185732"/>
    <x v="388"/>
    <x v="2"/>
    <s v="Utah"/>
    <s v="Salt Lake City"/>
    <x v="5"/>
    <n v="25.000000000000007"/>
    <n v="400"/>
    <n v="100000.00000000003"/>
    <n v="50000.000000000015"/>
    <n v="0.5"/>
    <x v="0"/>
  </r>
  <r>
    <x v="3"/>
    <n v="1185732"/>
    <x v="417"/>
    <x v="2"/>
    <s v="Utah"/>
    <s v="Salt Lake City"/>
    <x v="0"/>
    <n v="30"/>
    <n v="575"/>
    <n v="172500"/>
    <n v="69000"/>
    <n v="0.4"/>
    <x v="0"/>
  </r>
  <r>
    <x v="3"/>
    <n v="1185732"/>
    <x v="417"/>
    <x v="2"/>
    <s v="Utah"/>
    <s v="Salt Lake City"/>
    <x v="1"/>
    <n v="20"/>
    <n v="400"/>
    <n v="80000"/>
    <n v="28000"/>
    <n v="0.35"/>
    <x v="0"/>
  </r>
  <r>
    <x v="3"/>
    <n v="1185732"/>
    <x v="417"/>
    <x v="2"/>
    <s v="Utah"/>
    <s v="Salt Lake City"/>
    <x v="2"/>
    <n v="20"/>
    <n v="300"/>
    <n v="60000"/>
    <n v="21000"/>
    <n v="0.35"/>
    <x v="0"/>
  </r>
  <r>
    <x v="3"/>
    <n v="1185732"/>
    <x v="417"/>
    <x v="2"/>
    <s v="Utah"/>
    <s v="Salt Lake City"/>
    <x v="3"/>
    <n v="20"/>
    <n v="275"/>
    <n v="55000"/>
    <n v="22000"/>
    <n v="0.4"/>
    <x v="0"/>
  </r>
  <r>
    <x v="3"/>
    <n v="1185732"/>
    <x v="417"/>
    <x v="2"/>
    <s v="Utah"/>
    <s v="Salt Lake City"/>
    <x v="4"/>
    <n v="30"/>
    <n v="275"/>
    <n v="82500"/>
    <n v="28874.999999999996"/>
    <n v="0.35"/>
    <x v="0"/>
  </r>
  <r>
    <x v="3"/>
    <n v="1185732"/>
    <x v="417"/>
    <x v="2"/>
    <s v="Utah"/>
    <s v="Salt Lake City"/>
    <x v="5"/>
    <n v="34.999999999999993"/>
    <n v="400"/>
    <n v="139999.99999999997"/>
    <n v="69999.999999999985"/>
    <n v="0.5"/>
    <x v="0"/>
  </r>
  <r>
    <x v="3"/>
    <n v="1185732"/>
    <x v="448"/>
    <x v="2"/>
    <s v="Utah"/>
    <s v="Salt Lake City"/>
    <x v="0"/>
    <n v="30.000000000000004"/>
    <n v="550"/>
    <n v="165000.00000000003"/>
    <n v="66000.000000000015"/>
    <n v="0.4"/>
    <x v="0"/>
  </r>
  <r>
    <x v="3"/>
    <n v="1185732"/>
    <x v="448"/>
    <x v="2"/>
    <s v="Utah"/>
    <s v="Salt Lake City"/>
    <x v="1"/>
    <n v="20.000000000000007"/>
    <n v="400"/>
    <n v="80000.000000000029"/>
    <n v="28000.000000000007"/>
    <n v="0.35"/>
    <x v="0"/>
  </r>
  <r>
    <x v="3"/>
    <n v="1185732"/>
    <x v="448"/>
    <x v="2"/>
    <s v="Utah"/>
    <s v="Salt Lake City"/>
    <x v="2"/>
    <n v="20.000000000000007"/>
    <n v="345"/>
    <n v="69000.000000000029"/>
    <n v="24150.000000000007"/>
    <n v="0.35"/>
    <x v="0"/>
  </r>
  <r>
    <x v="3"/>
    <n v="1185732"/>
    <x v="448"/>
    <x v="2"/>
    <s v="Utah"/>
    <s v="Salt Lake City"/>
    <x v="3"/>
    <n v="20.000000000000007"/>
    <n v="375"/>
    <n v="75000.000000000029"/>
    <n v="30000.000000000015"/>
    <n v="0.4"/>
    <x v="0"/>
  </r>
  <r>
    <x v="3"/>
    <n v="1185732"/>
    <x v="448"/>
    <x v="2"/>
    <s v="Utah"/>
    <s v="Salt Lake City"/>
    <x v="4"/>
    <n v="40"/>
    <n v="350"/>
    <n v="140000"/>
    <n v="49000"/>
    <n v="0.35"/>
    <x v="0"/>
  </r>
  <r>
    <x v="3"/>
    <n v="1185732"/>
    <x v="448"/>
    <x v="2"/>
    <s v="Utah"/>
    <s v="Salt Lake City"/>
    <x v="5"/>
    <n v="44.999999999999986"/>
    <n v="450"/>
    <n v="202499.99999999994"/>
    <n v="101249.99999999997"/>
    <n v="0.5"/>
    <x v="0"/>
  </r>
  <r>
    <x v="3"/>
    <n v="1185732"/>
    <x v="477"/>
    <x v="2"/>
    <s v="Utah"/>
    <s v="Salt Lake City"/>
    <x v="0"/>
    <n v="40"/>
    <n v="700"/>
    <n v="280000"/>
    <n v="112000"/>
    <n v="0.4"/>
    <x v="0"/>
  </r>
  <r>
    <x v="3"/>
    <n v="1185732"/>
    <x v="477"/>
    <x v="2"/>
    <s v="Utah"/>
    <s v="Salt Lake City"/>
    <x v="1"/>
    <n v="30.000000000000004"/>
    <n v="500"/>
    <n v="150000.00000000003"/>
    <n v="52500.000000000007"/>
    <n v="0.35"/>
    <x v="0"/>
  </r>
  <r>
    <x v="3"/>
    <n v="1185732"/>
    <x v="477"/>
    <x v="2"/>
    <s v="Utah"/>
    <s v="Salt Lake City"/>
    <x v="2"/>
    <n v="30.000000000000004"/>
    <n v="450"/>
    <n v="135000.00000000003"/>
    <n v="47250.000000000007"/>
    <n v="0.35"/>
    <x v="0"/>
  </r>
  <r>
    <x v="3"/>
    <n v="1185732"/>
    <x v="477"/>
    <x v="2"/>
    <s v="Utah"/>
    <s v="Salt Lake City"/>
    <x v="3"/>
    <n v="30.000000000000004"/>
    <n v="400"/>
    <n v="120000.00000000001"/>
    <n v="48000.000000000007"/>
    <n v="0.4"/>
    <x v="0"/>
  </r>
  <r>
    <x v="3"/>
    <n v="1185732"/>
    <x v="477"/>
    <x v="2"/>
    <s v="Utah"/>
    <s v="Salt Lake City"/>
    <x v="4"/>
    <n v="40"/>
    <n v="400"/>
    <n v="160000"/>
    <n v="56000"/>
    <n v="0.35"/>
    <x v="0"/>
  </r>
  <r>
    <x v="3"/>
    <n v="1185732"/>
    <x v="477"/>
    <x v="2"/>
    <s v="Utah"/>
    <s v="Salt Lake City"/>
    <x v="5"/>
    <n v="44.999999999999986"/>
    <n v="500"/>
    <n v="224999.99999999994"/>
    <n v="112499.99999999997"/>
    <n v="0.5"/>
    <x v="0"/>
  </r>
  <r>
    <x v="3"/>
    <n v="1128299"/>
    <x v="188"/>
    <x v="2"/>
    <s v="Utah"/>
    <s v="Salt Lake City"/>
    <x v="0"/>
    <n v="30.000000000000004"/>
    <n v="350"/>
    <n v="105000.00000000001"/>
    <n v="36750"/>
    <n v="0.35"/>
    <x v="0"/>
  </r>
  <r>
    <x v="3"/>
    <n v="1128299"/>
    <x v="188"/>
    <x v="2"/>
    <s v="Utah"/>
    <s v="Salt Lake City"/>
    <x v="1"/>
    <n v="40"/>
    <n v="350"/>
    <n v="140000"/>
    <n v="49000"/>
    <n v="0.35"/>
    <x v="0"/>
  </r>
  <r>
    <x v="3"/>
    <n v="1128299"/>
    <x v="188"/>
    <x v="2"/>
    <s v="Utah"/>
    <s v="Salt Lake City"/>
    <x v="2"/>
    <n v="40"/>
    <n v="350"/>
    <n v="140000"/>
    <n v="49000"/>
    <n v="0.35"/>
    <x v="0"/>
  </r>
  <r>
    <x v="3"/>
    <n v="1128299"/>
    <x v="188"/>
    <x v="2"/>
    <s v="Utah"/>
    <s v="Salt Lake City"/>
    <x v="3"/>
    <n v="40"/>
    <n v="200"/>
    <n v="80000"/>
    <n v="28000"/>
    <n v="0.35"/>
    <x v="0"/>
  </r>
  <r>
    <x v="3"/>
    <n v="1128299"/>
    <x v="188"/>
    <x v="2"/>
    <s v="Utah"/>
    <s v="Salt Lake City"/>
    <x v="4"/>
    <n v="45.000000000000007"/>
    <n v="150"/>
    <n v="67500.000000000015"/>
    <n v="27000.000000000007"/>
    <n v="0.4"/>
    <x v="0"/>
  </r>
  <r>
    <x v="3"/>
    <n v="1128299"/>
    <x v="188"/>
    <x v="2"/>
    <s v="Utah"/>
    <s v="Salt Lake City"/>
    <x v="5"/>
    <n v="40"/>
    <n v="400"/>
    <n v="160000"/>
    <n v="48000"/>
    <n v="0.3"/>
    <x v="0"/>
  </r>
  <r>
    <x v="3"/>
    <n v="1128299"/>
    <x v="698"/>
    <x v="2"/>
    <s v="Utah"/>
    <s v="Salt Lake City"/>
    <x v="0"/>
    <n v="30.000000000000004"/>
    <n v="450"/>
    <n v="135000.00000000003"/>
    <n v="47250.000000000007"/>
    <n v="0.35"/>
    <x v="0"/>
  </r>
  <r>
    <x v="3"/>
    <n v="1128299"/>
    <x v="698"/>
    <x v="2"/>
    <s v="Utah"/>
    <s v="Salt Lake City"/>
    <x v="1"/>
    <n v="40"/>
    <n v="350"/>
    <n v="140000"/>
    <n v="49000"/>
    <n v="0.35"/>
    <x v="0"/>
  </r>
  <r>
    <x v="3"/>
    <n v="1128299"/>
    <x v="698"/>
    <x v="2"/>
    <s v="Utah"/>
    <s v="Salt Lake City"/>
    <x v="2"/>
    <n v="40"/>
    <n v="350"/>
    <n v="140000"/>
    <n v="49000"/>
    <n v="0.35"/>
    <x v="0"/>
  </r>
  <r>
    <x v="3"/>
    <n v="1128299"/>
    <x v="698"/>
    <x v="2"/>
    <s v="Oregon"/>
    <s v="Portland"/>
    <x v="3"/>
    <n v="40"/>
    <n v="200"/>
    <n v="80000"/>
    <n v="28000"/>
    <n v="0.35"/>
    <x v="0"/>
  </r>
  <r>
    <x v="3"/>
    <n v="1128299"/>
    <x v="698"/>
    <x v="2"/>
    <s v="Oregon"/>
    <s v="Portland"/>
    <x v="4"/>
    <n v="45.000000000000007"/>
    <n v="125"/>
    <n v="56250.000000000007"/>
    <n v="22500.000000000004"/>
    <n v="0.4"/>
    <x v="0"/>
  </r>
  <r>
    <x v="3"/>
    <n v="1128299"/>
    <x v="698"/>
    <x v="2"/>
    <s v="Oregon"/>
    <s v="Portland"/>
    <x v="5"/>
    <n v="40"/>
    <n v="325"/>
    <n v="130000"/>
    <n v="39000"/>
    <n v="0.3"/>
    <x v="0"/>
  </r>
  <r>
    <x v="3"/>
    <n v="1128299"/>
    <x v="228"/>
    <x v="2"/>
    <s v="Oregon"/>
    <s v="Portland"/>
    <x v="0"/>
    <n v="40"/>
    <n v="475"/>
    <n v="190000"/>
    <n v="66500"/>
    <n v="0.35"/>
    <x v="0"/>
  </r>
  <r>
    <x v="3"/>
    <n v="1128299"/>
    <x v="228"/>
    <x v="2"/>
    <s v="Oregon"/>
    <s v="Portland"/>
    <x v="1"/>
    <n v="50"/>
    <n v="325"/>
    <n v="162500"/>
    <n v="56875"/>
    <n v="0.35"/>
    <x v="0"/>
  </r>
  <r>
    <x v="3"/>
    <n v="1128299"/>
    <x v="228"/>
    <x v="2"/>
    <s v="Oregon"/>
    <s v="Portland"/>
    <x v="2"/>
    <n v="54.999999999999993"/>
    <n v="350"/>
    <n v="192499.99999999997"/>
    <n v="67374.999999999985"/>
    <n v="0.35"/>
    <x v="0"/>
  </r>
  <r>
    <x v="3"/>
    <n v="1128299"/>
    <x v="228"/>
    <x v="2"/>
    <s v="Oregon"/>
    <s v="Portland"/>
    <x v="3"/>
    <n v="50"/>
    <n v="250"/>
    <n v="125000"/>
    <n v="43750"/>
    <n v="0.35"/>
    <x v="0"/>
  </r>
  <r>
    <x v="3"/>
    <n v="1128299"/>
    <x v="228"/>
    <x v="2"/>
    <s v="Oregon"/>
    <s v="Portland"/>
    <x v="4"/>
    <n v="55.000000000000007"/>
    <n v="100"/>
    <n v="55000.000000000007"/>
    <n v="22000.000000000004"/>
    <n v="0.4"/>
    <x v="0"/>
  </r>
  <r>
    <x v="3"/>
    <n v="1128299"/>
    <x v="228"/>
    <x v="2"/>
    <s v="Oregon"/>
    <s v="Portland"/>
    <x v="5"/>
    <n v="50"/>
    <n v="300"/>
    <n v="150000"/>
    <n v="45000"/>
    <n v="0.3"/>
    <x v="0"/>
  </r>
  <r>
    <x v="3"/>
    <n v="1128299"/>
    <x v="247"/>
    <x v="2"/>
    <s v="Oregon"/>
    <s v="Portland"/>
    <x v="0"/>
    <n v="55.000000000000007"/>
    <n v="475"/>
    <n v="261250.00000000003"/>
    <n v="91437.5"/>
    <n v="0.35"/>
    <x v="0"/>
  </r>
  <r>
    <x v="3"/>
    <n v="1128299"/>
    <x v="247"/>
    <x v="2"/>
    <s v="Oregon"/>
    <s v="Portland"/>
    <x v="1"/>
    <n v="60.000000000000007"/>
    <n v="275"/>
    <n v="165000.00000000003"/>
    <n v="57750.000000000007"/>
    <n v="0.35"/>
    <x v="0"/>
  </r>
  <r>
    <x v="3"/>
    <n v="1128299"/>
    <x v="247"/>
    <x v="2"/>
    <s v="Oregon"/>
    <s v="Portland"/>
    <x v="2"/>
    <n v="60.000000000000007"/>
    <n v="325"/>
    <n v="195000.00000000003"/>
    <n v="68250"/>
    <n v="0.35"/>
    <x v="0"/>
  </r>
  <r>
    <x v="3"/>
    <n v="1128299"/>
    <x v="247"/>
    <x v="2"/>
    <s v="Oregon"/>
    <s v="Portland"/>
    <x v="3"/>
    <n v="45.000000000000007"/>
    <n v="225"/>
    <n v="101250.00000000001"/>
    <n v="35437.5"/>
    <n v="0.35"/>
    <x v="0"/>
  </r>
  <r>
    <x v="3"/>
    <n v="1128299"/>
    <x v="247"/>
    <x v="2"/>
    <s v="Oregon"/>
    <s v="Portland"/>
    <x v="4"/>
    <n v="50.000000000000014"/>
    <n v="125"/>
    <n v="62500.000000000015"/>
    <n v="25000.000000000007"/>
    <n v="0.4"/>
    <x v="0"/>
  </r>
  <r>
    <x v="3"/>
    <n v="1128299"/>
    <x v="247"/>
    <x v="2"/>
    <s v="Oregon"/>
    <s v="Portland"/>
    <x v="5"/>
    <n v="65.000000000000014"/>
    <n v="300"/>
    <n v="195000.00000000003"/>
    <n v="58500.000000000007"/>
    <n v="0.3"/>
    <x v="0"/>
  </r>
  <r>
    <x v="3"/>
    <n v="1128299"/>
    <x v="278"/>
    <x v="2"/>
    <s v="Oregon"/>
    <s v="Portland"/>
    <x v="0"/>
    <n v="50"/>
    <n v="500"/>
    <n v="250000"/>
    <n v="87500"/>
    <n v="0.35"/>
    <x v="0"/>
  </r>
  <r>
    <x v="3"/>
    <n v="1128299"/>
    <x v="278"/>
    <x v="2"/>
    <s v="Oregon"/>
    <s v="Portland"/>
    <x v="1"/>
    <n v="55.000000000000007"/>
    <n v="350"/>
    <n v="192500.00000000003"/>
    <n v="67375"/>
    <n v="0.35"/>
    <x v="0"/>
  </r>
  <r>
    <x v="3"/>
    <n v="1128299"/>
    <x v="278"/>
    <x v="2"/>
    <s v="Oregon"/>
    <s v="Portland"/>
    <x v="2"/>
    <n v="55.000000000000007"/>
    <n v="350"/>
    <n v="192500.00000000003"/>
    <n v="67375"/>
    <n v="0.35"/>
    <x v="0"/>
  </r>
  <r>
    <x v="3"/>
    <n v="1128299"/>
    <x v="278"/>
    <x v="2"/>
    <s v="Oregon"/>
    <s v="Portland"/>
    <x v="3"/>
    <n v="50"/>
    <n v="275"/>
    <n v="137500"/>
    <n v="48125"/>
    <n v="0.35"/>
    <x v="0"/>
  </r>
  <r>
    <x v="3"/>
    <n v="1128299"/>
    <x v="278"/>
    <x v="2"/>
    <s v="Oregon"/>
    <s v="Portland"/>
    <x v="4"/>
    <n v="44.999999999999993"/>
    <n v="175"/>
    <n v="78749.999999999985"/>
    <n v="31499.999999999996"/>
    <n v="0.4"/>
    <x v="0"/>
  </r>
  <r>
    <x v="3"/>
    <n v="1128299"/>
    <x v="278"/>
    <x v="2"/>
    <s v="Oregon"/>
    <s v="Portland"/>
    <x v="5"/>
    <n v="60"/>
    <n v="525"/>
    <n v="315000"/>
    <n v="94500"/>
    <n v="0.3"/>
    <x v="0"/>
  </r>
  <r>
    <x v="3"/>
    <n v="1128299"/>
    <x v="308"/>
    <x v="2"/>
    <s v="Oregon"/>
    <s v="Portland"/>
    <x v="0"/>
    <n v="54.999999999999993"/>
    <n v="775"/>
    <n v="426249.99999999994"/>
    <n v="149187.49999999997"/>
    <n v="0.35"/>
    <x v="0"/>
  </r>
  <r>
    <x v="3"/>
    <n v="1128299"/>
    <x v="308"/>
    <x v="2"/>
    <s v="Oregon"/>
    <s v="Portland"/>
    <x v="1"/>
    <n v="64.999999999999986"/>
    <n v="650"/>
    <n v="422499.99999999988"/>
    <n v="147874.99999999994"/>
    <n v="0.35"/>
    <x v="0"/>
  </r>
  <r>
    <x v="3"/>
    <n v="1128299"/>
    <x v="308"/>
    <x v="2"/>
    <s v="Oregon"/>
    <s v="Portland"/>
    <x v="2"/>
    <n v="80"/>
    <n v="650"/>
    <n v="520000"/>
    <n v="182000"/>
    <n v="0.35"/>
    <x v="0"/>
  </r>
  <r>
    <x v="3"/>
    <n v="1128299"/>
    <x v="308"/>
    <x v="2"/>
    <s v="Oregon"/>
    <s v="Portland"/>
    <x v="3"/>
    <n v="80"/>
    <n v="525"/>
    <n v="420000"/>
    <n v="147000"/>
    <n v="0.35"/>
    <x v="0"/>
  </r>
  <r>
    <x v="3"/>
    <n v="1128299"/>
    <x v="308"/>
    <x v="2"/>
    <s v="Oregon"/>
    <s v="Portland"/>
    <x v="4"/>
    <n v="90"/>
    <n v="400"/>
    <n v="360000"/>
    <n v="144000"/>
    <n v="0.4"/>
    <x v="0"/>
  </r>
  <r>
    <x v="3"/>
    <n v="1128299"/>
    <x v="308"/>
    <x v="2"/>
    <s v="Oregon"/>
    <s v="Portland"/>
    <x v="5"/>
    <n v="105"/>
    <n v="700"/>
    <n v="735000"/>
    <n v="220500"/>
    <n v="0.3"/>
    <x v="0"/>
  </r>
  <r>
    <x v="3"/>
    <n v="1128299"/>
    <x v="337"/>
    <x v="2"/>
    <s v="Oregon"/>
    <s v="Portland"/>
    <x v="0"/>
    <n v="85"/>
    <n v="850"/>
    <n v="722500"/>
    <n v="252874.99999999997"/>
    <n v="0.35"/>
    <x v="0"/>
  </r>
  <r>
    <x v="3"/>
    <n v="1128299"/>
    <x v="337"/>
    <x v="2"/>
    <s v="Oregon"/>
    <s v="Portland"/>
    <x v="1"/>
    <n v="90"/>
    <n v="700"/>
    <n v="630000"/>
    <n v="220500"/>
    <n v="0.35"/>
    <x v="0"/>
  </r>
  <r>
    <x v="3"/>
    <n v="1128299"/>
    <x v="337"/>
    <x v="2"/>
    <s v="Oregon"/>
    <s v="Portland"/>
    <x v="2"/>
    <n v="90"/>
    <n v="650"/>
    <n v="585000"/>
    <n v="204750"/>
    <n v="0.35"/>
    <x v="0"/>
  </r>
  <r>
    <x v="3"/>
    <n v="1128299"/>
    <x v="337"/>
    <x v="2"/>
    <s v="Oregon"/>
    <s v="Portland"/>
    <x v="3"/>
    <n v="85"/>
    <n v="550"/>
    <n v="467500"/>
    <n v="163625"/>
    <n v="0.35"/>
    <x v="0"/>
  </r>
  <r>
    <x v="3"/>
    <n v="1128299"/>
    <x v="337"/>
    <x v="2"/>
    <s v="Oregon"/>
    <s v="Portland"/>
    <x v="4"/>
    <n v="90"/>
    <n v="600"/>
    <n v="540000"/>
    <n v="216000"/>
    <n v="0.4"/>
    <x v="0"/>
  </r>
  <r>
    <x v="3"/>
    <n v="1128299"/>
    <x v="337"/>
    <x v="2"/>
    <s v="Oregon"/>
    <s v="Portland"/>
    <x v="5"/>
    <n v="105"/>
    <n v="600"/>
    <n v="630000"/>
    <n v="189000"/>
    <n v="0.3"/>
    <x v="0"/>
  </r>
  <r>
    <x v="3"/>
    <n v="1128299"/>
    <x v="369"/>
    <x v="2"/>
    <s v="Oregon"/>
    <s v="Portland"/>
    <x v="0"/>
    <n v="90"/>
    <n v="800"/>
    <n v="720000"/>
    <n v="251999.99999999997"/>
    <n v="0.35"/>
    <x v="0"/>
  </r>
  <r>
    <x v="3"/>
    <n v="1128299"/>
    <x v="369"/>
    <x v="2"/>
    <s v="Oregon"/>
    <s v="Portland"/>
    <x v="1"/>
    <n v="80"/>
    <n v="775"/>
    <n v="620000"/>
    <n v="217000"/>
    <n v="0.35"/>
    <x v="0"/>
  </r>
  <r>
    <x v="3"/>
    <n v="1128299"/>
    <x v="369"/>
    <x v="2"/>
    <s v="Oregon"/>
    <s v="Portland"/>
    <x v="2"/>
    <n v="70"/>
    <n v="650"/>
    <n v="455000"/>
    <n v="159250"/>
    <n v="0.35"/>
    <x v="0"/>
  </r>
  <r>
    <x v="3"/>
    <n v="1128299"/>
    <x v="369"/>
    <x v="2"/>
    <s v="Oregon"/>
    <s v="Portland"/>
    <x v="3"/>
    <n v="70"/>
    <n v="425"/>
    <n v="297500"/>
    <n v="104125"/>
    <n v="0.35"/>
    <x v="0"/>
  </r>
  <r>
    <x v="3"/>
    <n v="1128299"/>
    <x v="369"/>
    <x v="2"/>
    <s v="Oregon"/>
    <s v="Portland"/>
    <x v="4"/>
    <n v="70"/>
    <n v="425"/>
    <n v="297500"/>
    <n v="119000"/>
    <n v="0.4"/>
    <x v="0"/>
  </r>
  <r>
    <x v="3"/>
    <n v="1128299"/>
    <x v="369"/>
    <x v="2"/>
    <s v="Oregon"/>
    <s v="Portland"/>
    <x v="5"/>
    <n v="75"/>
    <n v="250"/>
    <n v="187500"/>
    <n v="56250"/>
    <n v="0.3"/>
    <x v="0"/>
  </r>
  <r>
    <x v="3"/>
    <n v="1128299"/>
    <x v="401"/>
    <x v="2"/>
    <s v="Oregon"/>
    <s v="Portland"/>
    <x v="0"/>
    <n v="50.000000000000014"/>
    <n v="450"/>
    <n v="225000.00000000006"/>
    <n v="78750.000000000015"/>
    <n v="0.35"/>
    <x v="0"/>
  </r>
  <r>
    <x v="3"/>
    <n v="1128299"/>
    <x v="401"/>
    <x v="2"/>
    <s v="Oregon"/>
    <s v="Portland"/>
    <x v="1"/>
    <n v="55.000000000000014"/>
    <n v="450"/>
    <n v="247500.00000000006"/>
    <n v="86625.000000000015"/>
    <n v="0.35"/>
    <x v="0"/>
  </r>
  <r>
    <x v="3"/>
    <n v="1128299"/>
    <x v="401"/>
    <x v="2"/>
    <s v="Oregon"/>
    <s v="Portland"/>
    <x v="2"/>
    <n v="50.000000000000014"/>
    <n v="250"/>
    <n v="125000.00000000003"/>
    <n v="43750.000000000007"/>
    <n v="0.35"/>
    <x v="0"/>
  </r>
  <r>
    <x v="3"/>
    <n v="1128299"/>
    <x v="401"/>
    <x v="2"/>
    <s v="Oregon"/>
    <s v="Portland"/>
    <x v="3"/>
    <n v="50.000000000000014"/>
    <n v="200"/>
    <n v="100000.00000000003"/>
    <n v="35000.000000000007"/>
    <n v="0.35"/>
    <x v="0"/>
  </r>
  <r>
    <x v="3"/>
    <n v="1128299"/>
    <x v="401"/>
    <x v="2"/>
    <s v="Oregon"/>
    <s v="Portland"/>
    <x v="4"/>
    <n v="60.000000000000007"/>
    <n v="225"/>
    <n v="135000.00000000003"/>
    <n v="54000.000000000015"/>
    <n v="0.4"/>
    <x v="0"/>
  </r>
  <r>
    <x v="3"/>
    <n v="1128299"/>
    <x v="401"/>
    <x v="2"/>
    <s v="Oregon"/>
    <s v="Portland"/>
    <x v="5"/>
    <n v="44.999999999999993"/>
    <n v="250"/>
    <n v="112499.99999999999"/>
    <n v="33749.999999999993"/>
    <n v="0.3"/>
    <x v="0"/>
  </r>
  <r>
    <x v="3"/>
    <n v="1128299"/>
    <x v="430"/>
    <x v="2"/>
    <s v="Oregon"/>
    <s v="Portland"/>
    <x v="0"/>
    <n v="40"/>
    <n v="350"/>
    <n v="140000"/>
    <n v="49000"/>
    <n v="0.35"/>
    <x v="0"/>
  </r>
  <r>
    <x v="3"/>
    <n v="1128299"/>
    <x v="430"/>
    <x v="2"/>
    <s v="Oregon"/>
    <s v="Portland"/>
    <x v="1"/>
    <n v="55.000000000000014"/>
    <n v="525"/>
    <n v="288750.00000000006"/>
    <n v="101062.50000000001"/>
    <n v="0.35"/>
    <x v="0"/>
  </r>
  <r>
    <x v="3"/>
    <n v="1128299"/>
    <x v="430"/>
    <x v="2"/>
    <s v="Oregon"/>
    <s v="Portland"/>
    <x v="2"/>
    <n v="50.000000000000014"/>
    <n v="350"/>
    <n v="175000.00000000006"/>
    <n v="61250.000000000015"/>
    <n v="0.35"/>
    <x v="0"/>
  </r>
  <r>
    <x v="3"/>
    <n v="1128299"/>
    <x v="430"/>
    <x v="2"/>
    <s v="Oregon"/>
    <s v="Portland"/>
    <x v="3"/>
    <n v="45.000000000000007"/>
    <n v="325"/>
    <n v="146250.00000000003"/>
    <n v="51187.500000000007"/>
    <n v="0.35"/>
    <x v="0"/>
  </r>
  <r>
    <x v="3"/>
    <n v="1128299"/>
    <x v="430"/>
    <x v="2"/>
    <s v="Oregon"/>
    <s v="Portland"/>
    <x v="4"/>
    <n v="55.000000000000007"/>
    <n v="300"/>
    <n v="165000.00000000003"/>
    <n v="66000.000000000015"/>
    <n v="0.4"/>
    <x v="0"/>
  </r>
  <r>
    <x v="3"/>
    <n v="1128299"/>
    <x v="430"/>
    <x v="2"/>
    <s v="Oregon"/>
    <s v="Portland"/>
    <x v="5"/>
    <n v="60.000000000000007"/>
    <n v="350"/>
    <n v="210000.00000000003"/>
    <n v="63000.000000000007"/>
    <n v="0.3"/>
    <x v="0"/>
  </r>
  <r>
    <x v="3"/>
    <n v="1128299"/>
    <x v="461"/>
    <x v="2"/>
    <s v="Oregon"/>
    <s v="Portland"/>
    <x v="0"/>
    <n v="45.000000000000007"/>
    <n v="575"/>
    <n v="258750.00000000003"/>
    <n v="90562.5"/>
    <n v="0.35"/>
    <x v="0"/>
  </r>
  <r>
    <x v="3"/>
    <n v="1128299"/>
    <x v="461"/>
    <x v="2"/>
    <s v="Oregon"/>
    <s v="Portland"/>
    <x v="1"/>
    <n v="50.000000000000014"/>
    <n v="650"/>
    <n v="325000.00000000012"/>
    <n v="113750.00000000003"/>
    <n v="0.35"/>
    <x v="0"/>
  </r>
  <r>
    <x v="3"/>
    <n v="1128299"/>
    <x v="461"/>
    <x v="2"/>
    <s v="Oregon"/>
    <s v="Portland"/>
    <x v="2"/>
    <n v="45.000000000000007"/>
    <n v="475"/>
    <n v="213750.00000000003"/>
    <n v="74812.5"/>
    <n v="0.35"/>
    <x v="0"/>
  </r>
  <r>
    <x v="3"/>
    <n v="1128299"/>
    <x v="461"/>
    <x v="2"/>
    <s v="Oregon"/>
    <s v="Portland"/>
    <x v="3"/>
    <n v="55.000000000000014"/>
    <n v="450"/>
    <n v="247500.00000000006"/>
    <n v="86625.000000000015"/>
    <n v="0.35"/>
    <x v="0"/>
  </r>
  <r>
    <x v="3"/>
    <n v="1128299"/>
    <x v="461"/>
    <x v="2"/>
    <s v="Oregon"/>
    <s v="Portland"/>
    <x v="4"/>
    <n v="75.000000000000014"/>
    <n v="425"/>
    <n v="318750.00000000006"/>
    <n v="127500.00000000003"/>
    <n v="0.4"/>
    <x v="0"/>
  </r>
  <r>
    <x v="3"/>
    <n v="1128299"/>
    <x v="461"/>
    <x v="2"/>
    <s v="Oregon"/>
    <s v="Portland"/>
    <x v="5"/>
    <n v="80.000000000000014"/>
    <n v="550"/>
    <n v="440000.00000000006"/>
    <n v="132000"/>
    <n v="0.3"/>
    <x v="0"/>
  </r>
  <r>
    <x v="3"/>
    <n v="1128299"/>
    <x v="490"/>
    <x v="2"/>
    <s v="Oregon"/>
    <s v="Portland"/>
    <x v="0"/>
    <n v="65.000000000000014"/>
    <n v="750"/>
    <n v="487500.00000000012"/>
    <n v="170625.00000000003"/>
    <n v="0.35"/>
    <x v="0"/>
  </r>
  <r>
    <x v="3"/>
    <n v="1128299"/>
    <x v="490"/>
    <x v="2"/>
    <s v="Oregon"/>
    <s v="Portland"/>
    <x v="1"/>
    <n v="75.000000000000028"/>
    <n v="750"/>
    <n v="562500.00000000023"/>
    <n v="196875.00000000006"/>
    <n v="0.35"/>
    <x v="0"/>
  </r>
  <r>
    <x v="3"/>
    <n v="1128299"/>
    <x v="490"/>
    <x v="2"/>
    <s v="Oregon"/>
    <s v="Portland"/>
    <x v="2"/>
    <n v="70.000000000000014"/>
    <n v="550"/>
    <n v="385000.00000000006"/>
    <n v="134750"/>
    <n v="0.35"/>
    <x v="0"/>
  </r>
  <r>
    <x v="3"/>
    <n v="1128299"/>
    <x v="490"/>
    <x v="2"/>
    <s v="Oregon"/>
    <s v="Portland"/>
    <x v="3"/>
    <n v="70.000000000000014"/>
    <n v="550"/>
    <n v="385000.00000000006"/>
    <n v="134750"/>
    <n v="0.35"/>
    <x v="0"/>
  </r>
  <r>
    <x v="3"/>
    <n v="1128299"/>
    <x v="490"/>
    <x v="2"/>
    <s v="Oregon"/>
    <s v="Portland"/>
    <x v="4"/>
    <n v="80.000000000000014"/>
    <n v="475"/>
    <n v="380000.00000000006"/>
    <n v="152000.00000000003"/>
    <n v="0.4"/>
    <x v="0"/>
  </r>
  <r>
    <x v="3"/>
    <n v="1128299"/>
    <x v="490"/>
    <x v="2"/>
    <s v="Oregon"/>
    <s v="Portland"/>
    <x v="5"/>
    <n v="85.000000000000014"/>
    <n v="575"/>
    <n v="488750.00000000006"/>
    <n v="146625"/>
    <n v="0.3"/>
    <x v="0"/>
  </r>
  <r>
    <x v="3"/>
    <n v="1128299"/>
    <x v="181"/>
    <x v="2"/>
    <s v="Oregon"/>
    <s v="Portland"/>
    <x v="0"/>
    <n v="35"/>
    <n v="400"/>
    <n v="140000"/>
    <n v="55999.999999999993"/>
    <n v="0.39999999999999997"/>
    <x v="0"/>
  </r>
  <r>
    <x v="3"/>
    <n v="1128299"/>
    <x v="181"/>
    <x v="2"/>
    <s v="Oregon"/>
    <s v="Portland"/>
    <x v="1"/>
    <n v="45"/>
    <n v="400"/>
    <n v="180000"/>
    <n v="72000"/>
    <n v="0.39999999999999997"/>
    <x v="0"/>
  </r>
  <r>
    <x v="3"/>
    <n v="1128299"/>
    <x v="181"/>
    <x v="2"/>
    <s v="Oregon"/>
    <s v="Portland"/>
    <x v="2"/>
    <n v="45"/>
    <n v="400"/>
    <n v="180000"/>
    <n v="72000"/>
    <n v="0.39999999999999997"/>
    <x v="0"/>
  </r>
  <r>
    <x v="3"/>
    <n v="1128299"/>
    <x v="181"/>
    <x v="2"/>
    <s v="Oregon"/>
    <s v="Portland"/>
    <x v="3"/>
    <n v="45"/>
    <n v="250"/>
    <n v="112500"/>
    <n v="44999.999999999993"/>
    <n v="0.39999999999999997"/>
    <x v="0"/>
  </r>
  <r>
    <x v="3"/>
    <n v="1128299"/>
    <x v="181"/>
    <x v="2"/>
    <s v="Oregon"/>
    <s v="Portland"/>
    <x v="4"/>
    <n v="50.000000000000014"/>
    <n v="200"/>
    <n v="100000.00000000003"/>
    <n v="45000.000000000015"/>
    <n v="0.45"/>
    <x v="0"/>
  </r>
  <r>
    <x v="3"/>
    <n v="1128299"/>
    <x v="181"/>
    <x v="2"/>
    <s v="Oregon"/>
    <s v="Portland"/>
    <x v="5"/>
    <n v="45"/>
    <n v="450"/>
    <n v="202500"/>
    <n v="70875"/>
    <n v="0.35"/>
    <x v="0"/>
  </r>
  <r>
    <x v="3"/>
    <n v="1128299"/>
    <x v="212"/>
    <x v="2"/>
    <s v="Oregon"/>
    <s v="Portland"/>
    <x v="0"/>
    <n v="35"/>
    <n v="500"/>
    <n v="175000"/>
    <n v="70000"/>
    <n v="0.39999999999999997"/>
    <x v="0"/>
  </r>
  <r>
    <x v="3"/>
    <n v="1128299"/>
    <x v="212"/>
    <x v="2"/>
    <s v="Oregon"/>
    <s v="Portland"/>
    <x v="1"/>
    <n v="45"/>
    <n v="400"/>
    <n v="180000"/>
    <n v="72000"/>
    <n v="0.39999999999999997"/>
    <x v="0"/>
  </r>
  <r>
    <x v="3"/>
    <n v="1128299"/>
    <x v="212"/>
    <x v="2"/>
    <s v="Oregon"/>
    <s v="Portland"/>
    <x v="2"/>
    <n v="45"/>
    <n v="400"/>
    <n v="180000"/>
    <n v="72000"/>
    <n v="0.39999999999999997"/>
    <x v="0"/>
  </r>
  <r>
    <x v="3"/>
    <n v="1128299"/>
    <x v="212"/>
    <x v="1"/>
    <s v="Louisiana"/>
    <s v="New Orleans"/>
    <x v="3"/>
    <n v="45"/>
    <n v="250"/>
    <n v="112500"/>
    <n v="44999.999999999993"/>
    <n v="0.39999999999999997"/>
    <x v="0"/>
  </r>
  <r>
    <x v="3"/>
    <n v="1128299"/>
    <x v="212"/>
    <x v="1"/>
    <s v="Louisiana"/>
    <s v="New Orleans"/>
    <x v="4"/>
    <n v="50.000000000000014"/>
    <n v="175"/>
    <n v="87500.000000000029"/>
    <n v="39375.000000000015"/>
    <n v="0.45"/>
    <x v="0"/>
  </r>
  <r>
    <x v="3"/>
    <n v="1128299"/>
    <x v="212"/>
    <x v="1"/>
    <s v="Louisiana"/>
    <s v="New Orleans"/>
    <x v="5"/>
    <n v="45"/>
    <n v="375"/>
    <n v="168750"/>
    <n v="59062.499999999993"/>
    <n v="0.35"/>
    <x v="0"/>
  </r>
  <r>
    <x v="3"/>
    <n v="1128299"/>
    <x v="221"/>
    <x v="1"/>
    <s v="Louisiana"/>
    <s v="New Orleans"/>
    <x v="0"/>
    <n v="45"/>
    <n v="525"/>
    <n v="236250"/>
    <n v="94499.999999999985"/>
    <n v="0.39999999999999997"/>
    <x v="0"/>
  </r>
  <r>
    <x v="3"/>
    <n v="1128299"/>
    <x v="221"/>
    <x v="1"/>
    <s v="Louisiana"/>
    <s v="New Orleans"/>
    <x v="1"/>
    <n v="55.000000000000007"/>
    <n v="375"/>
    <n v="206250.00000000003"/>
    <n v="82500"/>
    <n v="0.39999999999999997"/>
    <x v="0"/>
  </r>
  <r>
    <x v="3"/>
    <n v="1128299"/>
    <x v="221"/>
    <x v="1"/>
    <s v="Louisiana"/>
    <s v="New Orleans"/>
    <x v="2"/>
    <n v="60"/>
    <n v="400"/>
    <n v="240000"/>
    <n v="95999.999999999985"/>
    <n v="0.39999999999999997"/>
    <x v="0"/>
  </r>
  <r>
    <x v="3"/>
    <n v="1128299"/>
    <x v="221"/>
    <x v="1"/>
    <s v="Louisiana"/>
    <s v="New Orleans"/>
    <x v="3"/>
    <n v="55.000000000000007"/>
    <n v="300"/>
    <n v="165000.00000000003"/>
    <n v="66000"/>
    <n v="0.39999999999999997"/>
    <x v="0"/>
  </r>
  <r>
    <x v="3"/>
    <n v="1128299"/>
    <x v="221"/>
    <x v="1"/>
    <s v="Louisiana"/>
    <s v="New Orleans"/>
    <x v="4"/>
    <n v="60.000000000000007"/>
    <n v="150"/>
    <n v="90000.000000000015"/>
    <n v="40500.000000000007"/>
    <n v="0.45"/>
    <x v="0"/>
  </r>
  <r>
    <x v="3"/>
    <n v="1128299"/>
    <x v="221"/>
    <x v="1"/>
    <s v="Louisiana"/>
    <s v="New Orleans"/>
    <x v="5"/>
    <n v="45"/>
    <n v="350"/>
    <n v="157500"/>
    <n v="55125"/>
    <n v="0.35"/>
    <x v="0"/>
  </r>
  <r>
    <x v="3"/>
    <n v="1128299"/>
    <x v="240"/>
    <x v="1"/>
    <s v="Louisiana"/>
    <s v="New Orleans"/>
    <x v="0"/>
    <n v="50"/>
    <n v="525"/>
    <n v="262500"/>
    <n v="104999.99999999999"/>
    <n v="0.39999999999999997"/>
    <x v="0"/>
  </r>
  <r>
    <x v="3"/>
    <n v="1128299"/>
    <x v="240"/>
    <x v="1"/>
    <s v="Louisiana"/>
    <s v="New Orleans"/>
    <x v="1"/>
    <n v="55.000000000000007"/>
    <n v="325"/>
    <n v="178750.00000000003"/>
    <n v="71500"/>
    <n v="0.39999999999999997"/>
    <x v="0"/>
  </r>
  <r>
    <x v="3"/>
    <n v="1128299"/>
    <x v="240"/>
    <x v="1"/>
    <s v="Louisiana"/>
    <s v="New Orleans"/>
    <x v="2"/>
    <n v="55.000000000000007"/>
    <n v="375"/>
    <n v="206250.00000000003"/>
    <n v="82500"/>
    <n v="0.39999999999999997"/>
    <x v="0"/>
  </r>
  <r>
    <x v="3"/>
    <n v="1128299"/>
    <x v="240"/>
    <x v="1"/>
    <s v="Louisiana"/>
    <s v="New Orleans"/>
    <x v="3"/>
    <n v="40.000000000000007"/>
    <n v="275"/>
    <n v="110000.00000000001"/>
    <n v="44000"/>
    <n v="0.39999999999999997"/>
    <x v="0"/>
  </r>
  <r>
    <x v="3"/>
    <n v="1128299"/>
    <x v="240"/>
    <x v="1"/>
    <s v="Louisiana"/>
    <s v="New Orleans"/>
    <x v="4"/>
    <n v="45.000000000000014"/>
    <n v="175"/>
    <n v="78750.000000000029"/>
    <n v="35437.500000000015"/>
    <n v="0.45"/>
    <x v="0"/>
  </r>
  <r>
    <x v="3"/>
    <n v="1128299"/>
    <x v="240"/>
    <x v="1"/>
    <s v="Louisiana"/>
    <s v="New Orleans"/>
    <x v="5"/>
    <n v="60.000000000000007"/>
    <n v="350"/>
    <n v="210000.00000000003"/>
    <n v="73500"/>
    <n v="0.35"/>
    <x v="0"/>
  </r>
  <r>
    <x v="3"/>
    <n v="1128299"/>
    <x v="271"/>
    <x v="1"/>
    <s v="Louisiana"/>
    <s v="New Orleans"/>
    <x v="0"/>
    <n v="45"/>
    <n v="550"/>
    <n v="247500"/>
    <n v="98999.999999999985"/>
    <n v="0.39999999999999997"/>
    <x v="0"/>
  </r>
  <r>
    <x v="3"/>
    <n v="1128299"/>
    <x v="271"/>
    <x v="1"/>
    <s v="Louisiana"/>
    <s v="New Orleans"/>
    <x v="1"/>
    <n v="50"/>
    <n v="400"/>
    <n v="200000"/>
    <n v="80000"/>
    <n v="0.39999999999999997"/>
    <x v="0"/>
  </r>
  <r>
    <x v="3"/>
    <n v="1128299"/>
    <x v="271"/>
    <x v="1"/>
    <s v="Louisiana"/>
    <s v="New Orleans"/>
    <x v="2"/>
    <n v="50"/>
    <n v="400"/>
    <n v="200000"/>
    <n v="80000"/>
    <n v="0.39999999999999997"/>
    <x v="0"/>
  </r>
  <r>
    <x v="3"/>
    <n v="1128299"/>
    <x v="271"/>
    <x v="1"/>
    <s v="Louisiana"/>
    <s v="New Orleans"/>
    <x v="3"/>
    <n v="45"/>
    <n v="325"/>
    <n v="146250"/>
    <n v="58499.999999999993"/>
    <n v="0.39999999999999997"/>
    <x v="0"/>
  </r>
  <r>
    <x v="3"/>
    <n v="1128299"/>
    <x v="271"/>
    <x v="1"/>
    <s v="Louisiana"/>
    <s v="New Orleans"/>
    <x v="4"/>
    <n v="40"/>
    <n v="225"/>
    <n v="90000"/>
    <n v="40500"/>
    <n v="0.45"/>
    <x v="0"/>
  </r>
  <r>
    <x v="3"/>
    <n v="1128299"/>
    <x v="271"/>
    <x v="1"/>
    <s v="Louisiana"/>
    <s v="New Orleans"/>
    <x v="5"/>
    <n v="65"/>
    <n v="575"/>
    <n v="373750"/>
    <n v="130812.49999999999"/>
    <n v="0.35"/>
    <x v="2"/>
  </r>
  <r>
    <x v="3"/>
    <n v="1128299"/>
    <x v="301"/>
    <x v="1"/>
    <s v="Louisiana"/>
    <s v="New Orleans"/>
    <x v="0"/>
    <n v="60"/>
    <n v="825"/>
    <n v="495000"/>
    <n v="197999.99999999997"/>
    <n v="0.39999999999999997"/>
    <x v="2"/>
  </r>
  <r>
    <x v="3"/>
    <n v="1128299"/>
    <x v="301"/>
    <x v="1"/>
    <s v="Louisiana"/>
    <s v="New Orleans"/>
    <x v="1"/>
    <n v="70"/>
    <n v="700"/>
    <n v="490000"/>
    <n v="195999.99999999997"/>
    <n v="0.39999999999999997"/>
    <x v="2"/>
  </r>
  <r>
    <x v="3"/>
    <n v="1128299"/>
    <x v="301"/>
    <x v="1"/>
    <s v="Louisiana"/>
    <s v="New Orleans"/>
    <x v="2"/>
    <n v="85"/>
    <n v="700"/>
    <n v="595000"/>
    <n v="237999.99999999997"/>
    <n v="0.39999999999999997"/>
    <x v="2"/>
  </r>
  <r>
    <x v="3"/>
    <n v="1128299"/>
    <x v="301"/>
    <x v="1"/>
    <s v="Louisiana"/>
    <s v="New Orleans"/>
    <x v="3"/>
    <n v="85"/>
    <n v="575"/>
    <n v="488750"/>
    <n v="195499.99999999997"/>
    <n v="0.39999999999999997"/>
    <x v="2"/>
  </r>
  <r>
    <x v="3"/>
    <n v="1128299"/>
    <x v="301"/>
    <x v="1"/>
    <s v="Louisiana"/>
    <s v="New Orleans"/>
    <x v="4"/>
    <n v="95"/>
    <n v="450"/>
    <n v="427500"/>
    <n v="192375"/>
    <n v="0.45"/>
    <x v="2"/>
  </r>
  <r>
    <x v="3"/>
    <n v="1128299"/>
    <x v="301"/>
    <x v="1"/>
    <s v="Louisiana"/>
    <s v="New Orleans"/>
    <x v="5"/>
    <n v="110.00000000000001"/>
    <n v="750"/>
    <n v="825000.00000000012"/>
    <n v="288750"/>
    <n v="0.35"/>
    <x v="2"/>
  </r>
  <r>
    <x v="3"/>
    <n v="1128299"/>
    <x v="330"/>
    <x v="1"/>
    <s v="Louisiana"/>
    <s v="New Orleans"/>
    <x v="0"/>
    <n v="90"/>
    <n v="900"/>
    <n v="810000"/>
    <n v="324000"/>
    <n v="0.39999999999999997"/>
    <x v="2"/>
  </r>
  <r>
    <x v="3"/>
    <n v="1128299"/>
    <x v="330"/>
    <x v="1"/>
    <s v="Louisiana"/>
    <s v="New Orleans"/>
    <x v="1"/>
    <n v="95"/>
    <n v="750"/>
    <n v="712500"/>
    <n v="285000"/>
    <n v="0.39999999999999997"/>
    <x v="2"/>
  </r>
  <r>
    <x v="3"/>
    <n v="1128299"/>
    <x v="330"/>
    <x v="1"/>
    <s v="Louisiana"/>
    <s v="New Orleans"/>
    <x v="2"/>
    <n v="95"/>
    <n v="700"/>
    <n v="665000"/>
    <n v="266000"/>
    <n v="0.39999999999999997"/>
    <x v="2"/>
  </r>
  <r>
    <x v="3"/>
    <n v="1128299"/>
    <x v="330"/>
    <x v="1"/>
    <s v="Louisiana"/>
    <s v="New Orleans"/>
    <x v="3"/>
    <n v="90"/>
    <n v="600"/>
    <n v="540000"/>
    <n v="215999.99999999997"/>
    <n v="0.39999999999999997"/>
    <x v="2"/>
  </r>
  <r>
    <x v="3"/>
    <n v="1128299"/>
    <x v="330"/>
    <x v="1"/>
    <s v="Louisiana"/>
    <s v="New Orleans"/>
    <x v="4"/>
    <n v="95"/>
    <n v="650"/>
    <n v="617500"/>
    <n v="277875"/>
    <n v="0.45"/>
    <x v="2"/>
  </r>
  <r>
    <x v="3"/>
    <n v="1128299"/>
    <x v="330"/>
    <x v="1"/>
    <s v="Louisiana"/>
    <s v="New Orleans"/>
    <x v="5"/>
    <n v="110.00000000000001"/>
    <n v="650"/>
    <n v="715000.00000000012"/>
    <n v="250250.00000000003"/>
    <n v="0.35"/>
    <x v="2"/>
  </r>
  <r>
    <x v="3"/>
    <n v="1128299"/>
    <x v="362"/>
    <x v="1"/>
    <s v="Louisiana"/>
    <s v="New Orleans"/>
    <x v="0"/>
    <n v="95"/>
    <n v="850"/>
    <n v="807500"/>
    <n v="323000"/>
    <n v="0.39999999999999997"/>
    <x v="2"/>
  </r>
  <r>
    <x v="3"/>
    <n v="1128299"/>
    <x v="362"/>
    <x v="1"/>
    <s v="Louisiana"/>
    <s v="New Orleans"/>
    <x v="1"/>
    <n v="85.000000000000014"/>
    <n v="825"/>
    <n v="701250.00000000012"/>
    <n v="280500"/>
    <n v="0.39999999999999997"/>
    <x v="2"/>
  </r>
  <r>
    <x v="3"/>
    <n v="1128299"/>
    <x v="362"/>
    <x v="1"/>
    <s v="Louisiana"/>
    <s v="New Orleans"/>
    <x v="2"/>
    <n v="75.000000000000014"/>
    <n v="700"/>
    <n v="525000.00000000012"/>
    <n v="210000.00000000003"/>
    <n v="0.39999999999999997"/>
    <x v="2"/>
  </r>
  <r>
    <x v="3"/>
    <n v="1128299"/>
    <x v="362"/>
    <x v="1"/>
    <s v="Louisiana"/>
    <s v="New Orleans"/>
    <x v="3"/>
    <n v="75.000000000000014"/>
    <n v="475"/>
    <n v="356250.00000000006"/>
    <n v="142500"/>
    <n v="0.39999999999999997"/>
    <x v="2"/>
  </r>
  <r>
    <x v="3"/>
    <n v="1128299"/>
    <x v="362"/>
    <x v="1"/>
    <s v="Louisiana"/>
    <s v="New Orleans"/>
    <x v="4"/>
    <n v="64.999999999999986"/>
    <n v="475"/>
    <n v="308749.99999999994"/>
    <n v="138937.49999999997"/>
    <n v="0.45"/>
    <x v="2"/>
  </r>
  <r>
    <x v="3"/>
    <n v="1128299"/>
    <x v="362"/>
    <x v="1"/>
    <s v="Louisiana"/>
    <s v="New Orleans"/>
    <x v="5"/>
    <n v="70"/>
    <n v="300"/>
    <n v="210000"/>
    <n v="73500"/>
    <n v="0.35"/>
    <x v="2"/>
  </r>
  <r>
    <x v="3"/>
    <n v="1128299"/>
    <x v="394"/>
    <x v="1"/>
    <s v="Louisiana"/>
    <s v="New Orleans"/>
    <x v="0"/>
    <n v="45.000000000000014"/>
    <n v="500"/>
    <n v="225000.00000000006"/>
    <n v="90000.000000000015"/>
    <n v="0.39999999999999997"/>
    <x v="2"/>
  </r>
  <r>
    <x v="3"/>
    <n v="1128299"/>
    <x v="394"/>
    <x v="1"/>
    <s v="Louisiana"/>
    <s v="New Orleans"/>
    <x v="1"/>
    <n v="50.000000000000014"/>
    <n v="500"/>
    <n v="250000.00000000006"/>
    <n v="100000.00000000001"/>
    <n v="0.39999999999999997"/>
    <x v="2"/>
  </r>
  <r>
    <x v="3"/>
    <n v="1128299"/>
    <x v="394"/>
    <x v="1"/>
    <s v="Louisiana"/>
    <s v="New Orleans"/>
    <x v="2"/>
    <n v="45.000000000000014"/>
    <n v="300"/>
    <n v="135000.00000000003"/>
    <n v="54000.000000000007"/>
    <n v="0.39999999999999997"/>
    <x v="2"/>
  </r>
  <r>
    <x v="3"/>
    <n v="1128299"/>
    <x v="394"/>
    <x v="1"/>
    <s v="Louisiana"/>
    <s v="New Orleans"/>
    <x v="3"/>
    <n v="45.000000000000014"/>
    <n v="250"/>
    <n v="112500.00000000003"/>
    <n v="45000.000000000007"/>
    <n v="0.39999999999999997"/>
    <x v="2"/>
  </r>
  <r>
    <x v="3"/>
    <n v="1128299"/>
    <x v="394"/>
    <x v="1"/>
    <s v="Louisiana"/>
    <s v="New Orleans"/>
    <x v="4"/>
    <n v="55.000000000000007"/>
    <n v="275"/>
    <n v="151250.00000000003"/>
    <n v="68062.500000000015"/>
    <n v="0.45"/>
    <x v="2"/>
  </r>
  <r>
    <x v="3"/>
    <n v="1128299"/>
    <x v="394"/>
    <x v="1"/>
    <s v="Louisiana"/>
    <s v="New Orleans"/>
    <x v="5"/>
    <n v="40"/>
    <n v="300"/>
    <n v="120000"/>
    <n v="42000"/>
    <n v="0.35"/>
    <x v="2"/>
  </r>
  <r>
    <x v="3"/>
    <n v="1128299"/>
    <x v="423"/>
    <x v="1"/>
    <s v="Louisiana"/>
    <s v="New Orleans"/>
    <x v="0"/>
    <n v="35"/>
    <n v="400"/>
    <n v="140000"/>
    <n v="55999.999999999993"/>
    <n v="0.39999999999999997"/>
    <x v="2"/>
  </r>
  <r>
    <x v="3"/>
    <n v="1128299"/>
    <x v="423"/>
    <x v="1"/>
    <s v="Louisiana"/>
    <s v="New Orleans"/>
    <x v="1"/>
    <n v="50.000000000000014"/>
    <n v="575"/>
    <n v="287500.00000000006"/>
    <n v="115000.00000000001"/>
    <n v="0.39999999999999997"/>
    <x v="2"/>
  </r>
  <r>
    <x v="3"/>
    <n v="1128299"/>
    <x v="423"/>
    <x v="1"/>
    <s v="Louisiana"/>
    <s v="New Orleans"/>
    <x v="2"/>
    <n v="45.000000000000014"/>
    <n v="400"/>
    <n v="180000.00000000006"/>
    <n v="72000.000000000015"/>
    <n v="0.39999999999999997"/>
    <x v="2"/>
  </r>
  <r>
    <x v="3"/>
    <n v="1128299"/>
    <x v="423"/>
    <x v="1"/>
    <s v="Louisiana"/>
    <s v="New Orleans"/>
    <x v="3"/>
    <n v="40.000000000000007"/>
    <n v="375"/>
    <n v="150000.00000000003"/>
    <n v="60000.000000000007"/>
    <n v="0.39999999999999997"/>
    <x v="2"/>
  </r>
  <r>
    <x v="3"/>
    <n v="1128299"/>
    <x v="423"/>
    <x v="1"/>
    <s v="Louisiana"/>
    <s v="New Orleans"/>
    <x v="4"/>
    <n v="50"/>
    <n v="350"/>
    <n v="175000"/>
    <n v="78750"/>
    <n v="0.45"/>
    <x v="2"/>
  </r>
  <r>
    <x v="3"/>
    <n v="1128299"/>
    <x v="423"/>
    <x v="1"/>
    <s v="Louisiana"/>
    <s v="New Orleans"/>
    <x v="5"/>
    <n v="55.000000000000007"/>
    <n v="400"/>
    <n v="220000.00000000003"/>
    <n v="77000"/>
    <n v="0.35"/>
    <x v="2"/>
  </r>
  <r>
    <x v="3"/>
    <n v="1128299"/>
    <x v="454"/>
    <x v="1"/>
    <s v="Louisiana"/>
    <s v="New Orleans"/>
    <x v="0"/>
    <n v="40.000000000000007"/>
    <n v="625"/>
    <n v="250000.00000000006"/>
    <n v="100000.00000000001"/>
    <n v="0.39999999999999997"/>
    <x v="2"/>
  </r>
  <r>
    <x v="3"/>
    <n v="1128299"/>
    <x v="454"/>
    <x v="1"/>
    <s v="Louisiana"/>
    <s v="New Orleans"/>
    <x v="1"/>
    <n v="45.000000000000014"/>
    <n v="700"/>
    <n v="315000.00000000012"/>
    <n v="126000.00000000003"/>
    <n v="0.39999999999999997"/>
    <x v="2"/>
  </r>
  <r>
    <x v="3"/>
    <n v="1128299"/>
    <x v="454"/>
    <x v="1"/>
    <s v="Louisiana"/>
    <s v="New Orleans"/>
    <x v="2"/>
    <n v="40.000000000000007"/>
    <n v="525"/>
    <n v="210000.00000000003"/>
    <n v="84000"/>
    <n v="0.39999999999999997"/>
    <x v="2"/>
  </r>
  <r>
    <x v="3"/>
    <n v="1128299"/>
    <x v="454"/>
    <x v="1"/>
    <s v="Louisiana"/>
    <s v="New Orleans"/>
    <x v="3"/>
    <n v="50.000000000000014"/>
    <n v="500"/>
    <n v="250000.00000000006"/>
    <n v="100000.00000000001"/>
    <n v="0.39999999999999997"/>
    <x v="2"/>
  </r>
  <r>
    <x v="3"/>
    <n v="1128299"/>
    <x v="454"/>
    <x v="1"/>
    <s v="Louisiana"/>
    <s v="New Orleans"/>
    <x v="4"/>
    <n v="70"/>
    <n v="475"/>
    <n v="332500"/>
    <n v="149625"/>
    <n v="0.45"/>
    <x v="2"/>
  </r>
  <r>
    <x v="3"/>
    <n v="1128299"/>
    <x v="454"/>
    <x v="1"/>
    <s v="Louisiana"/>
    <s v="New Orleans"/>
    <x v="5"/>
    <n v="85.000000000000014"/>
    <n v="600"/>
    <n v="510000.00000000006"/>
    <n v="178500"/>
    <n v="0.35"/>
    <x v="2"/>
  </r>
  <r>
    <x v="3"/>
    <n v="1128299"/>
    <x v="483"/>
    <x v="1"/>
    <s v="Louisiana"/>
    <s v="New Orleans"/>
    <x v="0"/>
    <n v="70.000000000000014"/>
    <n v="800"/>
    <n v="560000.00000000012"/>
    <n v="224000.00000000003"/>
    <n v="0.39999999999999997"/>
    <x v="2"/>
  </r>
  <r>
    <x v="3"/>
    <n v="1128299"/>
    <x v="483"/>
    <x v="1"/>
    <s v="Louisiana"/>
    <s v="New Orleans"/>
    <x v="1"/>
    <n v="80.000000000000028"/>
    <n v="800"/>
    <n v="640000.00000000023"/>
    <n v="256000.00000000006"/>
    <n v="0.39999999999999997"/>
    <x v="2"/>
  </r>
  <r>
    <x v="0"/>
    <n v="1128299"/>
    <x v="483"/>
    <x v="1"/>
    <s v="Louisiana"/>
    <s v="New Orleans"/>
    <x v="2"/>
    <n v="75.000000000000028"/>
    <n v="600"/>
    <n v="450000.00000000017"/>
    <n v="180000.00000000006"/>
    <n v="0.39999999999999997"/>
    <x v="2"/>
  </r>
  <r>
    <x v="0"/>
    <n v="1128299"/>
    <x v="483"/>
    <x v="1"/>
    <s v="Louisiana"/>
    <s v="New Orleans"/>
    <x v="3"/>
    <n v="75.000000000000028"/>
    <n v="600"/>
    <n v="450000.00000000017"/>
    <n v="180000.00000000006"/>
    <n v="0.39999999999999997"/>
    <x v="2"/>
  </r>
  <r>
    <x v="0"/>
    <n v="1128299"/>
    <x v="483"/>
    <x v="1"/>
    <s v="Louisiana"/>
    <s v="New Orleans"/>
    <x v="4"/>
    <n v="85.000000000000014"/>
    <n v="525"/>
    <n v="446250.00000000006"/>
    <n v="200812.50000000003"/>
    <n v="0.45"/>
    <x v="2"/>
  </r>
  <r>
    <x v="0"/>
    <n v="1128299"/>
    <x v="483"/>
    <x v="1"/>
    <s v="Louisiana"/>
    <s v="New Orleans"/>
    <x v="5"/>
    <n v="90.000000000000028"/>
    <n v="625"/>
    <n v="562500.00000000023"/>
    <n v="196875.00000000006"/>
    <n v="0.35"/>
    <x v="2"/>
  </r>
  <r>
    <x v="0"/>
    <n v="1197831"/>
    <x v="169"/>
    <x v="1"/>
    <s v="Louisiana"/>
    <s v="New Orleans"/>
    <x v="0"/>
    <n v="20"/>
    <n v="675"/>
    <n v="135000"/>
    <n v="40500"/>
    <n v="0.3"/>
    <x v="2"/>
  </r>
  <r>
    <x v="0"/>
    <n v="1197831"/>
    <x v="169"/>
    <x v="1"/>
    <s v="Louisiana"/>
    <s v="New Orleans"/>
    <x v="1"/>
    <n v="30"/>
    <n v="675"/>
    <n v="202500"/>
    <n v="60750"/>
    <n v="0.3"/>
    <x v="2"/>
  </r>
  <r>
    <x v="0"/>
    <n v="1197831"/>
    <x v="169"/>
    <x v="1"/>
    <s v="Louisiana"/>
    <s v="New Orleans"/>
    <x v="2"/>
    <n v="30"/>
    <n v="475"/>
    <n v="142500"/>
    <n v="42750"/>
    <n v="0.3"/>
    <x v="2"/>
  </r>
  <r>
    <x v="0"/>
    <n v="1197831"/>
    <x v="169"/>
    <x v="1"/>
    <s v="Louisiana"/>
    <s v="New Orleans"/>
    <x v="3"/>
    <n v="35"/>
    <n v="475"/>
    <n v="166250"/>
    <n v="66500"/>
    <n v="0.4"/>
    <x v="2"/>
  </r>
  <r>
    <x v="0"/>
    <n v="1197831"/>
    <x v="169"/>
    <x v="1"/>
    <s v="Louisiana"/>
    <s v="New Orleans"/>
    <x v="4"/>
    <n v="40"/>
    <n v="325"/>
    <n v="130000"/>
    <n v="32500"/>
    <n v="0.25"/>
    <x v="2"/>
  </r>
  <r>
    <x v="3"/>
    <n v="1197831"/>
    <x v="169"/>
    <x v="1"/>
    <s v="Louisiana"/>
    <s v="New Orleans"/>
    <x v="5"/>
    <n v="35"/>
    <n v="475"/>
    <n v="166250"/>
    <n v="74812.5"/>
    <n v="0.45"/>
    <x v="2"/>
  </r>
  <r>
    <x v="0"/>
    <n v="1197831"/>
    <x v="199"/>
    <x v="1"/>
    <s v="Louisiana"/>
    <s v="New Orleans"/>
    <x v="0"/>
    <n v="25"/>
    <n v="625"/>
    <n v="156250"/>
    <n v="46875"/>
    <n v="0.3"/>
    <x v="2"/>
  </r>
  <r>
    <x v="0"/>
    <n v="1197831"/>
    <x v="199"/>
    <x v="1"/>
    <s v="Louisiana"/>
    <s v="New Orleans"/>
    <x v="1"/>
    <n v="35"/>
    <n v="600"/>
    <n v="210000"/>
    <n v="63000"/>
    <n v="0.3"/>
    <x v="2"/>
  </r>
  <r>
    <x v="0"/>
    <n v="1197831"/>
    <x v="199"/>
    <x v="1"/>
    <s v="Louisiana"/>
    <s v="New Orleans"/>
    <x v="2"/>
    <n v="35"/>
    <n v="425"/>
    <n v="148750"/>
    <n v="44625"/>
    <n v="0.3"/>
    <x v="2"/>
  </r>
  <r>
    <x v="0"/>
    <n v="1197831"/>
    <x v="199"/>
    <x v="2"/>
    <s v="Idaho"/>
    <s v="Boise"/>
    <x v="3"/>
    <n v="35"/>
    <n v="375"/>
    <n v="131250"/>
    <n v="52500"/>
    <n v="0.4"/>
    <x v="2"/>
  </r>
  <r>
    <x v="0"/>
    <n v="1197831"/>
    <x v="199"/>
    <x v="2"/>
    <s v="Idaho"/>
    <s v="Boise"/>
    <x v="4"/>
    <n v="40"/>
    <n v="250"/>
    <n v="100000"/>
    <n v="25000"/>
    <n v="0.25"/>
    <x v="2"/>
  </r>
  <r>
    <x v="0"/>
    <n v="1197831"/>
    <x v="199"/>
    <x v="2"/>
    <s v="Idaho"/>
    <s v="Boise"/>
    <x v="5"/>
    <n v="35"/>
    <n v="450"/>
    <n v="157500"/>
    <n v="70875"/>
    <n v="0.45"/>
    <x v="2"/>
  </r>
  <r>
    <x v="0"/>
    <n v="1197831"/>
    <x v="708"/>
    <x v="2"/>
    <s v="Idaho"/>
    <s v="Boise"/>
    <x v="0"/>
    <n v="30"/>
    <n v="625"/>
    <n v="187500"/>
    <n v="65625"/>
    <n v="0.35"/>
    <x v="2"/>
  </r>
  <r>
    <x v="0"/>
    <n v="1197831"/>
    <x v="708"/>
    <x v="2"/>
    <s v="Idaho"/>
    <s v="Boise"/>
    <x v="1"/>
    <n v="40"/>
    <n v="625"/>
    <n v="250000"/>
    <n v="87500"/>
    <n v="0.35"/>
    <x v="2"/>
  </r>
  <r>
    <x v="0"/>
    <n v="1197831"/>
    <x v="708"/>
    <x v="2"/>
    <s v="Idaho"/>
    <s v="Boise"/>
    <x v="2"/>
    <n v="30"/>
    <n v="450"/>
    <n v="135000"/>
    <n v="47250"/>
    <n v="0.35"/>
    <x v="2"/>
  </r>
  <r>
    <x v="0"/>
    <n v="1197831"/>
    <x v="708"/>
    <x v="2"/>
    <s v="Idaho"/>
    <s v="Boise"/>
    <x v="3"/>
    <n v="35"/>
    <n v="350"/>
    <n v="122500"/>
    <n v="55125"/>
    <n v="0.45"/>
    <x v="2"/>
  </r>
  <r>
    <x v="3"/>
    <n v="1197831"/>
    <x v="708"/>
    <x v="2"/>
    <s v="Idaho"/>
    <s v="Boise"/>
    <x v="4"/>
    <n v="40"/>
    <n v="250"/>
    <n v="100000"/>
    <n v="30000"/>
    <n v="0.3"/>
    <x v="2"/>
  </r>
  <r>
    <x v="3"/>
    <n v="1197831"/>
    <x v="708"/>
    <x v="2"/>
    <s v="Idaho"/>
    <s v="Boise"/>
    <x v="5"/>
    <n v="35"/>
    <n v="400"/>
    <n v="140000"/>
    <n v="70000"/>
    <n v="0.5"/>
    <x v="2"/>
  </r>
  <r>
    <x v="3"/>
    <n v="1197831"/>
    <x v="723"/>
    <x v="2"/>
    <s v="Idaho"/>
    <s v="Boise"/>
    <x v="0"/>
    <n v="20"/>
    <n v="650"/>
    <n v="130000"/>
    <n v="45500"/>
    <n v="0.35"/>
    <x v="2"/>
  </r>
  <r>
    <x v="3"/>
    <n v="1197831"/>
    <x v="723"/>
    <x v="2"/>
    <s v="Idaho"/>
    <s v="Boise"/>
    <x v="1"/>
    <n v="30.000000000000004"/>
    <n v="650"/>
    <n v="195000.00000000003"/>
    <n v="68250"/>
    <n v="0.35"/>
    <x v="2"/>
  </r>
  <r>
    <x v="3"/>
    <n v="1197831"/>
    <x v="723"/>
    <x v="2"/>
    <s v="Idaho"/>
    <s v="Boise"/>
    <x v="2"/>
    <n v="24.999999999999996"/>
    <n v="475"/>
    <n v="118749.99999999999"/>
    <n v="41562.499999999993"/>
    <n v="0.35"/>
    <x v="2"/>
  </r>
  <r>
    <x v="3"/>
    <n v="1197831"/>
    <x v="723"/>
    <x v="2"/>
    <s v="Idaho"/>
    <s v="Boise"/>
    <x v="3"/>
    <n v="30.000000000000004"/>
    <n v="375"/>
    <n v="112500.00000000001"/>
    <n v="50625.000000000007"/>
    <n v="0.45"/>
    <x v="2"/>
  </r>
  <r>
    <x v="3"/>
    <n v="1197831"/>
    <x v="723"/>
    <x v="2"/>
    <s v="Idaho"/>
    <s v="Boise"/>
    <x v="4"/>
    <n v="35"/>
    <n v="275"/>
    <n v="96250"/>
    <n v="28875"/>
    <n v="0.3"/>
    <x v="2"/>
  </r>
  <r>
    <x v="3"/>
    <n v="1197831"/>
    <x v="723"/>
    <x v="2"/>
    <s v="Idaho"/>
    <s v="Boise"/>
    <x v="5"/>
    <n v="30.000000000000004"/>
    <n v="550"/>
    <n v="165000.00000000003"/>
    <n v="82500.000000000015"/>
    <n v="0.5"/>
    <x v="2"/>
  </r>
  <r>
    <x v="3"/>
    <n v="1197831"/>
    <x v="258"/>
    <x v="2"/>
    <s v="Idaho"/>
    <s v="Boise"/>
    <x v="0"/>
    <n v="20"/>
    <n v="700"/>
    <n v="140000"/>
    <n v="49000"/>
    <n v="0.35"/>
    <x v="2"/>
  </r>
  <r>
    <x v="3"/>
    <n v="1197831"/>
    <x v="258"/>
    <x v="2"/>
    <s v="Idaho"/>
    <s v="Boise"/>
    <x v="1"/>
    <n v="30.000000000000004"/>
    <n v="725"/>
    <n v="217500.00000000003"/>
    <n v="76125"/>
    <n v="0.35"/>
    <x v="2"/>
  </r>
  <r>
    <x v="3"/>
    <n v="1197831"/>
    <x v="258"/>
    <x v="2"/>
    <s v="Idaho"/>
    <s v="Boise"/>
    <x v="2"/>
    <n v="24.999999999999996"/>
    <n v="575"/>
    <n v="143749.99999999997"/>
    <n v="50312.499999999985"/>
    <n v="0.35"/>
    <x v="2"/>
  </r>
  <r>
    <x v="3"/>
    <n v="1197831"/>
    <x v="258"/>
    <x v="2"/>
    <s v="Idaho"/>
    <s v="Boise"/>
    <x v="3"/>
    <n v="35"/>
    <n v="500"/>
    <n v="175000"/>
    <n v="78750"/>
    <n v="0.45"/>
    <x v="2"/>
  </r>
  <r>
    <x v="3"/>
    <n v="1197831"/>
    <x v="258"/>
    <x v="2"/>
    <s v="Idaho"/>
    <s v="Boise"/>
    <x v="4"/>
    <n v="50"/>
    <n v="400"/>
    <n v="200000"/>
    <n v="60000"/>
    <n v="0.3"/>
    <x v="2"/>
  </r>
  <r>
    <x v="3"/>
    <n v="1197831"/>
    <x v="258"/>
    <x v="2"/>
    <s v="Idaho"/>
    <s v="Boise"/>
    <x v="5"/>
    <n v="45"/>
    <n v="750"/>
    <n v="337500"/>
    <n v="168750"/>
    <n v="0.5"/>
    <x v="2"/>
  </r>
  <r>
    <x v="3"/>
    <n v="1197831"/>
    <x v="288"/>
    <x v="2"/>
    <s v="Idaho"/>
    <s v="Boise"/>
    <x v="0"/>
    <n v="45"/>
    <n v="750"/>
    <n v="337500"/>
    <n v="118124.99999999999"/>
    <n v="0.35"/>
    <x v="2"/>
  </r>
  <r>
    <x v="3"/>
    <n v="1197831"/>
    <x v="288"/>
    <x v="2"/>
    <s v="Idaho"/>
    <s v="Boise"/>
    <x v="1"/>
    <n v="50"/>
    <n v="750"/>
    <n v="375000"/>
    <n v="131250"/>
    <n v="0.35"/>
    <x v="2"/>
  </r>
  <r>
    <x v="3"/>
    <n v="1197831"/>
    <x v="288"/>
    <x v="2"/>
    <s v="Idaho"/>
    <s v="Boise"/>
    <x v="2"/>
    <n v="50"/>
    <n v="600"/>
    <n v="300000"/>
    <n v="105000"/>
    <n v="0.35"/>
    <x v="2"/>
  </r>
  <r>
    <x v="3"/>
    <n v="1197831"/>
    <x v="288"/>
    <x v="2"/>
    <s v="Idaho"/>
    <s v="Boise"/>
    <x v="3"/>
    <n v="50"/>
    <n v="550"/>
    <n v="275000"/>
    <n v="123750"/>
    <n v="0.45"/>
    <x v="2"/>
  </r>
  <r>
    <x v="3"/>
    <n v="1197831"/>
    <x v="288"/>
    <x v="2"/>
    <s v="Idaho"/>
    <s v="Boise"/>
    <x v="4"/>
    <n v="55.000000000000007"/>
    <n v="450"/>
    <n v="247500.00000000003"/>
    <n v="74250"/>
    <n v="0.3"/>
    <x v="2"/>
  </r>
  <r>
    <x v="3"/>
    <n v="1197831"/>
    <x v="288"/>
    <x v="2"/>
    <s v="Idaho"/>
    <s v="Boise"/>
    <x v="5"/>
    <n v="60.000000000000007"/>
    <n v="825"/>
    <n v="495000.00000000006"/>
    <n v="247500.00000000003"/>
    <n v="0.5"/>
    <x v="2"/>
  </r>
  <r>
    <x v="3"/>
    <n v="1197831"/>
    <x v="320"/>
    <x v="2"/>
    <s v="Idaho"/>
    <s v="Boise"/>
    <x v="0"/>
    <n v="50"/>
    <n v="775"/>
    <n v="387500"/>
    <n v="155000"/>
    <n v="0.39999999999999997"/>
    <x v="2"/>
  </r>
  <r>
    <x v="3"/>
    <n v="1197831"/>
    <x v="320"/>
    <x v="2"/>
    <s v="Idaho"/>
    <s v="Boise"/>
    <x v="1"/>
    <n v="55.000000000000007"/>
    <n v="775"/>
    <n v="426250.00000000006"/>
    <n v="170500"/>
    <n v="0.39999999999999997"/>
    <x v="2"/>
  </r>
  <r>
    <x v="3"/>
    <n v="1197831"/>
    <x v="320"/>
    <x v="2"/>
    <s v="Idaho"/>
    <s v="Boise"/>
    <x v="2"/>
    <n v="50"/>
    <n v="925"/>
    <n v="462500"/>
    <n v="184999.99999999997"/>
    <n v="0.39999999999999997"/>
    <x v="2"/>
  </r>
  <r>
    <x v="3"/>
    <n v="1197831"/>
    <x v="320"/>
    <x v="2"/>
    <s v="Idaho"/>
    <s v="Boise"/>
    <x v="3"/>
    <n v="50"/>
    <n v="525"/>
    <n v="262500"/>
    <n v="131250"/>
    <n v="0.5"/>
    <x v="2"/>
  </r>
  <r>
    <x v="3"/>
    <n v="1197831"/>
    <x v="320"/>
    <x v="2"/>
    <s v="Idaho"/>
    <s v="Boise"/>
    <x v="4"/>
    <n v="55.000000000000007"/>
    <n v="525"/>
    <n v="288750.00000000006"/>
    <n v="101062.50000000001"/>
    <n v="0.35"/>
    <x v="2"/>
  </r>
  <r>
    <x v="0"/>
    <n v="1197831"/>
    <x v="320"/>
    <x v="2"/>
    <s v="Idaho"/>
    <s v="Boise"/>
    <x v="5"/>
    <n v="65"/>
    <n v="800"/>
    <n v="520000"/>
    <n v="286000"/>
    <n v="0.55000000000000004"/>
    <x v="2"/>
  </r>
  <r>
    <x v="0"/>
    <n v="1197831"/>
    <x v="353"/>
    <x v="2"/>
    <s v="Idaho"/>
    <s v="Boise"/>
    <x v="0"/>
    <n v="50"/>
    <n v="750"/>
    <n v="375000"/>
    <n v="150000"/>
    <n v="0.39999999999999997"/>
    <x v="2"/>
  </r>
  <r>
    <x v="0"/>
    <n v="1197831"/>
    <x v="353"/>
    <x v="2"/>
    <s v="Idaho"/>
    <s v="Boise"/>
    <x v="1"/>
    <n v="55.000000000000007"/>
    <n v="750"/>
    <n v="412500.00000000006"/>
    <n v="165000"/>
    <n v="0.39999999999999997"/>
    <x v="2"/>
  </r>
  <r>
    <x v="0"/>
    <n v="1197831"/>
    <x v="353"/>
    <x v="2"/>
    <s v="Idaho"/>
    <s v="Boise"/>
    <x v="2"/>
    <n v="50"/>
    <n v="925"/>
    <n v="462500"/>
    <n v="184999.99999999997"/>
    <n v="0.39999999999999997"/>
    <x v="2"/>
  </r>
  <r>
    <x v="0"/>
    <n v="1197831"/>
    <x v="353"/>
    <x v="2"/>
    <s v="Idaho"/>
    <s v="Boise"/>
    <x v="3"/>
    <n v="50"/>
    <n v="475"/>
    <n v="237500"/>
    <n v="118750"/>
    <n v="0.5"/>
    <x v="2"/>
  </r>
  <r>
    <x v="2"/>
    <n v="1197831"/>
    <x v="353"/>
    <x v="2"/>
    <s v="Idaho"/>
    <s v="Boise"/>
    <x v="4"/>
    <n v="55.000000000000007"/>
    <n v="475"/>
    <n v="261250.00000000003"/>
    <n v="91437.5"/>
    <n v="0.35"/>
    <x v="2"/>
  </r>
  <r>
    <x v="2"/>
    <n v="1197831"/>
    <x v="353"/>
    <x v="2"/>
    <s v="Idaho"/>
    <s v="Boise"/>
    <x v="5"/>
    <n v="60"/>
    <n v="725"/>
    <n v="435000"/>
    <n v="239250.00000000003"/>
    <n v="0.55000000000000004"/>
    <x v="2"/>
  </r>
  <r>
    <x v="2"/>
    <n v="1197831"/>
    <x v="381"/>
    <x v="2"/>
    <s v="Idaho"/>
    <s v="Boise"/>
    <x v="0"/>
    <n v="55.000000000000007"/>
    <n v="675"/>
    <n v="371250.00000000006"/>
    <n v="148500"/>
    <n v="0.39999999999999997"/>
    <x v="2"/>
  </r>
  <r>
    <x v="2"/>
    <n v="1197831"/>
    <x v="381"/>
    <x v="2"/>
    <s v="Idaho"/>
    <s v="Boise"/>
    <x v="1"/>
    <n v="55.000000000000007"/>
    <n v="625"/>
    <n v="343750.00000000006"/>
    <n v="137500"/>
    <n v="0.39999999999999997"/>
    <x v="2"/>
  </r>
  <r>
    <x v="2"/>
    <n v="1197831"/>
    <x v="381"/>
    <x v="2"/>
    <s v="Idaho"/>
    <s v="Boise"/>
    <x v="2"/>
    <n v="60"/>
    <n v="675"/>
    <n v="405000"/>
    <n v="162000"/>
    <n v="0.39999999999999997"/>
    <x v="2"/>
  </r>
  <r>
    <x v="2"/>
    <n v="1197831"/>
    <x v="381"/>
    <x v="2"/>
    <s v="Idaho"/>
    <s v="Boise"/>
    <x v="3"/>
    <n v="60"/>
    <n v="400"/>
    <n v="240000"/>
    <n v="120000"/>
    <n v="0.5"/>
    <x v="2"/>
  </r>
  <r>
    <x v="2"/>
    <n v="1197831"/>
    <x v="381"/>
    <x v="2"/>
    <s v="Idaho"/>
    <s v="Boise"/>
    <x v="4"/>
    <n v="55.000000000000007"/>
    <n v="400"/>
    <n v="220000.00000000003"/>
    <n v="77000"/>
    <n v="0.35"/>
    <x v="2"/>
  </r>
  <r>
    <x v="2"/>
    <n v="1197831"/>
    <x v="381"/>
    <x v="2"/>
    <s v="Idaho"/>
    <s v="Boise"/>
    <x v="5"/>
    <n v="50"/>
    <n v="625"/>
    <n v="312500"/>
    <n v="171875"/>
    <n v="0.55000000000000004"/>
    <x v="2"/>
  </r>
  <r>
    <x v="2"/>
    <n v="1197831"/>
    <x v="410"/>
    <x v="2"/>
    <s v="Idaho"/>
    <s v="Boise"/>
    <x v="0"/>
    <n v="40"/>
    <n v="575"/>
    <n v="230000"/>
    <n v="91999.999999999985"/>
    <n v="0.39999999999999997"/>
    <x v="2"/>
  </r>
  <r>
    <x v="2"/>
    <n v="1197831"/>
    <x v="410"/>
    <x v="2"/>
    <s v="Idaho"/>
    <s v="Boise"/>
    <x v="1"/>
    <n v="40"/>
    <n v="575"/>
    <n v="230000"/>
    <n v="91999.999999999985"/>
    <n v="0.39999999999999997"/>
    <x v="2"/>
  </r>
  <r>
    <x v="2"/>
    <n v="1197831"/>
    <x v="410"/>
    <x v="2"/>
    <s v="Idaho"/>
    <s v="Boise"/>
    <x v="2"/>
    <n v="45"/>
    <n v="525"/>
    <n v="236250"/>
    <n v="94499.999999999985"/>
    <n v="0.39999999999999997"/>
    <x v="2"/>
  </r>
  <r>
    <x v="2"/>
    <n v="1197831"/>
    <x v="410"/>
    <x v="2"/>
    <s v="Idaho"/>
    <s v="Boise"/>
    <x v="3"/>
    <n v="45"/>
    <n v="375"/>
    <n v="168750"/>
    <n v="84375"/>
    <n v="0.5"/>
    <x v="2"/>
  </r>
  <r>
    <x v="2"/>
    <n v="1197831"/>
    <x v="410"/>
    <x v="2"/>
    <s v="Idaho"/>
    <s v="Boise"/>
    <x v="4"/>
    <n v="35"/>
    <n v="350"/>
    <n v="122500"/>
    <n v="42875"/>
    <n v="0.35"/>
    <x v="2"/>
  </r>
  <r>
    <x v="2"/>
    <n v="1197831"/>
    <x v="410"/>
    <x v="2"/>
    <s v="Idaho"/>
    <s v="Boise"/>
    <x v="5"/>
    <n v="45"/>
    <n v="525"/>
    <n v="236250"/>
    <n v="129937.50000000001"/>
    <n v="0.55000000000000004"/>
    <x v="2"/>
  </r>
  <r>
    <x v="2"/>
    <n v="1197831"/>
    <x v="442"/>
    <x v="2"/>
    <s v="Idaho"/>
    <s v="Boise"/>
    <x v="0"/>
    <n v="35"/>
    <n v="675"/>
    <n v="236250"/>
    <n v="94499.999999999985"/>
    <n v="0.39999999999999997"/>
    <x v="2"/>
  </r>
  <r>
    <x v="2"/>
    <n v="1197831"/>
    <x v="442"/>
    <x v="2"/>
    <s v="Idaho"/>
    <s v="Boise"/>
    <x v="1"/>
    <n v="35"/>
    <n v="675"/>
    <n v="236250"/>
    <n v="94499.999999999985"/>
    <n v="0.39999999999999997"/>
    <x v="2"/>
  </r>
  <r>
    <x v="2"/>
    <n v="1197831"/>
    <x v="442"/>
    <x v="2"/>
    <s v="Idaho"/>
    <s v="Boise"/>
    <x v="2"/>
    <n v="60"/>
    <n v="600"/>
    <n v="360000"/>
    <n v="144000"/>
    <n v="0.39999999999999997"/>
    <x v="2"/>
  </r>
  <r>
    <x v="2"/>
    <n v="1197831"/>
    <x v="442"/>
    <x v="2"/>
    <s v="Idaho"/>
    <s v="Boise"/>
    <x v="3"/>
    <n v="60"/>
    <n v="450"/>
    <n v="270000"/>
    <n v="135000"/>
    <n v="0.5"/>
    <x v="2"/>
  </r>
  <r>
    <x v="2"/>
    <n v="1197831"/>
    <x v="442"/>
    <x v="2"/>
    <s v="Idaho"/>
    <s v="Boise"/>
    <x v="4"/>
    <n v="54.999999999999993"/>
    <n v="425"/>
    <n v="233749.99999999997"/>
    <n v="81812.499999999985"/>
    <n v="0.35"/>
    <x v="2"/>
  </r>
  <r>
    <x v="2"/>
    <n v="1197831"/>
    <x v="442"/>
    <x v="2"/>
    <s v="Idaho"/>
    <s v="Boise"/>
    <x v="5"/>
    <n v="65"/>
    <n v="625"/>
    <n v="406250"/>
    <n v="223437.50000000003"/>
    <n v="0.55000000000000004"/>
    <x v="2"/>
  </r>
  <r>
    <x v="0"/>
    <n v="1197831"/>
    <x v="471"/>
    <x v="2"/>
    <s v="Idaho"/>
    <s v="Boise"/>
    <x v="0"/>
    <n v="54.999999999999993"/>
    <n v="775"/>
    <n v="426249.99999999994"/>
    <n v="170499.99999999997"/>
    <n v="0.39999999999999997"/>
    <x v="2"/>
  </r>
  <r>
    <x v="0"/>
    <n v="1197831"/>
    <x v="471"/>
    <x v="2"/>
    <s v="Idaho"/>
    <s v="Boise"/>
    <x v="1"/>
    <n v="54.999999999999993"/>
    <n v="775"/>
    <n v="426249.99999999994"/>
    <n v="170499.99999999997"/>
    <n v="0.39999999999999997"/>
    <x v="2"/>
  </r>
  <r>
    <x v="0"/>
    <n v="1197831"/>
    <x v="471"/>
    <x v="2"/>
    <s v="Idaho"/>
    <s v="Boise"/>
    <x v="2"/>
    <n v="60"/>
    <n v="675"/>
    <n v="405000"/>
    <n v="162000"/>
    <n v="0.39999999999999997"/>
    <x v="2"/>
  </r>
  <r>
    <x v="0"/>
    <n v="1197831"/>
    <x v="471"/>
    <x v="2"/>
    <s v="Idaho"/>
    <s v="Boise"/>
    <x v="3"/>
    <n v="60"/>
    <n v="525"/>
    <n v="315000"/>
    <n v="157500"/>
    <n v="0.5"/>
    <x v="2"/>
  </r>
  <r>
    <x v="0"/>
    <n v="1197831"/>
    <x v="471"/>
    <x v="2"/>
    <s v="Idaho"/>
    <s v="Boise"/>
    <x v="4"/>
    <n v="54.999999999999993"/>
    <n v="475"/>
    <n v="261249.99999999997"/>
    <n v="91437.499999999985"/>
    <n v="0.35"/>
    <x v="2"/>
  </r>
  <r>
    <x v="0"/>
    <n v="1197831"/>
    <x v="471"/>
    <x v="2"/>
    <s v="Idaho"/>
    <s v="Boise"/>
    <x v="5"/>
    <n v="65"/>
    <n v="725"/>
    <n v="471250"/>
    <n v="259187.50000000003"/>
    <n v="0.55000000000000004"/>
    <x v="2"/>
  </r>
  <r>
    <x v="0"/>
    <n v="1128299"/>
    <x v="187"/>
    <x v="2"/>
    <s v="Idaho"/>
    <s v="Boise"/>
    <x v="0"/>
    <n v="29.999999999999993"/>
    <n v="425"/>
    <n v="127499.99999999997"/>
    <n v="44624.999999999985"/>
    <n v="0.35"/>
    <x v="2"/>
  </r>
  <r>
    <x v="0"/>
    <n v="1128299"/>
    <x v="187"/>
    <x v="2"/>
    <s v="Idaho"/>
    <s v="Boise"/>
    <x v="1"/>
    <n v="40"/>
    <n v="425"/>
    <n v="170000"/>
    <n v="68000"/>
    <n v="0.4"/>
    <x v="2"/>
  </r>
  <r>
    <x v="0"/>
    <n v="1128299"/>
    <x v="187"/>
    <x v="2"/>
    <s v="Idaho"/>
    <s v="Boise"/>
    <x v="2"/>
    <n v="40"/>
    <n v="425"/>
    <n v="170000"/>
    <n v="59499.999999999993"/>
    <n v="0.35"/>
    <x v="2"/>
  </r>
  <r>
    <x v="0"/>
    <n v="1128299"/>
    <x v="187"/>
    <x v="2"/>
    <s v="Idaho"/>
    <s v="Boise"/>
    <x v="3"/>
    <n v="40"/>
    <n v="275"/>
    <n v="110000"/>
    <n v="38500"/>
    <n v="0.35"/>
    <x v="2"/>
  </r>
  <r>
    <x v="0"/>
    <n v="1128299"/>
    <x v="187"/>
    <x v="2"/>
    <s v="Idaho"/>
    <s v="Boise"/>
    <x v="4"/>
    <n v="45.000000000000007"/>
    <n v="225"/>
    <n v="101250.00000000001"/>
    <n v="30375.000000000004"/>
    <n v="0.3"/>
    <x v="2"/>
  </r>
  <r>
    <x v="0"/>
    <n v="1128299"/>
    <x v="187"/>
    <x v="2"/>
    <s v="Idaho"/>
    <s v="Boise"/>
    <x v="5"/>
    <n v="40"/>
    <n v="425"/>
    <n v="170000"/>
    <n v="42500"/>
    <n v="0.25"/>
    <x v="2"/>
  </r>
  <r>
    <x v="0"/>
    <n v="1128299"/>
    <x v="697"/>
    <x v="2"/>
    <s v="Idaho"/>
    <s v="Boise"/>
    <x v="0"/>
    <n v="29.999999999999993"/>
    <n v="475"/>
    <n v="142499.99999999997"/>
    <n v="49874.999999999985"/>
    <n v="0.35"/>
    <x v="2"/>
  </r>
  <r>
    <x v="0"/>
    <n v="1128299"/>
    <x v="697"/>
    <x v="2"/>
    <s v="Idaho"/>
    <s v="Boise"/>
    <x v="1"/>
    <n v="40"/>
    <n v="375"/>
    <n v="150000"/>
    <n v="60000"/>
    <n v="0.4"/>
    <x v="2"/>
  </r>
  <r>
    <x v="0"/>
    <n v="1128299"/>
    <x v="697"/>
    <x v="2"/>
    <s v="Idaho"/>
    <s v="Boise"/>
    <x v="2"/>
    <n v="40"/>
    <n v="375"/>
    <n v="150000"/>
    <n v="52500"/>
    <n v="0.35"/>
    <x v="2"/>
  </r>
  <r>
    <x v="0"/>
    <n v="1128299"/>
    <x v="697"/>
    <x v="2"/>
    <s v="Arizona"/>
    <s v="Phoenix"/>
    <x v="3"/>
    <n v="40"/>
    <n v="225"/>
    <n v="90000"/>
    <n v="31499.999999999996"/>
    <n v="0.35"/>
    <x v="2"/>
  </r>
  <r>
    <x v="0"/>
    <n v="1128299"/>
    <x v="697"/>
    <x v="2"/>
    <s v="Arizona"/>
    <s v="Phoenix"/>
    <x v="4"/>
    <n v="45.000000000000007"/>
    <n v="150"/>
    <n v="67500.000000000015"/>
    <n v="20250.000000000004"/>
    <n v="0.3"/>
    <x v="2"/>
  </r>
  <r>
    <x v="0"/>
    <n v="1128299"/>
    <x v="697"/>
    <x v="2"/>
    <s v="Arizona"/>
    <s v="Phoenix"/>
    <x v="5"/>
    <n v="40"/>
    <n v="350"/>
    <n v="140000"/>
    <n v="35000"/>
    <n v="0.25"/>
    <x v="2"/>
  </r>
  <r>
    <x v="0"/>
    <n v="1128299"/>
    <x v="227"/>
    <x v="2"/>
    <s v="Arizona"/>
    <s v="Phoenix"/>
    <x v="0"/>
    <n v="40"/>
    <n v="500"/>
    <n v="200000"/>
    <n v="70000"/>
    <n v="0.35"/>
    <x v="2"/>
  </r>
  <r>
    <x v="0"/>
    <n v="1128299"/>
    <x v="227"/>
    <x v="2"/>
    <s v="Arizona"/>
    <s v="Phoenix"/>
    <x v="1"/>
    <n v="50"/>
    <n v="350"/>
    <n v="175000"/>
    <n v="70000"/>
    <n v="0.4"/>
    <x v="2"/>
  </r>
  <r>
    <x v="0"/>
    <n v="1128299"/>
    <x v="227"/>
    <x v="2"/>
    <s v="Arizona"/>
    <s v="Phoenix"/>
    <x v="2"/>
    <n v="50"/>
    <n v="350"/>
    <n v="175000"/>
    <n v="61249.999999999993"/>
    <n v="0.35"/>
    <x v="2"/>
  </r>
  <r>
    <x v="0"/>
    <n v="1128299"/>
    <x v="227"/>
    <x v="2"/>
    <s v="Arizona"/>
    <s v="Phoenix"/>
    <x v="3"/>
    <n v="50"/>
    <n v="225"/>
    <n v="112500"/>
    <n v="39375"/>
    <n v="0.35"/>
    <x v="2"/>
  </r>
  <r>
    <x v="0"/>
    <n v="1128299"/>
    <x v="227"/>
    <x v="2"/>
    <s v="Arizona"/>
    <s v="Phoenix"/>
    <x v="4"/>
    <n v="55.000000000000007"/>
    <n v="125"/>
    <n v="68750.000000000015"/>
    <n v="20625.000000000004"/>
    <n v="0.3"/>
    <x v="2"/>
  </r>
  <r>
    <x v="0"/>
    <n v="1128299"/>
    <x v="227"/>
    <x v="2"/>
    <s v="Arizona"/>
    <s v="Phoenix"/>
    <x v="5"/>
    <n v="50"/>
    <n v="325"/>
    <n v="162500"/>
    <n v="40625"/>
    <n v="0.25"/>
    <x v="2"/>
  </r>
  <r>
    <x v="0"/>
    <n v="1128299"/>
    <x v="246"/>
    <x v="2"/>
    <s v="Arizona"/>
    <s v="Phoenix"/>
    <x v="0"/>
    <n v="50"/>
    <n v="500"/>
    <n v="250000"/>
    <n v="87500"/>
    <n v="0.35"/>
    <x v="2"/>
  </r>
  <r>
    <x v="0"/>
    <n v="1128299"/>
    <x v="246"/>
    <x v="2"/>
    <s v="Arizona"/>
    <s v="Phoenix"/>
    <x v="1"/>
    <n v="55.000000000000007"/>
    <n v="300"/>
    <n v="165000.00000000003"/>
    <n v="66000.000000000015"/>
    <n v="0.4"/>
    <x v="2"/>
  </r>
  <r>
    <x v="0"/>
    <n v="1128299"/>
    <x v="246"/>
    <x v="2"/>
    <s v="Arizona"/>
    <s v="Phoenix"/>
    <x v="2"/>
    <n v="55.000000000000007"/>
    <n v="350"/>
    <n v="192500.00000000003"/>
    <n v="67375"/>
    <n v="0.35"/>
    <x v="2"/>
  </r>
  <r>
    <x v="0"/>
    <n v="1128299"/>
    <x v="246"/>
    <x v="2"/>
    <s v="Arizona"/>
    <s v="Phoenix"/>
    <x v="3"/>
    <n v="50"/>
    <n v="250"/>
    <n v="125000"/>
    <n v="43750"/>
    <n v="0.35"/>
    <x v="2"/>
  </r>
  <r>
    <x v="0"/>
    <n v="1128299"/>
    <x v="246"/>
    <x v="2"/>
    <s v="Arizona"/>
    <s v="Phoenix"/>
    <x v="4"/>
    <n v="55.000000000000007"/>
    <n v="150"/>
    <n v="82500.000000000015"/>
    <n v="24750.000000000004"/>
    <n v="0.3"/>
    <x v="2"/>
  </r>
  <r>
    <x v="0"/>
    <n v="1128299"/>
    <x v="246"/>
    <x v="2"/>
    <s v="Arizona"/>
    <s v="Phoenix"/>
    <x v="5"/>
    <n v="70"/>
    <n v="325"/>
    <n v="227500"/>
    <n v="56875"/>
    <n v="0.25"/>
    <x v="2"/>
  </r>
  <r>
    <x v="0"/>
    <n v="1128299"/>
    <x v="277"/>
    <x v="2"/>
    <s v="Arizona"/>
    <s v="Phoenix"/>
    <x v="0"/>
    <n v="50"/>
    <n v="525"/>
    <n v="262500"/>
    <n v="91875"/>
    <n v="0.35"/>
    <x v="2"/>
  </r>
  <r>
    <x v="0"/>
    <n v="1128299"/>
    <x v="277"/>
    <x v="2"/>
    <s v="Arizona"/>
    <s v="Phoenix"/>
    <x v="1"/>
    <n v="55.000000000000007"/>
    <n v="375"/>
    <n v="206250.00000000003"/>
    <n v="82500.000000000015"/>
    <n v="0.4"/>
    <x v="2"/>
  </r>
  <r>
    <x v="0"/>
    <n v="1128299"/>
    <x v="277"/>
    <x v="2"/>
    <s v="Arizona"/>
    <s v="Phoenix"/>
    <x v="2"/>
    <n v="55.000000000000007"/>
    <n v="400"/>
    <n v="220000.00000000003"/>
    <n v="77000"/>
    <n v="0.35"/>
    <x v="2"/>
  </r>
  <r>
    <x v="0"/>
    <n v="1128299"/>
    <x v="277"/>
    <x v="2"/>
    <s v="Arizona"/>
    <s v="Phoenix"/>
    <x v="3"/>
    <n v="50"/>
    <n v="300"/>
    <n v="150000"/>
    <n v="52500"/>
    <n v="0.35"/>
    <x v="2"/>
  </r>
  <r>
    <x v="0"/>
    <n v="1128299"/>
    <x v="277"/>
    <x v="2"/>
    <s v="Arizona"/>
    <s v="Phoenix"/>
    <x v="4"/>
    <n v="55.000000000000007"/>
    <n v="200"/>
    <n v="110000.00000000001"/>
    <n v="33000"/>
    <n v="0.3"/>
    <x v="2"/>
  </r>
  <r>
    <x v="0"/>
    <n v="1128299"/>
    <x v="277"/>
    <x v="2"/>
    <s v="Arizona"/>
    <s v="Phoenix"/>
    <x v="5"/>
    <n v="70"/>
    <n v="375"/>
    <n v="262500"/>
    <n v="65625"/>
    <n v="0.25"/>
    <x v="2"/>
  </r>
  <r>
    <x v="0"/>
    <n v="1128299"/>
    <x v="307"/>
    <x v="2"/>
    <s v="Arizona"/>
    <s v="Phoenix"/>
    <x v="0"/>
    <n v="50"/>
    <n v="625"/>
    <n v="312500"/>
    <n v="109375"/>
    <n v="0.35"/>
    <x v="2"/>
  </r>
  <r>
    <x v="0"/>
    <n v="1128299"/>
    <x v="307"/>
    <x v="2"/>
    <s v="Arizona"/>
    <s v="Phoenix"/>
    <x v="1"/>
    <n v="55.000000000000007"/>
    <n v="475"/>
    <n v="261250.00000000003"/>
    <n v="104500.00000000001"/>
    <n v="0.4"/>
    <x v="2"/>
  </r>
  <r>
    <x v="0"/>
    <n v="1128299"/>
    <x v="307"/>
    <x v="2"/>
    <s v="Arizona"/>
    <s v="Phoenix"/>
    <x v="2"/>
    <n v="55.000000000000007"/>
    <n v="475"/>
    <n v="261250.00000000003"/>
    <n v="91437.5"/>
    <n v="0.35"/>
    <x v="2"/>
  </r>
  <r>
    <x v="0"/>
    <n v="1128299"/>
    <x v="307"/>
    <x v="2"/>
    <s v="Arizona"/>
    <s v="Phoenix"/>
    <x v="3"/>
    <n v="50"/>
    <n v="350"/>
    <n v="175000"/>
    <n v="61249.999999999993"/>
    <n v="0.35"/>
    <x v="2"/>
  </r>
  <r>
    <x v="0"/>
    <n v="1128299"/>
    <x v="307"/>
    <x v="2"/>
    <s v="Arizona"/>
    <s v="Phoenix"/>
    <x v="4"/>
    <n v="55.000000000000007"/>
    <n v="225"/>
    <n v="123750.00000000001"/>
    <n v="37125"/>
    <n v="0.3"/>
    <x v="2"/>
  </r>
  <r>
    <x v="0"/>
    <n v="1128299"/>
    <x v="307"/>
    <x v="2"/>
    <s v="Arizona"/>
    <s v="Phoenix"/>
    <x v="5"/>
    <n v="70"/>
    <n v="525"/>
    <n v="367500"/>
    <n v="91875"/>
    <n v="0.25"/>
    <x v="2"/>
  </r>
  <r>
    <x v="0"/>
    <n v="1128299"/>
    <x v="336"/>
    <x v="2"/>
    <s v="Arizona"/>
    <s v="Phoenix"/>
    <x v="0"/>
    <n v="50"/>
    <n v="675"/>
    <n v="337500"/>
    <n v="118124.99999999999"/>
    <n v="0.35"/>
    <x v="2"/>
  </r>
  <r>
    <x v="0"/>
    <n v="1128299"/>
    <x v="336"/>
    <x v="2"/>
    <s v="Arizona"/>
    <s v="Phoenix"/>
    <x v="1"/>
    <n v="55.000000000000007"/>
    <n v="525"/>
    <n v="288750.00000000006"/>
    <n v="115500.00000000003"/>
    <n v="0.4"/>
    <x v="2"/>
  </r>
  <r>
    <x v="0"/>
    <n v="1128299"/>
    <x v="336"/>
    <x v="2"/>
    <s v="Arizona"/>
    <s v="Phoenix"/>
    <x v="2"/>
    <n v="55.000000000000007"/>
    <n v="475"/>
    <n v="261250.00000000003"/>
    <n v="91437.5"/>
    <n v="0.35"/>
    <x v="2"/>
  </r>
  <r>
    <x v="0"/>
    <n v="1128299"/>
    <x v="336"/>
    <x v="2"/>
    <s v="Arizona"/>
    <s v="Phoenix"/>
    <x v="3"/>
    <n v="50"/>
    <n v="375"/>
    <n v="187500"/>
    <n v="65625"/>
    <n v="0.35"/>
    <x v="2"/>
  </r>
  <r>
    <x v="0"/>
    <n v="1128299"/>
    <x v="336"/>
    <x v="2"/>
    <s v="Arizona"/>
    <s v="Phoenix"/>
    <x v="4"/>
    <n v="55.000000000000007"/>
    <n v="425"/>
    <n v="233750.00000000003"/>
    <n v="70125"/>
    <n v="0.3"/>
    <x v="2"/>
  </r>
  <r>
    <x v="0"/>
    <n v="1128299"/>
    <x v="336"/>
    <x v="2"/>
    <s v="Arizona"/>
    <s v="Phoenix"/>
    <x v="5"/>
    <n v="70"/>
    <n v="425"/>
    <n v="297500"/>
    <n v="74375"/>
    <n v="0.25"/>
    <x v="2"/>
  </r>
  <r>
    <x v="0"/>
    <n v="1128299"/>
    <x v="368"/>
    <x v="2"/>
    <s v="Arizona"/>
    <s v="Phoenix"/>
    <x v="0"/>
    <n v="55.000000000000007"/>
    <n v="625"/>
    <n v="343750.00000000006"/>
    <n v="120312.50000000001"/>
    <n v="0.35"/>
    <x v="2"/>
  </r>
  <r>
    <x v="0"/>
    <n v="1128299"/>
    <x v="368"/>
    <x v="2"/>
    <s v="Arizona"/>
    <s v="Phoenix"/>
    <x v="1"/>
    <n v="60.000000000000007"/>
    <n v="575"/>
    <n v="345000.00000000006"/>
    <n v="138000.00000000003"/>
    <n v="0.4"/>
    <x v="2"/>
  </r>
  <r>
    <x v="0"/>
    <n v="1128299"/>
    <x v="368"/>
    <x v="2"/>
    <s v="Arizona"/>
    <s v="Phoenix"/>
    <x v="2"/>
    <n v="55.000000000000007"/>
    <n v="450"/>
    <n v="247500.00000000003"/>
    <n v="86625"/>
    <n v="0.35"/>
    <x v="2"/>
  </r>
  <r>
    <x v="0"/>
    <n v="1128299"/>
    <x v="368"/>
    <x v="2"/>
    <s v="Arizona"/>
    <s v="Phoenix"/>
    <x v="3"/>
    <n v="55.000000000000007"/>
    <n v="400"/>
    <n v="220000.00000000003"/>
    <n v="77000"/>
    <n v="0.35"/>
    <x v="2"/>
  </r>
  <r>
    <x v="0"/>
    <n v="1128299"/>
    <x v="368"/>
    <x v="2"/>
    <s v="Arizona"/>
    <s v="Phoenix"/>
    <x v="4"/>
    <n v="65"/>
    <n v="400"/>
    <n v="260000"/>
    <n v="78000"/>
    <n v="0.3"/>
    <x v="2"/>
  </r>
  <r>
    <x v="0"/>
    <n v="1128299"/>
    <x v="368"/>
    <x v="2"/>
    <s v="Arizona"/>
    <s v="Phoenix"/>
    <x v="5"/>
    <n v="70"/>
    <n v="375"/>
    <n v="262500"/>
    <n v="65625"/>
    <n v="0.25"/>
    <x v="2"/>
  </r>
  <r>
    <x v="0"/>
    <n v="1128299"/>
    <x v="400"/>
    <x v="2"/>
    <s v="Arizona"/>
    <s v="Phoenix"/>
    <x v="0"/>
    <n v="45.000000000000007"/>
    <n v="575"/>
    <n v="258750.00000000003"/>
    <n v="90562.5"/>
    <n v="0.35"/>
    <x v="2"/>
  </r>
  <r>
    <x v="0"/>
    <n v="1128299"/>
    <x v="400"/>
    <x v="2"/>
    <s v="Arizona"/>
    <s v="Phoenix"/>
    <x v="1"/>
    <n v="50.000000000000014"/>
    <n v="575"/>
    <n v="287500.00000000006"/>
    <n v="115000.00000000003"/>
    <n v="0.4"/>
    <x v="2"/>
  </r>
  <r>
    <x v="0"/>
    <n v="1128299"/>
    <x v="400"/>
    <x v="2"/>
    <s v="Arizona"/>
    <s v="Phoenix"/>
    <x v="2"/>
    <n v="45.000000000000007"/>
    <n v="425"/>
    <n v="191250.00000000003"/>
    <n v="66937.5"/>
    <n v="0.35"/>
    <x v="2"/>
  </r>
  <r>
    <x v="0"/>
    <n v="1128299"/>
    <x v="400"/>
    <x v="2"/>
    <s v="Arizona"/>
    <s v="Phoenix"/>
    <x v="3"/>
    <n v="45.000000000000007"/>
    <n v="375"/>
    <n v="168750.00000000003"/>
    <n v="59062.500000000007"/>
    <n v="0.35"/>
    <x v="2"/>
  </r>
  <r>
    <x v="0"/>
    <n v="1128299"/>
    <x v="400"/>
    <x v="2"/>
    <s v="Arizona"/>
    <s v="Phoenix"/>
    <x v="4"/>
    <n v="55.000000000000007"/>
    <n v="375"/>
    <n v="206250.00000000003"/>
    <n v="61875.000000000007"/>
    <n v="0.3"/>
    <x v="2"/>
  </r>
  <r>
    <x v="0"/>
    <n v="1128299"/>
    <x v="400"/>
    <x v="2"/>
    <s v="Arizona"/>
    <s v="Phoenix"/>
    <x v="5"/>
    <n v="60.000000000000007"/>
    <n v="425"/>
    <n v="255000.00000000003"/>
    <n v="63750.000000000007"/>
    <n v="0.25"/>
    <x v="2"/>
  </r>
  <r>
    <x v="0"/>
    <n v="1128299"/>
    <x v="429"/>
    <x v="2"/>
    <s v="Arizona"/>
    <s v="Phoenix"/>
    <x v="0"/>
    <n v="45.000000000000007"/>
    <n v="500"/>
    <n v="225000.00000000003"/>
    <n v="78750"/>
    <n v="0.35"/>
    <x v="2"/>
  </r>
  <r>
    <x v="0"/>
    <n v="1128299"/>
    <x v="429"/>
    <x v="2"/>
    <s v="Arizona"/>
    <s v="Phoenix"/>
    <x v="1"/>
    <n v="50.000000000000014"/>
    <n v="500"/>
    <n v="250000.00000000006"/>
    <n v="100000.00000000003"/>
    <n v="0.4"/>
    <x v="2"/>
  </r>
  <r>
    <x v="0"/>
    <n v="1128299"/>
    <x v="429"/>
    <x v="2"/>
    <s v="Arizona"/>
    <s v="Phoenix"/>
    <x v="2"/>
    <n v="45.000000000000007"/>
    <n v="325"/>
    <n v="146250.00000000003"/>
    <n v="51187.500000000007"/>
    <n v="0.35"/>
    <x v="2"/>
  </r>
  <r>
    <x v="0"/>
    <n v="1128299"/>
    <x v="429"/>
    <x v="2"/>
    <s v="Arizona"/>
    <s v="Phoenix"/>
    <x v="3"/>
    <n v="45.000000000000007"/>
    <n v="300"/>
    <n v="135000.00000000003"/>
    <n v="47250.000000000007"/>
    <n v="0.35"/>
    <x v="2"/>
  </r>
  <r>
    <x v="0"/>
    <n v="1128299"/>
    <x v="429"/>
    <x v="2"/>
    <s v="Arizona"/>
    <s v="Phoenix"/>
    <x v="4"/>
    <n v="55.000000000000007"/>
    <n v="275"/>
    <n v="151250.00000000003"/>
    <n v="45375.000000000007"/>
    <n v="0.3"/>
    <x v="2"/>
  </r>
  <r>
    <x v="0"/>
    <n v="1128299"/>
    <x v="429"/>
    <x v="2"/>
    <s v="Arizona"/>
    <s v="Phoenix"/>
    <x v="5"/>
    <n v="60.000000000000007"/>
    <n v="325"/>
    <n v="195000.00000000003"/>
    <n v="48750.000000000007"/>
    <n v="0.25"/>
    <x v="2"/>
  </r>
  <r>
    <x v="0"/>
    <n v="1128299"/>
    <x v="460"/>
    <x v="2"/>
    <s v="Arizona"/>
    <s v="Phoenix"/>
    <x v="0"/>
    <n v="45.000000000000007"/>
    <n v="500"/>
    <n v="225000.00000000003"/>
    <n v="78750"/>
    <n v="0.35"/>
    <x v="2"/>
  </r>
  <r>
    <x v="0"/>
    <n v="1128299"/>
    <x v="460"/>
    <x v="2"/>
    <s v="Arizona"/>
    <s v="Phoenix"/>
    <x v="1"/>
    <n v="50.000000000000014"/>
    <n v="525"/>
    <n v="262500.00000000006"/>
    <n v="105000.00000000003"/>
    <n v="0.4"/>
    <x v="2"/>
  </r>
  <r>
    <x v="0"/>
    <n v="1128299"/>
    <x v="460"/>
    <x v="2"/>
    <s v="Arizona"/>
    <s v="Phoenix"/>
    <x v="2"/>
    <n v="45.000000000000007"/>
    <n v="375"/>
    <n v="168750.00000000003"/>
    <n v="59062.500000000007"/>
    <n v="0.35"/>
    <x v="2"/>
  </r>
  <r>
    <x v="0"/>
    <n v="1128299"/>
    <x v="460"/>
    <x v="2"/>
    <s v="Arizona"/>
    <s v="Phoenix"/>
    <x v="3"/>
    <n v="45.000000000000007"/>
    <n v="350"/>
    <n v="157500.00000000003"/>
    <n v="55125.000000000007"/>
    <n v="0.35"/>
    <x v="2"/>
  </r>
  <r>
    <x v="0"/>
    <n v="1128299"/>
    <x v="460"/>
    <x v="2"/>
    <s v="Arizona"/>
    <s v="Phoenix"/>
    <x v="4"/>
    <n v="55.000000000000007"/>
    <n v="300"/>
    <n v="165000.00000000003"/>
    <n v="49500.000000000007"/>
    <n v="0.3"/>
    <x v="2"/>
  </r>
  <r>
    <x v="0"/>
    <n v="1128299"/>
    <x v="460"/>
    <x v="2"/>
    <s v="Arizona"/>
    <s v="Phoenix"/>
    <x v="5"/>
    <n v="60.000000000000007"/>
    <n v="425"/>
    <n v="255000.00000000003"/>
    <n v="63750.000000000007"/>
    <n v="0.25"/>
    <x v="2"/>
  </r>
  <r>
    <x v="0"/>
    <n v="1128299"/>
    <x v="489"/>
    <x v="2"/>
    <s v="Arizona"/>
    <s v="Phoenix"/>
    <x v="0"/>
    <n v="45.000000000000007"/>
    <n v="625"/>
    <n v="281250.00000000006"/>
    <n v="98437.500000000015"/>
    <n v="0.35"/>
    <x v="2"/>
  </r>
  <r>
    <x v="0"/>
    <n v="1128299"/>
    <x v="489"/>
    <x v="2"/>
    <s v="Arizona"/>
    <s v="Phoenix"/>
    <x v="1"/>
    <n v="50.000000000000014"/>
    <n v="625"/>
    <n v="312500.00000000012"/>
    <n v="125000.00000000006"/>
    <n v="0.4"/>
    <x v="2"/>
  </r>
  <r>
    <x v="4"/>
    <n v="1128299"/>
    <x v="489"/>
    <x v="2"/>
    <s v="Arizona"/>
    <s v="Phoenix"/>
    <x v="2"/>
    <n v="45.000000000000007"/>
    <n v="425"/>
    <n v="191250.00000000003"/>
    <n v="66937.5"/>
    <n v="0.35"/>
    <x v="2"/>
  </r>
  <r>
    <x v="4"/>
    <n v="1128299"/>
    <x v="489"/>
    <x v="2"/>
    <s v="Arizona"/>
    <s v="Phoenix"/>
    <x v="3"/>
    <n v="45.000000000000007"/>
    <n v="425"/>
    <n v="191250.00000000003"/>
    <n v="66937.5"/>
    <n v="0.35"/>
    <x v="2"/>
  </r>
  <r>
    <x v="4"/>
    <n v="1128299"/>
    <x v="489"/>
    <x v="2"/>
    <s v="Arizona"/>
    <s v="Phoenix"/>
    <x v="4"/>
    <n v="55.000000000000007"/>
    <n v="350"/>
    <n v="192500.00000000003"/>
    <n v="57750.000000000007"/>
    <n v="0.3"/>
    <x v="2"/>
  </r>
  <r>
    <x v="4"/>
    <n v="1128299"/>
    <x v="489"/>
    <x v="2"/>
    <s v="Arizona"/>
    <s v="Phoenix"/>
    <x v="5"/>
    <n v="60.000000000000007"/>
    <n v="450"/>
    <n v="270000.00000000006"/>
    <n v="67500.000000000015"/>
    <n v="0.25"/>
    <x v="2"/>
  </r>
  <r>
    <x v="4"/>
    <n v="1128299"/>
    <x v="190"/>
    <x v="2"/>
    <s v="Arizona"/>
    <s v="Phoenix"/>
    <x v="0"/>
    <n v="34.999999999999993"/>
    <n v="475"/>
    <n v="166249.99999999997"/>
    <n v="58187.499999999985"/>
    <n v="0.35"/>
    <x v="2"/>
  </r>
  <r>
    <x v="4"/>
    <n v="1128299"/>
    <x v="190"/>
    <x v="2"/>
    <s v="Arizona"/>
    <s v="Phoenix"/>
    <x v="1"/>
    <n v="45"/>
    <n v="475"/>
    <n v="213750"/>
    <n v="85500"/>
    <n v="0.4"/>
    <x v="2"/>
  </r>
  <r>
    <x v="4"/>
    <n v="1128299"/>
    <x v="190"/>
    <x v="2"/>
    <s v="Arizona"/>
    <s v="Phoenix"/>
    <x v="2"/>
    <n v="45"/>
    <n v="475"/>
    <n v="213750"/>
    <n v="74812.5"/>
    <n v="0.35"/>
    <x v="2"/>
  </r>
  <r>
    <x v="4"/>
    <n v="1128299"/>
    <x v="190"/>
    <x v="2"/>
    <s v="Arizona"/>
    <s v="Phoenix"/>
    <x v="3"/>
    <n v="45"/>
    <n v="325"/>
    <n v="146250"/>
    <n v="51187.5"/>
    <n v="0.35"/>
    <x v="2"/>
  </r>
  <r>
    <x v="4"/>
    <n v="1128299"/>
    <x v="190"/>
    <x v="2"/>
    <s v="Arizona"/>
    <s v="Phoenix"/>
    <x v="4"/>
    <n v="50.000000000000014"/>
    <n v="275"/>
    <n v="137500.00000000003"/>
    <n v="41250.000000000007"/>
    <n v="0.3"/>
    <x v="2"/>
  </r>
  <r>
    <x v="4"/>
    <n v="1128299"/>
    <x v="190"/>
    <x v="2"/>
    <s v="Arizona"/>
    <s v="Phoenix"/>
    <x v="5"/>
    <n v="45"/>
    <n v="475"/>
    <n v="213750"/>
    <n v="53437.5"/>
    <n v="0.25"/>
    <x v="2"/>
  </r>
  <r>
    <x v="4"/>
    <n v="1128299"/>
    <x v="700"/>
    <x v="2"/>
    <s v="Arizona"/>
    <s v="Phoenix"/>
    <x v="0"/>
    <n v="34.999999999999993"/>
    <n v="525"/>
    <n v="183749.99999999997"/>
    <n v="64312.499999999985"/>
    <n v="0.35"/>
    <x v="2"/>
  </r>
  <r>
    <x v="4"/>
    <n v="1128299"/>
    <x v="700"/>
    <x v="2"/>
    <s v="Arizona"/>
    <s v="Phoenix"/>
    <x v="1"/>
    <n v="45"/>
    <n v="425"/>
    <n v="191250"/>
    <n v="76500"/>
    <n v="0.4"/>
    <x v="2"/>
  </r>
  <r>
    <x v="4"/>
    <n v="1128299"/>
    <x v="700"/>
    <x v="2"/>
    <s v="Arizona"/>
    <s v="Phoenix"/>
    <x v="2"/>
    <n v="45"/>
    <n v="425"/>
    <n v="191250"/>
    <n v="66937.5"/>
    <n v="0.35"/>
    <x v="2"/>
  </r>
  <r>
    <x v="4"/>
    <n v="1128299"/>
    <x v="700"/>
    <x v="2"/>
    <s v="New Mexico"/>
    <s v="Albuquerque"/>
    <x v="3"/>
    <n v="45"/>
    <n v="275"/>
    <n v="123750"/>
    <n v="43312.5"/>
    <n v="0.35"/>
    <x v="2"/>
  </r>
  <r>
    <x v="4"/>
    <n v="1128299"/>
    <x v="700"/>
    <x v="2"/>
    <s v="New Mexico"/>
    <s v="Albuquerque"/>
    <x v="4"/>
    <n v="50.000000000000014"/>
    <n v="200"/>
    <n v="100000.00000000003"/>
    <n v="30000.000000000007"/>
    <n v="0.3"/>
    <x v="2"/>
  </r>
  <r>
    <x v="4"/>
    <n v="1128299"/>
    <x v="700"/>
    <x v="2"/>
    <s v="New Mexico"/>
    <s v="Albuquerque"/>
    <x v="5"/>
    <n v="45"/>
    <n v="400"/>
    <n v="180000"/>
    <n v="45000"/>
    <n v="0.25"/>
    <x v="2"/>
  </r>
  <r>
    <x v="4"/>
    <n v="1128299"/>
    <x v="712"/>
    <x v="2"/>
    <s v="New Mexico"/>
    <s v="Albuquerque"/>
    <x v="0"/>
    <n v="45"/>
    <n v="550"/>
    <n v="247500"/>
    <n v="86625"/>
    <n v="0.35"/>
    <x v="2"/>
  </r>
  <r>
    <x v="4"/>
    <n v="1128299"/>
    <x v="712"/>
    <x v="2"/>
    <s v="New Mexico"/>
    <s v="Albuquerque"/>
    <x v="1"/>
    <n v="55.000000000000007"/>
    <n v="400"/>
    <n v="220000.00000000003"/>
    <n v="88000.000000000015"/>
    <n v="0.4"/>
    <x v="2"/>
  </r>
  <r>
    <x v="4"/>
    <n v="1128299"/>
    <x v="712"/>
    <x v="2"/>
    <s v="New Mexico"/>
    <s v="Albuquerque"/>
    <x v="2"/>
    <n v="55.000000000000007"/>
    <n v="400"/>
    <n v="220000.00000000003"/>
    <n v="77000"/>
    <n v="0.35"/>
    <x v="2"/>
  </r>
  <r>
    <x v="4"/>
    <n v="1128299"/>
    <x v="712"/>
    <x v="2"/>
    <s v="New Mexico"/>
    <s v="Albuquerque"/>
    <x v="3"/>
    <n v="55.000000000000007"/>
    <n v="275"/>
    <n v="151250.00000000003"/>
    <n v="52937.500000000007"/>
    <n v="0.35"/>
    <x v="2"/>
  </r>
  <r>
    <x v="4"/>
    <n v="1128299"/>
    <x v="712"/>
    <x v="2"/>
    <s v="New Mexico"/>
    <s v="Albuquerque"/>
    <x v="4"/>
    <n v="60.000000000000007"/>
    <n v="175"/>
    <n v="105000.00000000001"/>
    <n v="31500.000000000004"/>
    <n v="0.3"/>
    <x v="2"/>
  </r>
  <r>
    <x v="4"/>
    <n v="1128299"/>
    <x v="712"/>
    <x v="2"/>
    <s v="New Mexico"/>
    <s v="Albuquerque"/>
    <x v="5"/>
    <n v="55.000000000000007"/>
    <n v="375"/>
    <n v="206250.00000000003"/>
    <n v="51562.500000000007"/>
    <n v="0.25"/>
    <x v="2"/>
  </r>
  <r>
    <x v="4"/>
    <n v="1128299"/>
    <x v="249"/>
    <x v="2"/>
    <s v="New Mexico"/>
    <s v="Albuquerque"/>
    <x v="0"/>
    <n v="55.000000000000007"/>
    <n v="550"/>
    <n v="302500.00000000006"/>
    <n v="105875.00000000001"/>
    <n v="0.35"/>
    <x v="2"/>
  </r>
  <r>
    <x v="4"/>
    <n v="1128299"/>
    <x v="249"/>
    <x v="2"/>
    <s v="New Mexico"/>
    <s v="Albuquerque"/>
    <x v="1"/>
    <n v="60.000000000000007"/>
    <n v="350"/>
    <n v="210000.00000000003"/>
    <n v="84000.000000000015"/>
    <n v="0.4"/>
    <x v="2"/>
  </r>
  <r>
    <x v="4"/>
    <n v="1128299"/>
    <x v="249"/>
    <x v="2"/>
    <s v="New Mexico"/>
    <s v="Albuquerque"/>
    <x v="2"/>
    <n v="60.000000000000007"/>
    <n v="400"/>
    <n v="240000.00000000003"/>
    <n v="84000"/>
    <n v="0.35"/>
    <x v="2"/>
  </r>
  <r>
    <x v="4"/>
    <n v="1128299"/>
    <x v="249"/>
    <x v="2"/>
    <s v="New Mexico"/>
    <s v="Albuquerque"/>
    <x v="3"/>
    <n v="55.000000000000007"/>
    <n v="300"/>
    <n v="165000.00000000003"/>
    <n v="57750.000000000007"/>
    <n v="0.35"/>
    <x v="2"/>
  </r>
  <r>
    <x v="4"/>
    <n v="1128299"/>
    <x v="249"/>
    <x v="2"/>
    <s v="New Mexico"/>
    <s v="Albuquerque"/>
    <x v="4"/>
    <n v="60.000000000000007"/>
    <n v="200"/>
    <n v="120000.00000000001"/>
    <n v="36000"/>
    <n v="0.3"/>
    <x v="2"/>
  </r>
  <r>
    <x v="4"/>
    <n v="1128299"/>
    <x v="249"/>
    <x v="2"/>
    <s v="New Mexico"/>
    <s v="Albuquerque"/>
    <x v="5"/>
    <n v="75.000000000000014"/>
    <n v="375"/>
    <n v="281250.00000000006"/>
    <n v="70312.500000000015"/>
    <n v="0.25"/>
    <x v="2"/>
  </r>
  <r>
    <x v="4"/>
    <n v="1128299"/>
    <x v="280"/>
    <x v="2"/>
    <s v="New Mexico"/>
    <s v="Albuquerque"/>
    <x v="0"/>
    <n v="55.000000000000007"/>
    <n v="575"/>
    <n v="316250.00000000006"/>
    <n v="110687.50000000001"/>
    <n v="0.35"/>
    <x v="2"/>
  </r>
  <r>
    <x v="4"/>
    <n v="1128299"/>
    <x v="280"/>
    <x v="2"/>
    <s v="New Mexico"/>
    <s v="Albuquerque"/>
    <x v="1"/>
    <n v="60.000000000000007"/>
    <n v="425"/>
    <n v="255000.00000000003"/>
    <n v="102000.00000000001"/>
    <n v="0.4"/>
    <x v="2"/>
  </r>
  <r>
    <x v="4"/>
    <n v="1128299"/>
    <x v="280"/>
    <x v="2"/>
    <s v="New Mexico"/>
    <s v="Albuquerque"/>
    <x v="2"/>
    <n v="60.000000000000007"/>
    <n v="450"/>
    <n v="270000.00000000006"/>
    <n v="94500.000000000015"/>
    <n v="0.35"/>
    <x v="2"/>
  </r>
  <r>
    <x v="4"/>
    <n v="1128299"/>
    <x v="280"/>
    <x v="2"/>
    <s v="New Mexico"/>
    <s v="Albuquerque"/>
    <x v="3"/>
    <n v="55.000000000000007"/>
    <n v="350"/>
    <n v="192500.00000000003"/>
    <n v="67375"/>
    <n v="0.35"/>
    <x v="2"/>
  </r>
  <r>
    <x v="4"/>
    <n v="1128299"/>
    <x v="280"/>
    <x v="2"/>
    <s v="New Mexico"/>
    <s v="Albuquerque"/>
    <x v="4"/>
    <n v="60.000000000000007"/>
    <n v="250"/>
    <n v="150000.00000000003"/>
    <n v="45000.000000000007"/>
    <n v="0.3"/>
    <x v="2"/>
  </r>
  <r>
    <x v="4"/>
    <n v="1128299"/>
    <x v="280"/>
    <x v="2"/>
    <s v="New Mexico"/>
    <s v="Albuquerque"/>
    <x v="5"/>
    <n v="75.000000000000014"/>
    <n v="425"/>
    <n v="318750.00000000006"/>
    <n v="79687.500000000015"/>
    <n v="0.25"/>
    <x v="2"/>
  </r>
  <r>
    <x v="4"/>
    <n v="1128299"/>
    <x v="310"/>
    <x v="2"/>
    <s v="New Mexico"/>
    <s v="Albuquerque"/>
    <x v="0"/>
    <n v="55.000000000000007"/>
    <n v="700"/>
    <n v="385000.00000000006"/>
    <n v="134750"/>
    <n v="0.35"/>
    <x v="2"/>
  </r>
  <r>
    <x v="4"/>
    <n v="1128299"/>
    <x v="310"/>
    <x v="2"/>
    <s v="New Mexico"/>
    <s v="Albuquerque"/>
    <x v="1"/>
    <n v="60.000000000000007"/>
    <n v="550"/>
    <n v="330000.00000000006"/>
    <n v="132000.00000000003"/>
    <n v="0.4"/>
    <x v="2"/>
  </r>
  <r>
    <x v="4"/>
    <n v="1128299"/>
    <x v="310"/>
    <x v="2"/>
    <s v="New Mexico"/>
    <s v="Albuquerque"/>
    <x v="2"/>
    <n v="60.000000000000007"/>
    <n v="550"/>
    <n v="330000.00000000006"/>
    <n v="115500.00000000001"/>
    <n v="0.35"/>
    <x v="2"/>
  </r>
  <r>
    <x v="4"/>
    <n v="1128299"/>
    <x v="310"/>
    <x v="2"/>
    <s v="New Mexico"/>
    <s v="Albuquerque"/>
    <x v="3"/>
    <n v="55.000000000000007"/>
    <n v="425"/>
    <n v="233750.00000000003"/>
    <n v="81812.5"/>
    <n v="0.35"/>
    <x v="2"/>
  </r>
  <r>
    <x v="4"/>
    <n v="1128299"/>
    <x v="310"/>
    <x v="2"/>
    <s v="New Mexico"/>
    <s v="Albuquerque"/>
    <x v="4"/>
    <n v="60.000000000000007"/>
    <n v="300"/>
    <n v="180000.00000000003"/>
    <n v="54000.000000000007"/>
    <n v="0.3"/>
    <x v="2"/>
  </r>
  <r>
    <x v="4"/>
    <n v="1128299"/>
    <x v="310"/>
    <x v="2"/>
    <s v="New Mexico"/>
    <s v="Albuquerque"/>
    <x v="5"/>
    <n v="75.000000000000014"/>
    <n v="600"/>
    <n v="450000.00000000006"/>
    <n v="112500.00000000001"/>
    <n v="0.25"/>
    <x v="2"/>
  </r>
  <r>
    <x v="4"/>
    <n v="1128299"/>
    <x v="339"/>
    <x v="2"/>
    <s v="New Mexico"/>
    <s v="Albuquerque"/>
    <x v="0"/>
    <n v="55.000000000000007"/>
    <n v="750"/>
    <n v="412500.00000000006"/>
    <n v="144375"/>
    <n v="0.35"/>
    <x v="2"/>
  </r>
  <r>
    <x v="4"/>
    <n v="1128299"/>
    <x v="339"/>
    <x v="2"/>
    <s v="New Mexico"/>
    <s v="Albuquerque"/>
    <x v="1"/>
    <n v="60.000000000000007"/>
    <n v="600"/>
    <n v="360000.00000000006"/>
    <n v="144000.00000000003"/>
    <n v="0.4"/>
    <x v="2"/>
  </r>
  <r>
    <x v="4"/>
    <n v="1128299"/>
    <x v="339"/>
    <x v="2"/>
    <s v="New Mexico"/>
    <s v="Albuquerque"/>
    <x v="2"/>
    <n v="60.000000000000007"/>
    <n v="550"/>
    <n v="330000.00000000006"/>
    <n v="115500.00000000001"/>
    <n v="0.35"/>
    <x v="2"/>
  </r>
  <r>
    <x v="4"/>
    <n v="1128299"/>
    <x v="339"/>
    <x v="2"/>
    <s v="New Mexico"/>
    <s v="Albuquerque"/>
    <x v="3"/>
    <n v="55.000000000000007"/>
    <n v="450"/>
    <n v="247500.00000000003"/>
    <n v="86625"/>
    <n v="0.35"/>
    <x v="2"/>
  </r>
  <r>
    <x v="4"/>
    <n v="1128299"/>
    <x v="339"/>
    <x v="2"/>
    <s v="New Mexico"/>
    <s v="Albuquerque"/>
    <x v="4"/>
    <n v="60.000000000000007"/>
    <n v="500"/>
    <n v="300000.00000000006"/>
    <n v="90000.000000000015"/>
    <n v="0.3"/>
    <x v="2"/>
  </r>
  <r>
    <x v="4"/>
    <n v="1128299"/>
    <x v="339"/>
    <x v="2"/>
    <s v="New Mexico"/>
    <s v="Albuquerque"/>
    <x v="5"/>
    <n v="75.000000000000014"/>
    <n v="500"/>
    <n v="375000.00000000006"/>
    <n v="93750.000000000015"/>
    <n v="0.25"/>
    <x v="2"/>
  </r>
  <r>
    <x v="4"/>
    <n v="1128299"/>
    <x v="371"/>
    <x v="2"/>
    <s v="New Mexico"/>
    <s v="Albuquerque"/>
    <x v="0"/>
    <n v="60.000000000000007"/>
    <n v="700"/>
    <n v="420000.00000000006"/>
    <n v="147000"/>
    <n v="0.35"/>
    <x v="2"/>
  </r>
  <r>
    <x v="4"/>
    <n v="1128299"/>
    <x v="371"/>
    <x v="2"/>
    <s v="New Mexico"/>
    <s v="Albuquerque"/>
    <x v="1"/>
    <n v="65.000000000000014"/>
    <n v="650"/>
    <n v="422500.00000000012"/>
    <n v="169000.00000000006"/>
    <n v="0.4"/>
    <x v="2"/>
  </r>
  <r>
    <x v="4"/>
    <n v="1128299"/>
    <x v="371"/>
    <x v="2"/>
    <s v="New Mexico"/>
    <s v="Albuquerque"/>
    <x v="2"/>
    <n v="60.000000000000007"/>
    <n v="525"/>
    <n v="315000.00000000006"/>
    <n v="110250.00000000001"/>
    <n v="0.35"/>
    <x v="2"/>
  </r>
  <r>
    <x v="4"/>
    <n v="1128299"/>
    <x v="371"/>
    <x v="2"/>
    <s v="New Mexico"/>
    <s v="Albuquerque"/>
    <x v="3"/>
    <n v="60.000000000000007"/>
    <n v="475"/>
    <n v="285000.00000000006"/>
    <n v="99750.000000000015"/>
    <n v="0.35"/>
    <x v="2"/>
  </r>
  <r>
    <x v="4"/>
    <n v="1128299"/>
    <x v="371"/>
    <x v="2"/>
    <s v="New Mexico"/>
    <s v="Albuquerque"/>
    <x v="4"/>
    <n v="70"/>
    <n v="475"/>
    <n v="332500"/>
    <n v="99750"/>
    <n v="0.3"/>
    <x v="2"/>
  </r>
  <r>
    <x v="4"/>
    <n v="1128299"/>
    <x v="371"/>
    <x v="2"/>
    <s v="New Mexico"/>
    <s v="Albuquerque"/>
    <x v="5"/>
    <n v="75.000000000000014"/>
    <n v="450"/>
    <n v="337500.00000000006"/>
    <n v="84375.000000000015"/>
    <n v="0.25"/>
    <x v="2"/>
  </r>
  <r>
    <x v="4"/>
    <n v="1128299"/>
    <x v="403"/>
    <x v="2"/>
    <s v="New Mexico"/>
    <s v="Albuquerque"/>
    <x v="0"/>
    <n v="50.000000000000014"/>
    <n v="625"/>
    <n v="312500.00000000012"/>
    <n v="109375.00000000003"/>
    <n v="0.35"/>
    <x v="2"/>
  </r>
  <r>
    <x v="4"/>
    <n v="1128299"/>
    <x v="403"/>
    <x v="2"/>
    <s v="New Mexico"/>
    <s v="Albuquerque"/>
    <x v="1"/>
    <n v="55.000000000000014"/>
    <n v="625"/>
    <n v="343750.00000000012"/>
    <n v="137500.00000000006"/>
    <n v="0.4"/>
    <x v="2"/>
  </r>
  <r>
    <x v="4"/>
    <n v="1128299"/>
    <x v="403"/>
    <x v="2"/>
    <s v="New Mexico"/>
    <s v="Albuquerque"/>
    <x v="2"/>
    <n v="50.000000000000014"/>
    <n v="475"/>
    <n v="237500.00000000006"/>
    <n v="83125.000000000015"/>
    <n v="0.35"/>
    <x v="2"/>
  </r>
  <r>
    <x v="4"/>
    <n v="1128299"/>
    <x v="403"/>
    <x v="2"/>
    <s v="New Mexico"/>
    <s v="Albuquerque"/>
    <x v="3"/>
    <n v="50.000000000000014"/>
    <n v="425"/>
    <n v="212500.00000000006"/>
    <n v="74375.000000000015"/>
    <n v="0.35"/>
    <x v="2"/>
  </r>
  <r>
    <x v="4"/>
    <n v="1128299"/>
    <x v="403"/>
    <x v="2"/>
    <s v="New Mexico"/>
    <s v="Albuquerque"/>
    <x v="4"/>
    <n v="60.000000000000007"/>
    <n v="425"/>
    <n v="255000.00000000003"/>
    <n v="76500"/>
    <n v="0.3"/>
    <x v="2"/>
  </r>
  <r>
    <x v="4"/>
    <n v="1128299"/>
    <x v="403"/>
    <x v="2"/>
    <s v="New Mexico"/>
    <s v="Albuquerque"/>
    <x v="5"/>
    <n v="65.000000000000014"/>
    <n v="475"/>
    <n v="308750.00000000006"/>
    <n v="77187.500000000015"/>
    <n v="0.25"/>
    <x v="2"/>
  </r>
  <r>
    <x v="4"/>
    <n v="1128299"/>
    <x v="432"/>
    <x v="2"/>
    <s v="New Mexico"/>
    <s v="Albuquerque"/>
    <x v="0"/>
    <n v="50.000000000000014"/>
    <n v="550"/>
    <n v="275000.00000000006"/>
    <n v="96250.000000000015"/>
    <n v="0.35"/>
    <x v="2"/>
  </r>
  <r>
    <x v="4"/>
    <n v="1128299"/>
    <x v="432"/>
    <x v="2"/>
    <s v="New Mexico"/>
    <s v="Albuquerque"/>
    <x v="1"/>
    <n v="55.000000000000014"/>
    <n v="550"/>
    <n v="302500.00000000006"/>
    <n v="121000.00000000003"/>
    <n v="0.4"/>
    <x v="2"/>
  </r>
  <r>
    <x v="4"/>
    <n v="1128299"/>
    <x v="432"/>
    <x v="2"/>
    <s v="New Mexico"/>
    <s v="Albuquerque"/>
    <x v="2"/>
    <n v="50.000000000000014"/>
    <n v="375"/>
    <n v="187500.00000000006"/>
    <n v="65625.000000000015"/>
    <n v="0.35"/>
    <x v="2"/>
  </r>
  <r>
    <x v="4"/>
    <n v="1128299"/>
    <x v="432"/>
    <x v="2"/>
    <s v="New Mexico"/>
    <s v="Albuquerque"/>
    <x v="3"/>
    <n v="50.000000000000014"/>
    <n v="350"/>
    <n v="175000.00000000006"/>
    <n v="61250.000000000015"/>
    <n v="0.35"/>
    <x v="2"/>
  </r>
  <r>
    <x v="4"/>
    <n v="1128299"/>
    <x v="432"/>
    <x v="2"/>
    <s v="New Mexico"/>
    <s v="Albuquerque"/>
    <x v="4"/>
    <n v="60.000000000000007"/>
    <n v="325"/>
    <n v="195000.00000000003"/>
    <n v="58500.000000000007"/>
    <n v="0.3"/>
    <x v="2"/>
  </r>
  <r>
    <x v="4"/>
    <n v="1128299"/>
    <x v="432"/>
    <x v="2"/>
    <s v="New Mexico"/>
    <s v="Albuquerque"/>
    <x v="5"/>
    <n v="75.000000000000014"/>
    <n v="375"/>
    <n v="281250.00000000006"/>
    <n v="70312.500000000015"/>
    <n v="0.25"/>
    <x v="2"/>
  </r>
  <r>
    <x v="4"/>
    <n v="1128299"/>
    <x v="463"/>
    <x v="2"/>
    <s v="New Mexico"/>
    <s v="Albuquerque"/>
    <x v="0"/>
    <n v="60.000000000000007"/>
    <n v="550"/>
    <n v="330000.00000000006"/>
    <n v="115500.00000000001"/>
    <n v="0.35"/>
    <x v="2"/>
  </r>
  <r>
    <x v="4"/>
    <n v="1128299"/>
    <x v="463"/>
    <x v="2"/>
    <s v="New Mexico"/>
    <s v="Albuquerque"/>
    <x v="1"/>
    <n v="65.000000000000014"/>
    <n v="600"/>
    <n v="390000.00000000006"/>
    <n v="156000.00000000003"/>
    <n v="0.4"/>
    <x v="2"/>
  </r>
  <r>
    <x v="4"/>
    <n v="1128299"/>
    <x v="463"/>
    <x v="2"/>
    <s v="New Mexico"/>
    <s v="Albuquerque"/>
    <x v="2"/>
    <n v="60.000000000000007"/>
    <n v="450"/>
    <n v="270000.00000000006"/>
    <n v="94500.000000000015"/>
    <n v="0.35"/>
    <x v="2"/>
  </r>
  <r>
    <x v="4"/>
    <n v="1128299"/>
    <x v="463"/>
    <x v="2"/>
    <s v="New Mexico"/>
    <s v="Albuquerque"/>
    <x v="3"/>
    <n v="60.000000000000007"/>
    <n v="425"/>
    <n v="255000.00000000003"/>
    <n v="89250"/>
    <n v="0.35"/>
    <x v="2"/>
  </r>
  <r>
    <x v="4"/>
    <n v="1128299"/>
    <x v="463"/>
    <x v="2"/>
    <s v="New Mexico"/>
    <s v="Albuquerque"/>
    <x v="4"/>
    <n v="70"/>
    <n v="375"/>
    <n v="262500"/>
    <n v="78750"/>
    <n v="0.3"/>
    <x v="2"/>
  </r>
  <r>
    <x v="4"/>
    <n v="1128299"/>
    <x v="463"/>
    <x v="2"/>
    <s v="New Mexico"/>
    <s v="Albuquerque"/>
    <x v="5"/>
    <n v="75.000000000000014"/>
    <n v="500"/>
    <n v="375000.00000000006"/>
    <n v="93750.000000000015"/>
    <n v="0.25"/>
    <x v="2"/>
  </r>
  <r>
    <x v="4"/>
    <n v="1128299"/>
    <x v="492"/>
    <x v="2"/>
    <s v="New Mexico"/>
    <s v="Albuquerque"/>
    <x v="0"/>
    <n v="60.000000000000007"/>
    <n v="700"/>
    <n v="420000.00000000006"/>
    <n v="147000"/>
    <n v="0.35"/>
    <x v="2"/>
  </r>
  <r>
    <x v="4"/>
    <n v="1128299"/>
    <x v="492"/>
    <x v="2"/>
    <s v="New Mexico"/>
    <s v="Albuquerque"/>
    <x v="1"/>
    <n v="65.000000000000014"/>
    <n v="700"/>
    <n v="455000.00000000012"/>
    <n v="182000.00000000006"/>
    <n v="0.4"/>
    <x v="2"/>
  </r>
  <r>
    <x v="2"/>
    <n v="1128299"/>
    <x v="492"/>
    <x v="2"/>
    <s v="New Mexico"/>
    <s v="Albuquerque"/>
    <x v="2"/>
    <n v="60.000000000000007"/>
    <n v="500"/>
    <n v="300000.00000000006"/>
    <n v="105000.00000000001"/>
    <n v="0.35"/>
    <x v="2"/>
  </r>
  <r>
    <x v="2"/>
    <n v="1128299"/>
    <x v="492"/>
    <x v="2"/>
    <s v="New Mexico"/>
    <s v="Albuquerque"/>
    <x v="3"/>
    <n v="60.000000000000007"/>
    <n v="500"/>
    <n v="300000.00000000006"/>
    <n v="105000.00000000001"/>
    <n v="0.35"/>
    <x v="2"/>
  </r>
  <r>
    <x v="2"/>
    <n v="1128299"/>
    <x v="492"/>
    <x v="2"/>
    <s v="New Mexico"/>
    <s v="Albuquerque"/>
    <x v="4"/>
    <n v="70"/>
    <n v="425"/>
    <n v="297500"/>
    <n v="89250"/>
    <n v="0.3"/>
    <x v="2"/>
  </r>
  <r>
    <x v="2"/>
    <n v="1128299"/>
    <x v="492"/>
    <x v="2"/>
    <s v="New Mexico"/>
    <s v="Albuquerque"/>
    <x v="5"/>
    <n v="75.000000000000014"/>
    <n v="525"/>
    <n v="393750.00000000006"/>
    <n v="98437.500000000015"/>
    <n v="0.25"/>
    <x v="2"/>
  </r>
  <r>
    <x v="2"/>
    <n v="1128299"/>
    <x v="177"/>
    <x v="2"/>
    <s v="New Mexico"/>
    <s v="Albuquerque"/>
    <x v="0"/>
    <n v="29.999999999999993"/>
    <n v="450"/>
    <n v="134999.99999999997"/>
    <n v="53999.999999999993"/>
    <n v="0.4"/>
    <x v="2"/>
  </r>
  <r>
    <x v="2"/>
    <n v="1128299"/>
    <x v="177"/>
    <x v="2"/>
    <s v="New Mexico"/>
    <s v="Albuquerque"/>
    <x v="1"/>
    <n v="40"/>
    <n v="450"/>
    <n v="180000"/>
    <n v="72000"/>
    <n v="0.4"/>
    <x v="2"/>
  </r>
  <r>
    <x v="2"/>
    <n v="1128299"/>
    <x v="177"/>
    <x v="2"/>
    <s v="New Mexico"/>
    <s v="Albuquerque"/>
    <x v="2"/>
    <n v="40"/>
    <n v="450"/>
    <n v="180000"/>
    <n v="62999.999999999993"/>
    <n v="0.35"/>
    <x v="2"/>
  </r>
  <r>
    <x v="2"/>
    <n v="1128299"/>
    <x v="177"/>
    <x v="2"/>
    <s v="New Mexico"/>
    <s v="Albuquerque"/>
    <x v="3"/>
    <n v="40"/>
    <n v="300"/>
    <n v="120000"/>
    <n v="48000"/>
    <n v="0.4"/>
    <x v="2"/>
  </r>
  <r>
    <x v="2"/>
    <n v="1128299"/>
    <x v="177"/>
    <x v="2"/>
    <s v="New Mexico"/>
    <s v="Albuquerque"/>
    <x v="4"/>
    <n v="45.000000000000014"/>
    <n v="250"/>
    <n v="112500.00000000003"/>
    <n v="39375.000000000007"/>
    <n v="0.35"/>
    <x v="2"/>
  </r>
  <r>
    <x v="2"/>
    <n v="1128299"/>
    <x v="177"/>
    <x v="2"/>
    <s v="New Mexico"/>
    <s v="Albuquerque"/>
    <x v="5"/>
    <n v="40"/>
    <n v="450"/>
    <n v="180000"/>
    <n v="45000"/>
    <n v="0.25"/>
    <x v="2"/>
  </r>
  <r>
    <x v="2"/>
    <n v="1128299"/>
    <x v="208"/>
    <x v="2"/>
    <s v="New Mexico"/>
    <s v="Albuquerque"/>
    <x v="0"/>
    <n v="29.999999999999993"/>
    <n v="500"/>
    <n v="149999.99999999997"/>
    <n v="59999.999999999993"/>
    <n v="0.4"/>
    <x v="2"/>
  </r>
  <r>
    <x v="2"/>
    <n v="1128299"/>
    <x v="208"/>
    <x v="2"/>
    <s v="New Mexico"/>
    <s v="Albuquerque"/>
    <x v="1"/>
    <n v="40"/>
    <n v="400"/>
    <n v="160000"/>
    <n v="64000"/>
    <n v="0.4"/>
    <x v="2"/>
  </r>
  <r>
    <x v="2"/>
    <n v="1128299"/>
    <x v="208"/>
    <x v="2"/>
    <s v="New Mexico"/>
    <s v="Albuquerque"/>
    <x v="2"/>
    <n v="40"/>
    <n v="400"/>
    <n v="160000"/>
    <n v="56000"/>
    <n v="0.35"/>
    <x v="2"/>
  </r>
  <r>
    <x v="2"/>
    <n v="1128299"/>
    <x v="208"/>
    <x v="4"/>
    <s v="Georgia"/>
    <s v="Atlanta"/>
    <x v="3"/>
    <n v="40"/>
    <n v="250"/>
    <n v="100000"/>
    <n v="40000"/>
    <n v="0.4"/>
    <x v="2"/>
  </r>
  <r>
    <x v="2"/>
    <n v="1128299"/>
    <x v="208"/>
    <x v="4"/>
    <s v="Georgia"/>
    <s v="Atlanta"/>
    <x v="4"/>
    <n v="45.000000000000014"/>
    <n v="175"/>
    <n v="78750.000000000029"/>
    <n v="27562.500000000007"/>
    <n v="0.35"/>
    <x v="2"/>
  </r>
  <r>
    <x v="2"/>
    <n v="1128299"/>
    <x v="208"/>
    <x v="4"/>
    <s v="Georgia"/>
    <s v="Atlanta"/>
    <x v="5"/>
    <n v="40"/>
    <n v="375"/>
    <n v="150000"/>
    <n v="37500"/>
    <n v="0.25"/>
    <x v="2"/>
  </r>
  <r>
    <x v="2"/>
    <n v="1128299"/>
    <x v="217"/>
    <x v="4"/>
    <s v="Georgia"/>
    <s v="Atlanta"/>
    <x v="0"/>
    <n v="40"/>
    <n v="525"/>
    <n v="210000"/>
    <n v="84000"/>
    <n v="0.4"/>
    <x v="2"/>
  </r>
  <r>
    <x v="2"/>
    <n v="1128299"/>
    <x v="217"/>
    <x v="4"/>
    <s v="Georgia"/>
    <s v="Atlanta"/>
    <x v="1"/>
    <n v="50"/>
    <n v="375"/>
    <n v="187500"/>
    <n v="75000"/>
    <n v="0.4"/>
    <x v="2"/>
  </r>
  <r>
    <x v="2"/>
    <n v="1128299"/>
    <x v="217"/>
    <x v="4"/>
    <s v="Georgia"/>
    <s v="Atlanta"/>
    <x v="2"/>
    <n v="50"/>
    <n v="375"/>
    <n v="187500"/>
    <n v="65625"/>
    <n v="0.35"/>
    <x v="2"/>
  </r>
  <r>
    <x v="2"/>
    <n v="1128299"/>
    <x v="217"/>
    <x v="4"/>
    <s v="Georgia"/>
    <s v="Atlanta"/>
    <x v="3"/>
    <n v="50"/>
    <n v="250"/>
    <n v="125000"/>
    <n v="50000"/>
    <n v="0.4"/>
    <x v="2"/>
  </r>
  <r>
    <x v="2"/>
    <n v="1128299"/>
    <x v="217"/>
    <x v="4"/>
    <s v="Georgia"/>
    <s v="Atlanta"/>
    <x v="4"/>
    <n v="55.000000000000007"/>
    <n v="150"/>
    <n v="82500.000000000015"/>
    <n v="28875.000000000004"/>
    <n v="0.35"/>
    <x v="2"/>
  </r>
  <r>
    <x v="2"/>
    <n v="1128299"/>
    <x v="217"/>
    <x v="4"/>
    <s v="Georgia"/>
    <s v="Atlanta"/>
    <x v="5"/>
    <n v="50"/>
    <n v="350"/>
    <n v="175000"/>
    <n v="43750"/>
    <n v="0.25"/>
    <x v="2"/>
  </r>
  <r>
    <x v="2"/>
    <n v="1128299"/>
    <x v="236"/>
    <x v="4"/>
    <s v="Georgia"/>
    <s v="Atlanta"/>
    <x v="0"/>
    <n v="50"/>
    <n v="525"/>
    <n v="262500"/>
    <n v="105000"/>
    <n v="0.4"/>
    <x v="2"/>
  </r>
  <r>
    <x v="2"/>
    <n v="1128299"/>
    <x v="236"/>
    <x v="4"/>
    <s v="Georgia"/>
    <s v="Atlanta"/>
    <x v="1"/>
    <n v="55.000000000000007"/>
    <n v="325"/>
    <n v="178750.00000000003"/>
    <n v="71500.000000000015"/>
    <n v="0.4"/>
    <x v="2"/>
  </r>
  <r>
    <x v="2"/>
    <n v="1128299"/>
    <x v="236"/>
    <x v="4"/>
    <s v="Georgia"/>
    <s v="Atlanta"/>
    <x v="2"/>
    <n v="55.000000000000007"/>
    <n v="375"/>
    <n v="206250.00000000003"/>
    <n v="72187.5"/>
    <n v="0.35"/>
    <x v="2"/>
  </r>
  <r>
    <x v="2"/>
    <n v="1128299"/>
    <x v="236"/>
    <x v="4"/>
    <s v="Georgia"/>
    <s v="Atlanta"/>
    <x v="3"/>
    <n v="50"/>
    <n v="275"/>
    <n v="137500"/>
    <n v="55000"/>
    <n v="0.4"/>
    <x v="2"/>
  </r>
  <r>
    <x v="2"/>
    <n v="1128299"/>
    <x v="236"/>
    <x v="4"/>
    <s v="Georgia"/>
    <s v="Atlanta"/>
    <x v="4"/>
    <n v="55.000000000000007"/>
    <n v="175"/>
    <n v="96250.000000000015"/>
    <n v="33687.5"/>
    <n v="0.35"/>
    <x v="2"/>
  </r>
  <r>
    <x v="2"/>
    <n v="1128299"/>
    <x v="236"/>
    <x v="4"/>
    <s v="Georgia"/>
    <s v="Atlanta"/>
    <x v="5"/>
    <n v="70"/>
    <n v="350"/>
    <n v="245000"/>
    <n v="61250"/>
    <n v="0.25"/>
    <x v="2"/>
  </r>
  <r>
    <x v="2"/>
    <n v="1128299"/>
    <x v="267"/>
    <x v="4"/>
    <s v="Georgia"/>
    <s v="Atlanta"/>
    <x v="0"/>
    <n v="50"/>
    <n v="550"/>
    <n v="275000"/>
    <n v="110000"/>
    <n v="0.4"/>
    <x v="2"/>
  </r>
  <r>
    <x v="2"/>
    <n v="1128299"/>
    <x v="267"/>
    <x v="4"/>
    <s v="Georgia"/>
    <s v="Atlanta"/>
    <x v="1"/>
    <n v="55.000000000000007"/>
    <n v="400"/>
    <n v="220000.00000000003"/>
    <n v="88000.000000000015"/>
    <n v="0.4"/>
    <x v="2"/>
  </r>
  <r>
    <x v="2"/>
    <n v="1128299"/>
    <x v="267"/>
    <x v="4"/>
    <s v="Georgia"/>
    <s v="Atlanta"/>
    <x v="2"/>
    <n v="55.000000000000007"/>
    <n v="425"/>
    <n v="233750.00000000003"/>
    <n v="81812.5"/>
    <n v="0.35"/>
    <x v="2"/>
  </r>
  <r>
    <x v="2"/>
    <n v="1128299"/>
    <x v="267"/>
    <x v="4"/>
    <s v="Georgia"/>
    <s v="Atlanta"/>
    <x v="3"/>
    <n v="50"/>
    <n v="325"/>
    <n v="162500"/>
    <n v="65000"/>
    <n v="0.4"/>
    <x v="2"/>
  </r>
  <r>
    <x v="2"/>
    <n v="1128299"/>
    <x v="267"/>
    <x v="4"/>
    <s v="Georgia"/>
    <s v="Atlanta"/>
    <x v="4"/>
    <n v="55.000000000000007"/>
    <n v="225"/>
    <n v="123750.00000000001"/>
    <n v="43312.5"/>
    <n v="0.35"/>
    <x v="2"/>
  </r>
  <r>
    <x v="2"/>
    <n v="1128299"/>
    <x v="267"/>
    <x v="4"/>
    <s v="Georgia"/>
    <s v="Atlanta"/>
    <x v="5"/>
    <n v="70"/>
    <n v="400"/>
    <n v="280000"/>
    <n v="70000"/>
    <n v="0.25"/>
    <x v="2"/>
  </r>
  <r>
    <x v="2"/>
    <n v="1128299"/>
    <x v="297"/>
    <x v="4"/>
    <s v="Georgia"/>
    <s v="Atlanta"/>
    <x v="0"/>
    <n v="50"/>
    <n v="675"/>
    <n v="337500"/>
    <n v="135000"/>
    <n v="0.4"/>
    <x v="2"/>
  </r>
  <r>
    <x v="2"/>
    <n v="1128299"/>
    <x v="297"/>
    <x v="4"/>
    <s v="Georgia"/>
    <s v="Atlanta"/>
    <x v="1"/>
    <n v="55.000000000000007"/>
    <n v="525"/>
    <n v="288750.00000000006"/>
    <n v="115500.00000000003"/>
    <n v="0.4"/>
    <x v="2"/>
  </r>
  <r>
    <x v="2"/>
    <n v="1128299"/>
    <x v="297"/>
    <x v="4"/>
    <s v="Georgia"/>
    <s v="Atlanta"/>
    <x v="2"/>
    <n v="55.000000000000007"/>
    <n v="525"/>
    <n v="288750.00000000006"/>
    <n v="101062.50000000001"/>
    <n v="0.35"/>
    <x v="2"/>
  </r>
  <r>
    <x v="2"/>
    <n v="1128299"/>
    <x v="297"/>
    <x v="4"/>
    <s v="Georgia"/>
    <s v="Atlanta"/>
    <x v="3"/>
    <n v="50"/>
    <n v="400"/>
    <n v="200000"/>
    <n v="80000"/>
    <n v="0.4"/>
    <x v="2"/>
  </r>
  <r>
    <x v="2"/>
    <n v="1128299"/>
    <x v="297"/>
    <x v="4"/>
    <s v="Georgia"/>
    <s v="Atlanta"/>
    <x v="4"/>
    <n v="55.000000000000007"/>
    <n v="275"/>
    <n v="151250.00000000003"/>
    <n v="52937.500000000007"/>
    <n v="0.35"/>
    <x v="2"/>
  </r>
  <r>
    <x v="2"/>
    <n v="1128299"/>
    <x v="297"/>
    <x v="4"/>
    <s v="Georgia"/>
    <s v="Atlanta"/>
    <x v="5"/>
    <n v="70"/>
    <n v="575"/>
    <n v="402500"/>
    <n v="100625"/>
    <n v="0.25"/>
    <x v="2"/>
  </r>
  <r>
    <x v="2"/>
    <n v="1128299"/>
    <x v="326"/>
    <x v="4"/>
    <s v="Georgia"/>
    <s v="Atlanta"/>
    <x v="0"/>
    <n v="50"/>
    <n v="725"/>
    <n v="362500"/>
    <n v="145000"/>
    <n v="0.4"/>
    <x v="2"/>
  </r>
  <r>
    <x v="2"/>
    <n v="1128299"/>
    <x v="326"/>
    <x v="4"/>
    <s v="Georgia"/>
    <s v="Atlanta"/>
    <x v="1"/>
    <n v="55.000000000000007"/>
    <n v="575"/>
    <n v="316250.00000000006"/>
    <n v="126500.00000000003"/>
    <n v="0.4"/>
    <x v="2"/>
  </r>
  <r>
    <x v="2"/>
    <n v="1128299"/>
    <x v="326"/>
    <x v="4"/>
    <s v="Georgia"/>
    <s v="Atlanta"/>
    <x v="2"/>
    <n v="55.000000000000007"/>
    <n v="525"/>
    <n v="288750.00000000006"/>
    <n v="101062.50000000001"/>
    <n v="0.35"/>
    <x v="2"/>
  </r>
  <r>
    <x v="2"/>
    <n v="1128299"/>
    <x v="326"/>
    <x v="4"/>
    <s v="Georgia"/>
    <s v="Atlanta"/>
    <x v="3"/>
    <n v="50"/>
    <n v="425"/>
    <n v="212500"/>
    <n v="85000"/>
    <n v="0.4"/>
    <x v="2"/>
  </r>
  <r>
    <x v="2"/>
    <n v="1128299"/>
    <x v="326"/>
    <x v="4"/>
    <s v="Georgia"/>
    <s v="Atlanta"/>
    <x v="4"/>
    <n v="55.000000000000007"/>
    <n v="475"/>
    <n v="261250.00000000003"/>
    <n v="91437.5"/>
    <n v="0.35"/>
    <x v="2"/>
  </r>
  <r>
    <x v="2"/>
    <n v="1128299"/>
    <x v="326"/>
    <x v="4"/>
    <s v="Georgia"/>
    <s v="Atlanta"/>
    <x v="5"/>
    <n v="70"/>
    <n v="475"/>
    <n v="332500"/>
    <n v="83125"/>
    <n v="0.25"/>
    <x v="2"/>
  </r>
  <r>
    <x v="2"/>
    <n v="1128299"/>
    <x v="358"/>
    <x v="4"/>
    <s v="Georgia"/>
    <s v="Atlanta"/>
    <x v="0"/>
    <n v="55.000000000000007"/>
    <n v="675"/>
    <n v="371250.00000000006"/>
    <n v="148500.00000000003"/>
    <n v="0.4"/>
    <x v="2"/>
  </r>
  <r>
    <x v="2"/>
    <n v="1128299"/>
    <x v="358"/>
    <x v="4"/>
    <s v="Georgia"/>
    <s v="Atlanta"/>
    <x v="1"/>
    <n v="60.000000000000007"/>
    <n v="625"/>
    <n v="375000.00000000006"/>
    <n v="150000.00000000003"/>
    <n v="0.4"/>
    <x v="2"/>
  </r>
  <r>
    <x v="2"/>
    <n v="1128299"/>
    <x v="358"/>
    <x v="4"/>
    <s v="Georgia"/>
    <s v="Atlanta"/>
    <x v="2"/>
    <n v="55.000000000000007"/>
    <n v="500"/>
    <n v="275000.00000000006"/>
    <n v="96250.000000000015"/>
    <n v="0.35"/>
    <x v="2"/>
  </r>
  <r>
    <x v="2"/>
    <n v="1128299"/>
    <x v="358"/>
    <x v="4"/>
    <s v="Georgia"/>
    <s v="Atlanta"/>
    <x v="3"/>
    <n v="55.000000000000007"/>
    <n v="450"/>
    <n v="247500.00000000003"/>
    <n v="99000.000000000015"/>
    <n v="0.4"/>
    <x v="2"/>
  </r>
  <r>
    <x v="2"/>
    <n v="1128299"/>
    <x v="358"/>
    <x v="4"/>
    <s v="Georgia"/>
    <s v="Atlanta"/>
    <x v="4"/>
    <n v="65"/>
    <n v="450"/>
    <n v="292500"/>
    <n v="102375"/>
    <n v="0.35"/>
    <x v="2"/>
  </r>
  <r>
    <x v="2"/>
    <n v="1128299"/>
    <x v="358"/>
    <x v="4"/>
    <s v="Georgia"/>
    <s v="Atlanta"/>
    <x v="5"/>
    <n v="70"/>
    <n v="425"/>
    <n v="297500"/>
    <n v="74375"/>
    <n v="0.25"/>
    <x v="2"/>
  </r>
  <r>
    <x v="2"/>
    <n v="1128299"/>
    <x v="390"/>
    <x v="4"/>
    <s v="Georgia"/>
    <s v="Atlanta"/>
    <x v="0"/>
    <n v="45.000000000000014"/>
    <n v="600"/>
    <n v="270000.00000000006"/>
    <n v="108000.00000000003"/>
    <n v="0.4"/>
    <x v="2"/>
  </r>
  <r>
    <x v="2"/>
    <n v="1128299"/>
    <x v="390"/>
    <x v="4"/>
    <s v="Georgia"/>
    <s v="Atlanta"/>
    <x v="1"/>
    <n v="50.000000000000014"/>
    <n v="600"/>
    <n v="300000.00000000006"/>
    <n v="120000.00000000003"/>
    <n v="0.4"/>
    <x v="2"/>
  </r>
  <r>
    <x v="2"/>
    <n v="1128299"/>
    <x v="390"/>
    <x v="4"/>
    <s v="Georgia"/>
    <s v="Atlanta"/>
    <x v="2"/>
    <n v="45.000000000000014"/>
    <n v="450"/>
    <n v="202500.00000000006"/>
    <n v="70875.000000000015"/>
    <n v="0.35"/>
    <x v="2"/>
  </r>
  <r>
    <x v="2"/>
    <n v="1128299"/>
    <x v="390"/>
    <x v="4"/>
    <s v="Georgia"/>
    <s v="Atlanta"/>
    <x v="3"/>
    <n v="45.000000000000014"/>
    <n v="400"/>
    <n v="180000.00000000006"/>
    <n v="72000.000000000029"/>
    <n v="0.4"/>
    <x v="2"/>
  </r>
  <r>
    <x v="2"/>
    <n v="1128299"/>
    <x v="390"/>
    <x v="4"/>
    <s v="Georgia"/>
    <s v="Atlanta"/>
    <x v="4"/>
    <n v="55.000000000000007"/>
    <n v="400"/>
    <n v="220000.00000000003"/>
    <n v="77000"/>
    <n v="0.35"/>
    <x v="2"/>
  </r>
  <r>
    <x v="2"/>
    <n v="1128299"/>
    <x v="390"/>
    <x v="4"/>
    <s v="Georgia"/>
    <s v="Atlanta"/>
    <x v="5"/>
    <n v="60.000000000000007"/>
    <n v="450"/>
    <n v="270000.00000000006"/>
    <n v="67500.000000000015"/>
    <n v="0.25"/>
    <x v="2"/>
  </r>
  <r>
    <x v="2"/>
    <n v="1128299"/>
    <x v="419"/>
    <x v="4"/>
    <s v="Georgia"/>
    <s v="Atlanta"/>
    <x v="0"/>
    <n v="45.000000000000014"/>
    <n v="525"/>
    <n v="236250.00000000009"/>
    <n v="94500.000000000044"/>
    <n v="0.4"/>
    <x v="2"/>
  </r>
  <r>
    <x v="2"/>
    <n v="1128299"/>
    <x v="419"/>
    <x v="4"/>
    <s v="Georgia"/>
    <s v="Atlanta"/>
    <x v="1"/>
    <n v="50.000000000000014"/>
    <n v="525"/>
    <n v="262500.00000000006"/>
    <n v="105000.00000000003"/>
    <n v="0.4"/>
    <x v="2"/>
  </r>
  <r>
    <x v="2"/>
    <n v="1128299"/>
    <x v="419"/>
    <x v="4"/>
    <s v="Georgia"/>
    <s v="Atlanta"/>
    <x v="2"/>
    <n v="45.000000000000014"/>
    <n v="350"/>
    <n v="157500.00000000006"/>
    <n v="55125.000000000015"/>
    <n v="0.35"/>
    <x v="2"/>
  </r>
  <r>
    <x v="2"/>
    <n v="1128299"/>
    <x v="419"/>
    <x v="4"/>
    <s v="Georgia"/>
    <s v="Atlanta"/>
    <x v="3"/>
    <n v="45.000000000000014"/>
    <n v="325"/>
    <n v="146250.00000000006"/>
    <n v="58500.000000000029"/>
    <n v="0.4"/>
    <x v="2"/>
  </r>
  <r>
    <x v="2"/>
    <n v="1128299"/>
    <x v="419"/>
    <x v="4"/>
    <s v="Georgia"/>
    <s v="Atlanta"/>
    <x v="4"/>
    <n v="55.000000000000007"/>
    <n v="300"/>
    <n v="165000.00000000003"/>
    <n v="57750.000000000007"/>
    <n v="0.35"/>
    <x v="2"/>
  </r>
  <r>
    <x v="2"/>
    <n v="1128299"/>
    <x v="419"/>
    <x v="4"/>
    <s v="Georgia"/>
    <s v="Atlanta"/>
    <x v="5"/>
    <n v="70"/>
    <n v="350"/>
    <n v="245000"/>
    <n v="61250"/>
    <n v="0.25"/>
    <x v="2"/>
  </r>
  <r>
    <x v="2"/>
    <n v="1128299"/>
    <x v="450"/>
    <x v="4"/>
    <s v="Georgia"/>
    <s v="Atlanta"/>
    <x v="0"/>
    <n v="55.000000000000007"/>
    <n v="525"/>
    <n v="288750.00000000006"/>
    <n v="115500.00000000003"/>
    <n v="0.4"/>
    <x v="2"/>
  </r>
  <r>
    <x v="2"/>
    <n v="1128299"/>
    <x v="450"/>
    <x v="4"/>
    <s v="Georgia"/>
    <s v="Atlanta"/>
    <x v="1"/>
    <n v="60.000000000000007"/>
    <n v="575"/>
    <n v="345000.00000000006"/>
    <n v="138000.00000000003"/>
    <n v="0.4"/>
    <x v="2"/>
  </r>
  <r>
    <x v="2"/>
    <n v="1128299"/>
    <x v="450"/>
    <x v="4"/>
    <s v="Georgia"/>
    <s v="Atlanta"/>
    <x v="2"/>
    <n v="55.000000000000007"/>
    <n v="425"/>
    <n v="233750.00000000003"/>
    <n v="81812.5"/>
    <n v="0.35"/>
    <x v="2"/>
  </r>
  <r>
    <x v="2"/>
    <n v="1128299"/>
    <x v="450"/>
    <x v="4"/>
    <s v="Georgia"/>
    <s v="Atlanta"/>
    <x v="3"/>
    <n v="55.000000000000007"/>
    <n v="400"/>
    <n v="220000.00000000003"/>
    <n v="88000.000000000015"/>
    <n v="0.4"/>
    <x v="2"/>
  </r>
  <r>
    <x v="2"/>
    <n v="1128299"/>
    <x v="450"/>
    <x v="4"/>
    <s v="Georgia"/>
    <s v="Atlanta"/>
    <x v="4"/>
    <n v="65"/>
    <n v="350"/>
    <n v="227500"/>
    <n v="79625"/>
    <n v="0.35"/>
    <x v="2"/>
  </r>
  <r>
    <x v="2"/>
    <n v="1128299"/>
    <x v="450"/>
    <x v="4"/>
    <s v="Georgia"/>
    <s v="Atlanta"/>
    <x v="5"/>
    <n v="70"/>
    <n v="475"/>
    <n v="332500"/>
    <n v="83125"/>
    <n v="0.25"/>
    <x v="2"/>
  </r>
  <r>
    <x v="2"/>
    <n v="1128299"/>
    <x v="479"/>
    <x v="4"/>
    <s v="Georgia"/>
    <s v="Atlanta"/>
    <x v="0"/>
    <n v="55.000000000000007"/>
    <n v="675"/>
    <n v="371250.00000000006"/>
    <n v="148500.00000000003"/>
    <n v="0.4"/>
    <x v="2"/>
  </r>
  <r>
    <x v="2"/>
    <n v="1128299"/>
    <x v="479"/>
    <x v="4"/>
    <s v="Georgia"/>
    <s v="Atlanta"/>
    <x v="1"/>
    <n v="60.000000000000007"/>
    <n v="675"/>
    <n v="405000.00000000006"/>
    <n v="162000.00000000003"/>
    <n v="0.4"/>
    <x v="2"/>
  </r>
  <r>
    <x v="0"/>
    <n v="1128299"/>
    <x v="479"/>
    <x v="4"/>
    <s v="Georgia"/>
    <s v="Atlanta"/>
    <x v="2"/>
    <n v="55.000000000000007"/>
    <n v="475"/>
    <n v="261250.00000000003"/>
    <n v="91437.5"/>
    <n v="0.35"/>
    <x v="2"/>
  </r>
  <r>
    <x v="0"/>
    <n v="1128299"/>
    <x v="479"/>
    <x v="4"/>
    <s v="Georgia"/>
    <s v="Atlanta"/>
    <x v="3"/>
    <n v="55.000000000000007"/>
    <n v="475"/>
    <n v="261250.00000000003"/>
    <n v="104500.00000000001"/>
    <n v="0.4"/>
    <x v="2"/>
  </r>
  <r>
    <x v="0"/>
    <n v="1128299"/>
    <x v="479"/>
    <x v="4"/>
    <s v="Georgia"/>
    <s v="Atlanta"/>
    <x v="4"/>
    <n v="65"/>
    <n v="400"/>
    <n v="260000"/>
    <n v="91000"/>
    <n v="0.35"/>
    <x v="2"/>
  </r>
  <r>
    <x v="0"/>
    <n v="1128299"/>
    <x v="479"/>
    <x v="4"/>
    <s v="Georgia"/>
    <s v="Atlanta"/>
    <x v="5"/>
    <n v="70"/>
    <n v="500"/>
    <n v="350000"/>
    <n v="87500"/>
    <n v="0.25"/>
    <x v="2"/>
  </r>
  <r>
    <x v="0"/>
    <n v="1185732"/>
    <x v="173"/>
    <x v="4"/>
    <s v="Georgia"/>
    <s v="Atlanta"/>
    <x v="0"/>
    <n v="40"/>
    <n v="1025"/>
    <n v="410000"/>
    <n v="184500"/>
    <n v="0.45"/>
    <x v="2"/>
  </r>
  <r>
    <x v="0"/>
    <n v="1185732"/>
    <x v="173"/>
    <x v="4"/>
    <s v="Georgia"/>
    <s v="Atlanta"/>
    <x v="1"/>
    <n v="40"/>
    <n v="825"/>
    <n v="330000"/>
    <n v="115499.99999999999"/>
    <n v="0.35"/>
    <x v="2"/>
  </r>
  <r>
    <x v="0"/>
    <n v="1185732"/>
    <x v="173"/>
    <x v="4"/>
    <s v="Georgia"/>
    <s v="Atlanta"/>
    <x v="2"/>
    <n v="30.000000000000004"/>
    <n v="825"/>
    <n v="247500.00000000003"/>
    <n v="61875.000000000007"/>
    <n v="0.25"/>
    <x v="2"/>
  </r>
  <r>
    <x v="0"/>
    <n v="1185732"/>
    <x v="173"/>
    <x v="4"/>
    <s v="Georgia"/>
    <s v="Atlanta"/>
    <x v="3"/>
    <n v="35"/>
    <n v="675"/>
    <n v="236250"/>
    <n v="70875"/>
    <n v="0.3"/>
    <x v="2"/>
  </r>
  <r>
    <x v="0"/>
    <n v="1185732"/>
    <x v="173"/>
    <x v="4"/>
    <s v="Georgia"/>
    <s v="Atlanta"/>
    <x v="4"/>
    <n v="50"/>
    <n v="725"/>
    <n v="362500"/>
    <n v="126874.99999999999"/>
    <n v="0.35"/>
    <x v="2"/>
  </r>
  <r>
    <x v="0"/>
    <n v="1185732"/>
    <x v="173"/>
    <x v="4"/>
    <s v="Georgia"/>
    <s v="Atlanta"/>
    <x v="5"/>
    <n v="40"/>
    <n v="825"/>
    <n v="330000"/>
    <n v="165000"/>
    <n v="0.5"/>
    <x v="2"/>
  </r>
  <r>
    <x v="0"/>
    <n v="1185732"/>
    <x v="202"/>
    <x v="4"/>
    <s v="Georgia"/>
    <s v="Atlanta"/>
    <x v="0"/>
    <n v="40"/>
    <n v="1075"/>
    <n v="430000"/>
    <n v="193500"/>
    <n v="0.45"/>
    <x v="2"/>
  </r>
  <r>
    <x v="0"/>
    <n v="1185732"/>
    <x v="202"/>
    <x v="4"/>
    <s v="Georgia"/>
    <s v="Atlanta"/>
    <x v="1"/>
    <n v="40"/>
    <n v="725"/>
    <n v="290000"/>
    <n v="101500"/>
    <n v="0.35"/>
    <x v="2"/>
  </r>
  <r>
    <x v="0"/>
    <n v="1185732"/>
    <x v="202"/>
    <x v="4"/>
    <s v="Georgia"/>
    <s v="Atlanta"/>
    <x v="2"/>
    <n v="30.000000000000004"/>
    <n v="775"/>
    <n v="232500.00000000003"/>
    <n v="58125.000000000007"/>
    <n v="0.25"/>
    <x v="2"/>
  </r>
  <r>
    <x v="0"/>
    <n v="1185732"/>
    <x v="202"/>
    <x v="4"/>
    <s v="South Carolina"/>
    <s v="Charleston"/>
    <x v="3"/>
    <n v="35"/>
    <n v="625"/>
    <n v="218750"/>
    <n v="65625"/>
    <n v="0.3"/>
    <x v="2"/>
  </r>
  <r>
    <x v="0"/>
    <n v="1185732"/>
    <x v="202"/>
    <x v="4"/>
    <s v="South Carolina"/>
    <s v="Charleston"/>
    <x v="4"/>
    <n v="50"/>
    <n v="700"/>
    <n v="350000"/>
    <n v="122499.99999999999"/>
    <n v="0.35"/>
    <x v="2"/>
  </r>
  <r>
    <x v="0"/>
    <n v="1185732"/>
    <x v="202"/>
    <x v="4"/>
    <s v="South Carolina"/>
    <s v="Charleston"/>
    <x v="5"/>
    <n v="35"/>
    <n v="800"/>
    <n v="280000"/>
    <n v="140000"/>
    <n v="0.5"/>
    <x v="2"/>
  </r>
  <r>
    <x v="0"/>
    <n v="1185732"/>
    <x v="707"/>
    <x v="4"/>
    <s v="South Carolina"/>
    <s v="Charleston"/>
    <x v="0"/>
    <n v="35"/>
    <n v="1020"/>
    <n v="357000"/>
    <n v="160650"/>
    <n v="0.45"/>
    <x v="2"/>
  </r>
  <r>
    <x v="0"/>
    <n v="1185732"/>
    <x v="707"/>
    <x v="4"/>
    <s v="South Carolina"/>
    <s v="Charleston"/>
    <x v="1"/>
    <n v="35"/>
    <n v="700"/>
    <n v="245000"/>
    <n v="85750"/>
    <n v="0.35"/>
    <x v="2"/>
  </r>
  <r>
    <x v="0"/>
    <n v="1185732"/>
    <x v="707"/>
    <x v="4"/>
    <s v="South Carolina"/>
    <s v="Charleston"/>
    <x v="2"/>
    <n v="25"/>
    <n v="725"/>
    <n v="181250"/>
    <n v="45312.5"/>
    <n v="0.25"/>
    <x v="2"/>
  </r>
  <r>
    <x v="0"/>
    <n v="1185732"/>
    <x v="707"/>
    <x v="4"/>
    <s v="South Carolina"/>
    <s v="Charleston"/>
    <x v="3"/>
    <n v="29.999999999999993"/>
    <n v="575"/>
    <n v="172499.99999999997"/>
    <n v="51749.999999999993"/>
    <n v="0.3"/>
    <x v="2"/>
  </r>
  <r>
    <x v="0"/>
    <n v="1185732"/>
    <x v="707"/>
    <x v="4"/>
    <s v="South Carolina"/>
    <s v="Charleston"/>
    <x v="4"/>
    <n v="45.000000000000007"/>
    <n v="625"/>
    <n v="281250.00000000006"/>
    <n v="98437.500000000015"/>
    <n v="0.35"/>
    <x v="2"/>
  </r>
  <r>
    <x v="0"/>
    <n v="1185732"/>
    <x v="707"/>
    <x v="4"/>
    <s v="South Carolina"/>
    <s v="Charleston"/>
    <x v="5"/>
    <n v="35"/>
    <n v="725"/>
    <n v="253750"/>
    <n v="126875"/>
    <n v="0.5"/>
    <x v="2"/>
  </r>
  <r>
    <x v="0"/>
    <n v="1185732"/>
    <x v="229"/>
    <x v="4"/>
    <s v="South Carolina"/>
    <s v="Charleston"/>
    <x v="0"/>
    <n v="35"/>
    <n v="975"/>
    <n v="341250"/>
    <n v="153562.5"/>
    <n v="0.45"/>
    <x v="2"/>
  </r>
  <r>
    <x v="0"/>
    <n v="1185732"/>
    <x v="229"/>
    <x v="4"/>
    <s v="South Carolina"/>
    <s v="Charleston"/>
    <x v="1"/>
    <n v="35"/>
    <n v="675"/>
    <n v="236250"/>
    <n v="82687.5"/>
    <n v="0.35"/>
    <x v="2"/>
  </r>
  <r>
    <x v="0"/>
    <n v="1185732"/>
    <x v="229"/>
    <x v="4"/>
    <s v="South Carolina"/>
    <s v="Charleston"/>
    <x v="2"/>
    <n v="25"/>
    <n v="675"/>
    <n v="168750"/>
    <n v="42187.5"/>
    <n v="0.25"/>
    <x v="2"/>
  </r>
  <r>
    <x v="0"/>
    <n v="1185732"/>
    <x v="229"/>
    <x v="4"/>
    <s v="South Carolina"/>
    <s v="Charleston"/>
    <x v="3"/>
    <n v="29.999999999999993"/>
    <n v="600"/>
    <n v="179999.99999999997"/>
    <n v="53999.999999999993"/>
    <n v="0.3"/>
    <x v="2"/>
  </r>
  <r>
    <x v="0"/>
    <n v="1185732"/>
    <x v="229"/>
    <x v="4"/>
    <s v="South Carolina"/>
    <s v="Charleston"/>
    <x v="4"/>
    <n v="50"/>
    <n v="625"/>
    <n v="312500"/>
    <n v="109375"/>
    <n v="0.35"/>
    <x v="2"/>
  </r>
  <r>
    <x v="0"/>
    <n v="1185732"/>
    <x v="229"/>
    <x v="4"/>
    <s v="South Carolina"/>
    <s v="Charleston"/>
    <x v="5"/>
    <n v="40"/>
    <n v="775"/>
    <n v="310000"/>
    <n v="155000"/>
    <n v="0.5"/>
    <x v="2"/>
  </r>
  <r>
    <x v="0"/>
    <n v="1185732"/>
    <x v="258"/>
    <x v="4"/>
    <s v="South Carolina"/>
    <s v="Charleston"/>
    <x v="0"/>
    <n v="50"/>
    <n v="1045"/>
    <n v="522500"/>
    <n v="235125"/>
    <n v="0.45"/>
    <x v="2"/>
  </r>
  <r>
    <x v="0"/>
    <n v="1185732"/>
    <x v="258"/>
    <x v="4"/>
    <s v="South Carolina"/>
    <s v="Charleston"/>
    <x v="1"/>
    <n v="50"/>
    <n v="750"/>
    <n v="375000"/>
    <n v="131250"/>
    <n v="0.35"/>
    <x v="2"/>
  </r>
  <r>
    <x v="0"/>
    <n v="1185732"/>
    <x v="258"/>
    <x v="4"/>
    <s v="South Carolina"/>
    <s v="Charleston"/>
    <x v="2"/>
    <n v="45"/>
    <n v="725"/>
    <n v="326250"/>
    <n v="81562.5"/>
    <n v="0.25"/>
    <x v="2"/>
  </r>
  <r>
    <x v="0"/>
    <n v="1185732"/>
    <x v="258"/>
    <x v="4"/>
    <s v="South Carolina"/>
    <s v="Charleston"/>
    <x v="3"/>
    <n v="45"/>
    <n v="675"/>
    <n v="303750"/>
    <n v="91125"/>
    <n v="0.3"/>
    <x v="2"/>
  </r>
  <r>
    <x v="0"/>
    <n v="1185732"/>
    <x v="258"/>
    <x v="4"/>
    <s v="South Carolina"/>
    <s v="Charleston"/>
    <x v="4"/>
    <n v="54.999999999999993"/>
    <n v="700"/>
    <n v="384999.99999999994"/>
    <n v="134749.99999999997"/>
    <n v="0.35"/>
    <x v="2"/>
  </r>
  <r>
    <x v="0"/>
    <n v="1185732"/>
    <x v="258"/>
    <x v="4"/>
    <s v="South Carolina"/>
    <s v="Charleston"/>
    <x v="5"/>
    <n v="60"/>
    <n v="800"/>
    <n v="480000"/>
    <n v="240000"/>
    <n v="0.5"/>
    <x v="2"/>
  </r>
  <r>
    <x v="0"/>
    <n v="1185732"/>
    <x v="291"/>
    <x v="4"/>
    <s v="South Carolina"/>
    <s v="Charleston"/>
    <x v="0"/>
    <n v="54.999999999999993"/>
    <n v="1050"/>
    <n v="577499.99999999988"/>
    <n v="259874.99999999994"/>
    <n v="0.45"/>
    <x v="2"/>
  </r>
  <r>
    <x v="0"/>
    <n v="1185732"/>
    <x v="291"/>
    <x v="4"/>
    <s v="South Carolina"/>
    <s v="Charleston"/>
    <x v="1"/>
    <n v="50"/>
    <n v="800"/>
    <n v="400000"/>
    <n v="140000"/>
    <n v="0.35"/>
    <x v="2"/>
  </r>
  <r>
    <x v="0"/>
    <n v="1185732"/>
    <x v="291"/>
    <x v="4"/>
    <s v="South Carolina"/>
    <s v="Charleston"/>
    <x v="2"/>
    <n v="50"/>
    <n v="775"/>
    <n v="387500"/>
    <n v="96875"/>
    <n v="0.25"/>
    <x v="2"/>
  </r>
  <r>
    <x v="0"/>
    <n v="1185732"/>
    <x v="291"/>
    <x v="4"/>
    <s v="South Carolina"/>
    <s v="Charleston"/>
    <x v="3"/>
    <n v="50"/>
    <n v="750"/>
    <n v="375000"/>
    <n v="112500"/>
    <n v="0.3"/>
    <x v="2"/>
  </r>
  <r>
    <x v="0"/>
    <n v="1185732"/>
    <x v="291"/>
    <x v="4"/>
    <s v="South Carolina"/>
    <s v="Charleston"/>
    <x v="4"/>
    <n v="65"/>
    <n v="750"/>
    <n v="487500"/>
    <n v="170625"/>
    <n v="0.35"/>
    <x v="2"/>
  </r>
  <r>
    <x v="0"/>
    <n v="1185732"/>
    <x v="291"/>
    <x v="4"/>
    <s v="South Carolina"/>
    <s v="Charleston"/>
    <x v="5"/>
    <n v="70"/>
    <n v="925"/>
    <n v="647500"/>
    <n v="323750"/>
    <n v="0.5"/>
    <x v="2"/>
  </r>
  <r>
    <x v="0"/>
    <n v="1185732"/>
    <x v="319"/>
    <x v="4"/>
    <s v="South Carolina"/>
    <s v="Charleston"/>
    <x v="0"/>
    <n v="65"/>
    <n v="1150"/>
    <n v="747500"/>
    <n v="336375"/>
    <n v="0.45"/>
    <x v="2"/>
  </r>
  <r>
    <x v="0"/>
    <n v="1185732"/>
    <x v="319"/>
    <x v="4"/>
    <s v="South Carolina"/>
    <s v="Charleston"/>
    <x v="1"/>
    <n v="60.000000000000007"/>
    <n v="900"/>
    <n v="540000.00000000012"/>
    <n v="189000.00000000003"/>
    <n v="0.35"/>
    <x v="2"/>
  </r>
  <r>
    <x v="0"/>
    <n v="1185732"/>
    <x v="319"/>
    <x v="4"/>
    <s v="South Carolina"/>
    <s v="Charleston"/>
    <x v="2"/>
    <n v="55.000000000000007"/>
    <n v="825"/>
    <n v="453750.00000000006"/>
    <n v="113437.50000000001"/>
    <n v="0.25"/>
    <x v="2"/>
  </r>
  <r>
    <x v="0"/>
    <n v="1185732"/>
    <x v="319"/>
    <x v="4"/>
    <s v="South Carolina"/>
    <s v="Charleston"/>
    <x v="3"/>
    <n v="55.000000000000007"/>
    <n v="775"/>
    <n v="426250.00000000006"/>
    <n v="127875.00000000001"/>
    <n v="0.3"/>
    <x v="2"/>
  </r>
  <r>
    <x v="0"/>
    <n v="1185732"/>
    <x v="319"/>
    <x v="4"/>
    <s v="South Carolina"/>
    <s v="Charleston"/>
    <x v="4"/>
    <n v="65"/>
    <n v="800"/>
    <n v="520000"/>
    <n v="182000"/>
    <n v="0.35"/>
    <x v="2"/>
  </r>
  <r>
    <x v="0"/>
    <n v="1185732"/>
    <x v="319"/>
    <x v="4"/>
    <s v="South Carolina"/>
    <s v="Charleston"/>
    <x v="5"/>
    <n v="70"/>
    <n v="975"/>
    <n v="682500"/>
    <n v="341250"/>
    <n v="0.5"/>
    <x v="2"/>
  </r>
  <r>
    <x v="0"/>
    <n v="1185732"/>
    <x v="351"/>
    <x v="4"/>
    <s v="South Carolina"/>
    <s v="Charleston"/>
    <x v="0"/>
    <n v="65"/>
    <n v="1125"/>
    <n v="731250"/>
    <n v="329062.5"/>
    <n v="0.45"/>
    <x v="2"/>
  </r>
  <r>
    <x v="0"/>
    <n v="1185732"/>
    <x v="351"/>
    <x v="4"/>
    <s v="South Carolina"/>
    <s v="Charleston"/>
    <x v="1"/>
    <n v="60.000000000000007"/>
    <n v="900"/>
    <n v="540000.00000000012"/>
    <n v="189000.00000000003"/>
    <n v="0.35"/>
    <x v="2"/>
  </r>
  <r>
    <x v="0"/>
    <n v="1185732"/>
    <x v="351"/>
    <x v="4"/>
    <s v="South Carolina"/>
    <s v="Charleston"/>
    <x v="2"/>
    <n v="55.000000000000007"/>
    <n v="825"/>
    <n v="453750.00000000006"/>
    <n v="113437.50000000001"/>
    <n v="0.25"/>
    <x v="2"/>
  </r>
  <r>
    <x v="0"/>
    <n v="1185732"/>
    <x v="351"/>
    <x v="4"/>
    <s v="South Carolina"/>
    <s v="Charleston"/>
    <x v="3"/>
    <n v="45"/>
    <n v="775"/>
    <n v="348750"/>
    <n v="104625"/>
    <n v="0.3"/>
    <x v="2"/>
  </r>
  <r>
    <x v="0"/>
    <n v="1185732"/>
    <x v="351"/>
    <x v="4"/>
    <s v="South Carolina"/>
    <s v="Charleston"/>
    <x v="4"/>
    <n v="55.000000000000007"/>
    <n v="750"/>
    <n v="412500.00000000006"/>
    <n v="144375"/>
    <n v="0.35"/>
    <x v="2"/>
  </r>
  <r>
    <x v="0"/>
    <n v="1185732"/>
    <x v="351"/>
    <x v="4"/>
    <s v="South Carolina"/>
    <s v="Charleston"/>
    <x v="5"/>
    <n v="60.000000000000007"/>
    <n v="925"/>
    <n v="555000.00000000012"/>
    <n v="277500.00000000006"/>
    <n v="0.5"/>
    <x v="2"/>
  </r>
  <r>
    <x v="0"/>
    <n v="1185732"/>
    <x v="381"/>
    <x v="4"/>
    <s v="South Carolina"/>
    <s v="Charleston"/>
    <x v="0"/>
    <n v="55.000000000000007"/>
    <n v="1025"/>
    <n v="563750.00000000012"/>
    <n v="253687.50000000006"/>
    <n v="0.45"/>
    <x v="2"/>
  </r>
  <r>
    <x v="0"/>
    <n v="1185732"/>
    <x v="381"/>
    <x v="4"/>
    <s v="South Carolina"/>
    <s v="Charleston"/>
    <x v="1"/>
    <n v="50.000000000000014"/>
    <n v="825"/>
    <n v="412500.00000000012"/>
    <n v="144375.00000000003"/>
    <n v="0.35"/>
    <x v="2"/>
  </r>
  <r>
    <x v="0"/>
    <n v="1185732"/>
    <x v="381"/>
    <x v="4"/>
    <s v="South Carolina"/>
    <s v="Charleston"/>
    <x v="2"/>
    <n v="40"/>
    <n v="725"/>
    <n v="290000"/>
    <n v="72500"/>
    <n v="0.25"/>
    <x v="2"/>
  </r>
  <r>
    <x v="0"/>
    <n v="1185732"/>
    <x v="381"/>
    <x v="4"/>
    <s v="South Carolina"/>
    <s v="Charleston"/>
    <x v="3"/>
    <n v="40"/>
    <n v="700"/>
    <n v="280000"/>
    <n v="84000"/>
    <n v="0.3"/>
    <x v="2"/>
  </r>
  <r>
    <x v="0"/>
    <n v="1185732"/>
    <x v="381"/>
    <x v="4"/>
    <s v="South Carolina"/>
    <s v="Charleston"/>
    <x v="4"/>
    <n v="50"/>
    <n v="700"/>
    <n v="350000"/>
    <n v="122499.99999999999"/>
    <n v="0.35"/>
    <x v="2"/>
  </r>
  <r>
    <x v="0"/>
    <n v="1185732"/>
    <x v="381"/>
    <x v="4"/>
    <s v="South Carolina"/>
    <s v="Charleston"/>
    <x v="5"/>
    <n v="55.000000000000007"/>
    <n v="800"/>
    <n v="440000.00000000006"/>
    <n v="220000.00000000003"/>
    <n v="0.5"/>
    <x v="2"/>
  </r>
  <r>
    <x v="0"/>
    <n v="1185732"/>
    <x v="413"/>
    <x v="4"/>
    <s v="South Carolina"/>
    <s v="Charleston"/>
    <x v="0"/>
    <n v="55.000000000000007"/>
    <n v="975"/>
    <n v="536250.00000000012"/>
    <n v="241312.50000000006"/>
    <n v="0.45"/>
    <x v="2"/>
  </r>
  <r>
    <x v="0"/>
    <n v="1185732"/>
    <x v="413"/>
    <x v="4"/>
    <s v="South Carolina"/>
    <s v="Charleston"/>
    <x v="1"/>
    <n v="45.000000000000014"/>
    <n v="800"/>
    <n v="360000.00000000012"/>
    <n v="126000.00000000003"/>
    <n v="0.35"/>
    <x v="2"/>
  </r>
  <r>
    <x v="0"/>
    <n v="1185732"/>
    <x v="413"/>
    <x v="4"/>
    <s v="South Carolina"/>
    <s v="Charleston"/>
    <x v="2"/>
    <n v="45.000000000000014"/>
    <n v="675"/>
    <n v="303750.00000000012"/>
    <n v="75937.500000000029"/>
    <n v="0.25"/>
    <x v="2"/>
  </r>
  <r>
    <x v="0"/>
    <n v="1185732"/>
    <x v="413"/>
    <x v="4"/>
    <s v="South Carolina"/>
    <s v="Charleston"/>
    <x v="3"/>
    <n v="45.000000000000014"/>
    <n v="650"/>
    <n v="292500.00000000012"/>
    <n v="87750.000000000029"/>
    <n v="0.3"/>
    <x v="2"/>
  </r>
  <r>
    <x v="0"/>
    <n v="1185732"/>
    <x v="413"/>
    <x v="4"/>
    <s v="South Carolina"/>
    <s v="Charleston"/>
    <x v="4"/>
    <n v="55.000000000000007"/>
    <n v="650"/>
    <n v="357500.00000000006"/>
    <n v="125125.00000000001"/>
    <n v="0.35"/>
    <x v="2"/>
  </r>
  <r>
    <x v="0"/>
    <n v="1185732"/>
    <x v="413"/>
    <x v="4"/>
    <s v="South Carolina"/>
    <s v="Charleston"/>
    <x v="5"/>
    <n v="60"/>
    <n v="775"/>
    <n v="465000"/>
    <n v="232500"/>
    <n v="0.5"/>
    <x v="2"/>
  </r>
  <r>
    <x v="0"/>
    <n v="1185732"/>
    <x v="443"/>
    <x v="4"/>
    <s v="South Carolina"/>
    <s v="Charleston"/>
    <x v="0"/>
    <n v="55.000000000000007"/>
    <n v="925"/>
    <n v="508750.00000000006"/>
    <n v="228937.50000000003"/>
    <n v="0.45"/>
    <x v="2"/>
  </r>
  <r>
    <x v="0"/>
    <n v="1185732"/>
    <x v="443"/>
    <x v="4"/>
    <s v="South Carolina"/>
    <s v="Charleston"/>
    <x v="1"/>
    <n v="45.000000000000014"/>
    <n v="750"/>
    <n v="337500.00000000012"/>
    <n v="118125.00000000003"/>
    <n v="0.35"/>
    <x v="2"/>
  </r>
  <r>
    <x v="0"/>
    <n v="1185732"/>
    <x v="443"/>
    <x v="4"/>
    <s v="South Carolina"/>
    <s v="Charleston"/>
    <x v="2"/>
    <n v="45.000000000000014"/>
    <n v="695"/>
    <n v="312750.00000000012"/>
    <n v="78187.500000000029"/>
    <n v="0.25"/>
    <x v="2"/>
  </r>
  <r>
    <x v="0"/>
    <n v="1185732"/>
    <x v="443"/>
    <x v="4"/>
    <s v="South Carolina"/>
    <s v="Charleston"/>
    <x v="3"/>
    <n v="55.000000000000014"/>
    <n v="750"/>
    <n v="412500.00000000012"/>
    <n v="123750.00000000003"/>
    <n v="0.3"/>
    <x v="2"/>
  </r>
  <r>
    <x v="0"/>
    <n v="1185732"/>
    <x v="443"/>
    <x v="4"/>
    <s v="South Carolina"/>
    <s v="Charleston"/>
    <x v="4"/>
    <n v="70"/>
    <n v="725"/>
    <n v="507500"/>
    <n v="177625"/>
    <n v="0.35"/>
    <x v="2"/>
  </r>
  <r>
    <x v="0"/>
    <n v="1185732"/>
    <x v="443"/>
    <x v="4"/>
    <s v="South Carolina"/>
    <s v="Charleston"/>
    <x v="5"/>
    <n v="75"/>
    <n v="825"/>
    <n v="618750"/>
    <n v="309375"/>
    <n v="0.5"/>
    <x v="2"/>
  </r>
  <r>
    <x v="0"/>
    <n v="1185732"/>
    <x v="472"/>
    <x v="4"/>
    <s v="South Carolina"/>
    <s v="Charleston"/>
    <x v="0"/>
    <n v="70"/>
    <n v="1075"/>
    <n v="752500"/>
    <n v="338625"/>
    <n v="0.45"/>
    <x v="2"/>
  </r>
  <r>
    <x v="0"/>
    <n v="1185732"/>
    <x v="472"/>
    <x v="4"/>
    <s v="South Carolina"/>
    <s v="Charleston"/>
    <x v="1"/>
    <n v="60.000000000000007"/>
    <n v="875"/>
    <n v="525000.00000000012"/>
    <n v="183750.00000000003"/>
    <n v="0.35"/>
    <x v="2"/>
  </r>
  <r>
    <x v="2"/>
    <n v="1185732"/>
    <x v="472"/>
    <x v="4"/>
    <s v="South Carolina"/>
    <s v="Charleston"/>
    <x v="2"/>
    <n v="60.000000000000007"/>
    <n v="825"/>
    <n v="495000.00000000006"/>
    <n v="123750.00000000001"/>
    <n v="0.25"/>
    <x v="2"/>
  </r>
  <r>
    <x v="2"/>
    <n v="1185732"/>
    <x v="472"/>
    <x v="4"/>
    <s v="South Carolina"/>
    <s v="Charleston"/>
    <x v="3"/>
    <n v="60.000000000000007"/>
    <n v="775"/>
    <n v="465000.00000000006"/>
    <n v="139500"/>
    <n v="0.3"/>
    <x v="2"/>
  </r>
  <r>
    <x v="2"/>
    <n v="1185732"/>
    <x v="472"/>
    <x v="4"/>
    <s v="South Carolina"/>
    <s v="Charleston"/>
    <x v="4"/>
    <n v="70"/>
    <n v="775"/>
    <n v="542500"/>
    <n v="189875"/>
    <n v="0.35"/>
    <x v="2"/>
  </r>
  <r>
    <x v="2"/>
    <n v="1185732"/>
    <x v="472"/>
    <x v="4"/>
    <s v="South Carolina"/>
    <s v="Charleston"/>
    <x v="5"/>
    <n v="75"/>
    <n v="875"/>
    <n v="656250"/>
    <n v="328125"/>
    <n v="0.5"/>
    <x v="2"/>
  </r>
  <r>
    <x v="2"/>
    <n v="1185732"/>
    <x v="170"/>
    <x v="4"/>
    <s v="South Carolina"/>
    <s v="Charleston"/>
    <x v="0"/>
    <n v="35"/>
    <n v="925"/>
    <n v="323750"/>
    <n v="129500"/>
    <n v="0.4"/>
    <x v="2"/>
  </r>
  <r>
    <x v="2"/>
    <n v="1185732"/>
    <x v="170"/>
    <x v="4"/>
    <s v="South Carolina"/>
    <s v="Charleston"/>
    <x v="1"/>
    <n v="35"/>
    <n v="725"/>
    <n v="253750"/>
    <n v="88812.5"/>
    <n v="0.35"/>
    <x v="2"/>
  </r>
  <r>
    <x v="2"/>
    <n v="1185732"/>
    <x v="170"/>
    <x v="4"/>
    <s v="South Carolina"/>
    <s v="Charleston"/>
    <x v="2"/>
    <n v="25.000000000000007"/>
    <n v="725"/>
    <n v="181250.00000000006"/>
    <n v="72500.000000000029"/>
    <n v="0.4"/>
    <x v="2"/>
  </r>
  <r>
    <x v="2"/>
    <n v="1185732"/>
    <x v="170"/>
    <x v="4"/>
    <s v="South Carolina"/>
    <s v="Charleston"/>
    <x v="3"/>
    <n v="30"/>
    <n v="575"/>
    <n v="172500"/>
    <n v="69000"/>
    <n v="0.4"/>
    <x v="2"/>
  </r>
  <r>
    <x v="2"/>
    <n v="1185732"/>
    <x v="170"/>
    <x v="4"/>
    <s v="South Carolina"/>
    <s v="Charleston"/>
    <x v="4"/>
    <n v="45"/>
    <n v="625"/>
    <n v="281250"/>
    <n v="98437.5"/>
    <n v="0.35"/>
    <x v="2"/>
  </r>
  <r>
    <x v="2"/>
    <n v="1185732"/>
    <x v="170"/>
    <x v="4"/>
    <s v="South Carolina"/>
    <s v="Charleston"/>
    <x v="5"/>
    <n v="35"/>
    <n v="725"/>
    <n v="253750"/>
    <n v="126875"/>
    <n v="0.5"/>
    <x v="2"/>
  </r>
  <r>
    <x v="2"/>
    <n v="1185732"/>
    <x v="199"/>
    <x v="4"/>
    <s v="South Carolina"/>
    <s v="Charleston"/>
    <x v="0"/>
    <n v="35"/>
    <n v="975"/>
    <n v="341250"/>
    <n v="136500"/>
    <n v="0.4"/>
    <x v="2"/>
  </r>
  <r>
    <x v="2"/>
    <n v="1185732"/>
    <x v="199"/>
    <x v="4"/>
    <s v="South Carolina"/>
    <s v="Charleston"/>
    <x v="1"/>
    <n v="35"/>
    <n v="625"/>
    <n v="218750"/>
    <n v="76562.5"/>
    <n v="0.35"/>
    <x v="2"/>
  </r>
  <r>
    <x v="2"/>
    <n v="1185732"/>
    <x v="199"/>
    <x v="4"/>
    <s v="South Carolina"/>
    <s v="Charleston"/>
    <x v="2"/>
    <n v="25.000000000000007"/>
    <n v="675"/>
    <n v="168750.00000000006"/>
    <n v="67500.000000000029"/>
    <n v="0.4"/>
    <x v="2"/>
  </r>
  <r>
    <x v="2"/>
    <n v="1185732"/>
    <x v="199"/>
    <x v="4"/>
    <s v="North Carolina"/>
    <s v="Charlotte"/>
    <x v="3"/>
    <n v="30"/>
    <n v="525"/>
    <n v="157500"/>
    <n v="63000"/>
    <n v="0.4"/>
    <x v="2"/>
  </r>
  <r>
    <x v="2"/>
    <n v="1185732"/>
    <x v="199"/>
    <x v="4"/>
    <s v="North Carolina"/>
    <s v="Charlotte"/>
    <x v="4"/>
    <n v="45"/>
    <n v="600"/>
    <n v="270000"/>
    <n v="94500"/>
    <n v="0.35"/>
    <x v="2"/>
  </r>
  <r>
    <x v="2"/>
    <n v="1185732"/>
    <x v="199"/>
    <x v="4"/>
    <s v="North Carolina"/>
    <s v="Charlotte"/>
    <x v="5"/>
    <n v="30"/>
    <n v="700"/>
    <n v="210000"/>
    <n v="105000"/>
    <n v="0.5"/>
    <x v="2"/>
  </r>
  <r>
    <x v="2"/>
    <n v="1185732"/>
    <x v="704"/>
    <x v="4"/>
    <s v="North Carolina"/>
    <s v="Charlotte"/>
    <x v="0"/>
    <n v="30"/>
    <n v="920"/>
    <n v="276000"/>
    <n v="110400"/>
    <n v="0.4"/>
    <x v="2"/>
  </r>
  <r>
    <x v="2"/>
    <n v="1185732"/>
    <x v="704"/>
    <x v="4"/>
    <s v="North Carolina"/>
    <s v="Charlotte"/>
    <x v="1"/>
    <n v="30"/>
    <n v="600"/>
    <n v="180000"/>
    <n v="62999.999999999993"/>
    <n v="0.35"/>
    <x v="2"/>
  </r>
  <r>
    <x v="2"/>
    <n v="1185732"/>
    <x v="704"/>
    <x v="4"/>
    <s v="North Carolina"/>
    <s v="Charlotte"/>
    <x v="2"/>
    <n v="20"/>
    <n v="625"/>
    <n v="125000"/>
    <n v="50000"/>
    <n v="0.4"/>
    <x v="2"/>
  </r>
  <r>
    <x v="2"/>
    <n v="1185732"/>
    <x v="704"/>
    <x v="4"/>
    <s v="North Carolina"/>
    <s v="Charlotte"/>
    <x v="3"/>
    <n v="24.999999999999993"/>
    <n v="475"/>
    <n v="118749.99999999997"/>
    <n v="47499.999999999993"/>
    <n v="0.4"/>
    <x v="2"/>
  </r>
  <r>
    <x v="2"/>
    <n v="1185732"/>
    <x v="704"/>
    <x v="4"/>
    <s v="North Carolina"/>
    <s v="Charlotte"/>
    <x v="4"/>
    <n v="40.000000000000007"/>
    <n v="525"/>
    <n v="210000.00000000003"/>
    <n v="73500"/>
    <n v="0.35"/>
    <x v="2"/>
  </r>
  <r>
    <x v="2"/>
    <n v="1185732"/>
    <x v="704"/>
    <x v="4"/>
    <s v="North Carolina"/>
    <s v="Charlotte"/>
    <x v="5"/>
    <n v="30"/>
    <n v="625"/>
    <n v="187500"/>
    <n v="93750"/>
    <n v="0.5"/>
    <x v="2"/>
  </r>
  <r>
    <x v="2"/>
    <n v="1185732"/>
    <x v="721"/>
    <x v="4"/>
    <s v="North Carolina"/>
    <s v="Charlotte"/>
    <x v="0"/>
    <n v="30"/>
    <n v="875"/>
    <n v="262500"/>
    <n v="105000"/>
    <n v="0.4"/>
    <x v="2"/>
  </r>
  <r>
    <x v="2"/>
    <n v="1185732"/>
    <x v="721"/>
    <x v="4"/>
    <s v="North Carolina"/>
    <s v="Charlotte"/>
    <x v="1"/>
    <n v="30"/>
    <n v="575"/>
    <n v="172500"/>
    <n v="60374.999999999993"/>
    <n v="0.35"/>
    <x v="2"/>
  </r>
  <r>
    <x v="2"/>
    <n v="1185732"/>
    <x v="721"/>
    <x v="4"/>
    <s v="North Carolina"/>
    <s v="Charlotte"/>
    <x v="2"/>
    <n v="20"/>
    <n v="575"/>
    <n v="115000"/>
    <n v="46000"/>
    <n v="0.4"/>
    <x v="2"/>
  </r>
  <r>
    <x v="2"/>
    <n v="1185732"/>
    <x v="721"/>
    <x v="4"/>
    <s v="North Carolina"/>
    <s v="Charlotte"/>
    <x v="3"/>
    <n v="24.999999999999993"/>
    <n v="500"/>
    <n v="124999.99999999997"/>
    <n v="49999.999999999993"/>
    <n v="0.4"/>
    <x v="2"/>
  </r>
  <r>
    <x v="2"/>
    <n v="1185732"/>
    <x v="721"/>
    <x v="4"/>
    <s v="North Carolina"/>
    <s v="Charlotte"/>
    <x v="4"/>
    <n v="45"/>
    <n v="525"/>
    <n v="236250"/>
    <n v="82687.5"/>
    <n v="0.35"/>
    <x v="2"/>
  </r>
  <r>
    <x v="2"/>
    <n v="1185732"/>
    <x v="721"/>
    <x v="4"/>
    <s v="North Carolina"/>
    <s v="Charlotte"/>
    <x v="5"/>
    <n v="35"/>
    <n v="675"/>
    <n v="236250"/>
    <n v="118125"/>
    <n v="0.5"/>
    <x v="2"/>
  </r>
  <r>
    <x v="2"/>
    <n v="1185732"/>
    <x v="255"/>
    <x v="4"/>
    <s v="North Carolina"/>
    <s v="Charlotte"/>
    <x v="0"/>
    <n v="45"/>
    <n v="945"/>
    <n v="425250"/>
    <n v="170100"/>
    <n v="0.4"/>
    <x v="2"/>
  </r>
  <r>
    <x v="2"/>
    <n v="1185732"/>
    <x v="255"/>
    <x v="4"/>
    <s v="North Carolina"/>
    <s v="Charlotte"/>
    <x v="1"/>
    <n v="45"/>
    <n v="650"/>
    <n v="292500"/>
    <n v="102375"/>
    <n v="0.35"/>
    <x v="2"/>
  </r>
  <r>
    <x v="2"/>
    <n v="1185732"/>
    <x v="255"/>
    <x v="4"/>
    <s v="North Carolina"/>
    <s v="Charlotte"/>
    <x v="2"/>
    <n v="40"/>
    <n v="625"/>
    <n v="250000"/>
    <n v="100000"/>
    <n v="0.4"/>
    <x v="2"/>
  </r>
  <r>
    <x v="2"/>
    <n v="1185732"/>
    <x v="255"/>
    <x v="4"/>
    <s v="North Carolina"/>
    <s v="Charlotte"/>
    <x v="3"/>
    <n v="40"/>
    <n v="575"/>
    <n v="230000"/>
    <n v="92000"/>
    <n v="0.4"/>
    <x v="2"/>
  </r>
  <r>
    <x v="2"/>
    <n v="1185732"/>
    <x v="255"/>
    <x v="4"/>
    <s v="North Carolina"/>
    <s v="Charlotte"/>
    <x v="4"/>
    <n v="49.999999999999993"/>
    <n v="600"/>
    <n v="299999.99999999994"/>
    <n v="104999.99999999997"/>
    <n v="0.35"/>
    <x v="2"/>
  </r>
  <r>
    <x v="2"/>
    <n v="1185732"/>
    <x v="255"/>
    <x v="4"/>
    <s v="North Carolina"/>
    <s v="Charlotte"/>
    <x v="5"/>
    <n v="54.999999999999993"/>
    <n v="700"/>
    <n v="384999.99999999994"/>
    <n v="192499.99999999997"/>
    <n v="0.5"/>
    <x v="2"/>
  </r>
  <r>
    <x v="2"/>
    <n v="1185732"/>
    <x v="288"/>
    <x v="4"/>
    <s v="North Carolina"/>
    <s v="Charlotte"/>
    <x v="0"/>
    <n v="49.999999999999993"/>
    <n v="950"/>
    <n v="474999.99999999994"/>
    <n v="190000"/>
    <n v="0.4"/>
    <x v="2"/>
  </r>
  <r>
    <x v="2"/>
    <n v="1185732"/>
    <x v="288"/>
    <x v="4"/>
    <s v="North Carolina"/>
    <s v="Charlotte"/>
    <x v="1"/>
    <n v="45"/>
    <n v="700"/>
    <n v="315000"/>
    <n v="110250"/>
    <n v="0.35"/>
    <x v="2"/>
  </r>
  <r>
    <x v="2"/>
    <n v="1185732"/>
    <x v="288"/>
    <x v="4"/>
    <s v="North Carolina"/>
    <s v="Charlotte"/>
    <x v="2"/>
    <n v="50"/>
    <n v="675"/>
    <n v="337500"/>
    <n v="135000"/>
    <n v="0.4"/>
    <x v="2"/>
  </r>
  <r>
    <x v="2"/>
    <n v="1185732"/>
    <x v="288"/>
    <x v="4"/>
    <s v="North Carolina"/>
    <s v="Charlotte"/>
    <x v="3"/>
    <n v="50"/>
    <n v="650"/>
    <n v="325000"/>
    <n v="130000"/>
    <n v="0.4"/>
    <x v="2"/>
  </r>
  <r>
    <x v="2"/>
    <n v="1185732"/>
    <x v="288"/>
    <x v="4"/>
    <s v="North Carolina"/>
    <s v="Charlotte"/>
    <x v="4"/>
    <n v="65"/>
    <n v="650"/>
    <n v="422500"/>
    <n v="147875"/>
    <n v="0.35"/>
    <x v="2"/>
  </r>
  <r>
    <x v="2"/>
    <n v="1185732"/>
    <x v="288"/>
    <x v="4"/>
    <s v="North Carolina"/>
    <s v="Charlotte"/>
    <x v="5"/>
    <n v="70"/>
    <n v="825"/>
    <n v="577500"/>
    <n v="288750"/>
    <n v="0.5"/>
    <x v="2"/>
  </r>
  <r>
    <x v="2"/>
    <n v="1185732"/>
    <x v="316"/>
    <x v="4"/>
    <s v="North Carolina"/>
    <s v="Charlotte"/>
    <x v="0"/>
    <n v="65"/>
    <n v="1050"/>
    <n v="682500"/>
    <n v="273000"/>
    <n v="0.4"/>
    <x v="2"/>
  </r>
  <r>
    <x v="2"/>
    <n v="1185732"/>
    <x v="316"/>
    <x v="4"/>
    <s v="North Carolina"/>
    <s v="Charlotte"/>
    <x v="1"/>
    <n v="60.000000000000007"/>
    <n v="800"/>
    <n v="480000.00000000006"/>
    <n v="168000"/>
    <n v="0.35"/>
    <x v="2"/>
  </r>
  <r>
    <x v="2"/>
    <n v="1185732"/>
    <x v="316"/>
    <x v="4"/>
    <s v="North Carolina"/>
    <s v="Charlotte"/>
    <x v="2"/>
    <n v="55.000000000000007"/>
    <n v="725"/>
    <n v="398750.00000000006"/>
    <n v="159500.00000000003"/>
    <n v="0.4"/>
    <x v="2"/>
  </r>
  <r>
    <x v="2"/>
    <n v="1185732"/>
    <x v="316"/>
    <x v="4"/>
    <s v="North Carolina"/>
    <s v="Charlotte"/>
    <x v="3"/>
    <n v="55.000000000000007"/>
    <n v="675"/>
    <n v="371250.00000000006"/>
    <n v="148500.00000000003"/>
    <n v="0.4"/>
    <x v="2"/>
  </r>
  <r>
    <x v="2"/>
    <n v="1185732"/>
    <x v="316"/>
    <x v="4"/>
    <s v="North Carolina"/>
    <s v="Charlotte"/>
    <x v="4"/>
    <n v="65"/>
    <n v="700"/>
    <n v="455000"/>
    <n v="159250"/>
    <n v="0.35"/>
    <x v="2"/>
  </r>
  <r>
    <x v="2"/>
    <n v="1185732"/>
    <x v="316"/>
    <x v="4"/>
    <s v="North Carolina"/>
    <s v="Charlotte"/>
    <x v="5"/>
    <n v="70"/>
    <n v="875"/>
    <n v="612500"/>
    <n v="306250"/>
    <n v="0.5"/>
    <x v="2"/>
  </r>
  <r>
    <x v="2"/>
    <n v="1185732"/>
    <x v="348"/>
    <x v="4"/>
    <s v="North Carolina"/>
    <s v="Charlotte"/>
    <x v="0"/>
    <n v="65"/>
    <n v="1025"/>
    <n v="666250"/>
    <n v="266500"/>
    <n v="0.4"/>
    <x v="2"/>
  </r>
  <r>
    <x v="2"/>
    <n v="1185732"/>
    <x v="348"/>
    <x v="4"/>
    <s v="North Carolina"/>
    <s v="Charlotte"/>
    <x v="1"/>
    <n v="60.000000000000007"/>
    <n v="800"/>
    <n v="480000.00000000006"/>
    <n v="168000"/>
    <n v="0.35"/>
    <x v="2"/>
  </r>
  <r>
    <x v="2"/>
    <n v="1185732"/>
    <x v="348"/>
    <x v="4"/>
    <s v="North Carolina"/>
    <s v="Charlotte"/>
    <x v="2"/>
    <n v="55.000000000000007"/>
    <n v="725"/>
    <n v="398750.00000000006"/>
    <n v="159500.00000000003"/>
    <n v="0.4"/>
    <x v="2"/>
  </r>
  <r>
    <x v="2"/>
    <n v="1185732"/>
    <x v="348"/>
    <x v="4"/>
    <s v="North Carolina"/>
    <s v="Charlotte"/>
    <x v="3"/>
    <n v="45"/>
    <n v="675"/>
    <n v="303750"/>
    <n v="121500"/>
    <n v="0.4"/>
    <x v="2"/>
  </r>
  <r>
    <x v="2"/>
    <n v="1185732"/>
    <x v="348"/>
    <x v="4"/>
    <s v="North Carolina"/>
    <s v="Charlotte"/>
    <x v="4"/>
    <n v="55.000000000000007"/>
    <n v="650"/>
    <n v="357500.00000000006"/>
    <n v="125125.00000000001"/>
    <n v="0.35"/>
    <x v="2"/>
  </r>
  <r>
    <x v="2"/>
    <n v="1185732"/>
    <x v="348"/>
    <x v="4"/>
    <s v="North Carolina"/>
    <s v="Charlotte"/>
    <x v="5"/>
    <n v="60.000000000000007"/>
    <n v="825"/>
    <n v="495000.00000000006"/>
    <n v="247500.00000000003"/>
    <n v="0.5"/>
    <x v="2"/>
  </r>
  <r>
    <x v="2"/>
    <n v="1185732"/>
    <x v="378"/>
    <x v="4"/>
    <s v="North Carolina"/>
    <s v="Charlotte"/>
    <x v="0"/>
    <n v="55.000000000000007"/>
    <n v="925"/>
    <n v="508750.00000000006"/>
    <n v="203500.00000000003"/>
    <n v="0.4"/>
    <x v="2"/>
  </r>
  <r>
    <x v="2"/>
    <n v="1185732"/>
    <x v="378"/>
    <x v="4"/>
    <s v="North Carolina"/>
    <s v="Charlotte"/>
    <x v="1"/>
    <n v="50.000000000000014"/>
    <n v="725"/>
    <n v="362500.00000000012"/>
    <n v="126875.00000000003"/>
    <n v="0.35"/>
    <x v="2"/>
  </r>
  <r>
    <x v="2"/>
    <n v="1185732"/>
    <x v="378"/>
    <x v="4"/>
    <s v="North Carolina"/>
    <s v="Charlotte"/>
    <x v="2"/>
    <n v="30.000000000000004"/>
    <n v="625"/>
    <n v="187500.00000000003"/>
    <n v="75000.000000000015"/>
    <n v="0.4"/>
    <x v="2"/>
  </r>
  <r>
    <x v="2"/>
    <n v="1185732"/>
    <x v="378"/>
    <x v="4"/>
    <s v="North Carolina"/>
    <s v="Charlotte"/>
    <x v="3"/>
    <n v="30.000000000000004"/>
    <n v="600"/>
    <n v="180000.00000000003"/>
    <n v="72000.000000000015"/>
    <n v="0.4"/>
    <x v="2"/>
  </r>
  <r>
    <x v="2"/>
    <n v="1185732"/>
    <x v="378"/>
    <x v="4"/>
    <s v="North Carolina"/>
    <s v="Charlotte"/>
    <x v="4"/>
    <n v="40"/>
    <n v="600"/>
    <n v="240000"/>
    <n v="84000"/>
    <n v="0.35"/>
    <x v="2"/>
  </r>
  <r>
    <x v="2"/>
    <n v="1185732"/>
    <x v="378"/>
    <x v="4"/>
    <s v="North Carolina"/>
    <s v="Charlotte"/>
    <x v="5"/>
    <n v="45.000000000000007"/>
    <n v="700"/>
    <n v="315000.00000000006"/>
    <n v="157500.00000000003"/>
    <n v="0.5"/>
    <x v="2"/>
  </r>
  <r>
    <x v="2"/>
    <n v="1185732"/>
    <x v="410"/>
    <x v="4"/>
    <s v="North Carolina"/>
    <s v="Charlotte"/>
    <x v="0"/>
    <n v="45.000000000000007"/>
    <n v="875"/>
    <n v="393750.00000000006"/>
    <n v="157500.00000000003"/>
    <n v="0.4"/>
    <x v="2"/>
  </r>
  <r>
    <x v="2"/>
    <n v="1185732"/>
    <x v="410"/>
    <x v="4"/>
    <s v="North Carolina"/>
    <s v="Charlotte"/>
    <x v="1"/>
    <n v="35.000000000000007"/>
    <n v="700"/>
    <n v="245000.00000000006"/>
    <n v="85750.000000000015"/>
    <n v="0.35"/>
    <x v="2"/>
  </r>
  <r>
    <x v="2"/>
    <n v="1185732"/>
    <x v="410"/>
    <x v="4"/>
    <s v="North Carolina"/>
    <s v="Charlotte"/>
    <x v="2"/>
    <n v="35.000000000000007"/>
    <n v="575"/>
    <n v="201250.00000000003"/>
    <n v="80500.000000000015"/>
    <n v="0.4"/>
    <x v="2"/>
  </r>
  <r>
    <x v="2"/>
    <n v="1185732"/>
    <x v="410"/>
    <x v="4"/>
    <s v="North Carolina"/>
    <s v="Charlotte"/>
    <x v="3"/>
    <n v="35.000000000000007"/>
    <n v="550"/>
    <n v="192500.00000000003"/>
    <n v="77000.000000000015"/>
    <n v="0.4"/>
    <x v="2"/>
  </r>
  <r>
    <x v="2"/>
    <n v="1185732"/>
    <x v="410"/>
    <x v="4"/>
    <s v="North Carolina"/>
    <s v="Charlotte"/>
    <x v="4"/>
    <n v="45.000000000000007"/>
    <n v="550"/>
    <n v="247500.00000000003"/>
    <n v="86625"/>
    <n v="0.35"/>
    <x v="2"/>
  </r>
  <r>
    <x v="2"/>
    <n v="1185732"/>
    <x v="410"/>
    <x v="4"/>
    <s v="North Carolina"/>
    <s v="Charlotte"/>
    <x v="5"/>
    <n v="50"/>
    <n v="675"/>
    <n v="337500"/>
    <n v="168750"/>
    <n v="0.5"/>
    <x v="2"/>
  </r>
  <r>
    <x v="2"/>
    <n v="1185732"/>
    <x v="440"/>
    <x v="4"/>
    <s v="North Carolina"/>
    <s v="Charlotte"/>
    <x v="0"/>
    <n v="45.000000000000007"/>
    <n v="825"/>
    <n v="371250.00000000006"/>
    <n v="148500.00000000003"/>
    <n v="0.4"/>
    <x v="2"/>
  </r>
  <r>
    <x v="2"/>
    <n v="1185732"/>
    <x v="440"/>
    <x v="4"/>
    <s v="North Carolina"/>
    <s v="Charlotte"/>
    <x v="1"/>
    <n v="35.000000000000007"/>
    <n v="650"/>
    <n v="227500.00000000006"/>
    <n v="79625.000000000015"/>
    <n v="0.35"/>
    <x v="2"/>
  </r>
  <r>
    <x v="2"/>
    <n v="1185732"/>
    <x v="440"/>
    <x v="4"/>
    <s v="North Carolina"/>
    <s v="Charlotte"/>
    <x v="2"/>
    <n v="40.000000000000014"/>
    <n v="595"/>
    <n v="238000.00000000009"/>
    <n v="95200.000000000044"/>
    <n v="0.4"/>
    <x v="2"/>
  </r>
  <r>
    <x v="2"/>
    <n v="1185732"/>
    <x v="440"/>
    <x v="4"/>
    <s v="North Carolina"/>
    <s v="Charlotte"/>
    <x v="3"/>
    <n v="60.000000000000021"/>
    <n v="650"/>
    <n v="390000.00000000012"/>
    <n v="156000.00000000006"/>
    <n v="0.4"/>
    <x v="2"/>
  </r>
  <r>
    <x v="2"/>
    <n v="1185732"/>
    <x v="440"/>
    <x v="4"/>
    <s v="North Carolina"/>
    <s v="Charlotte"/>
    <x v="4"/>
    <n v="75.000000000000014"/>
    <n v="625"/>
    <n v="468750.00000000012"/>
    <n v="164062.50000000003"/>
    <n v="0.35"/>
    <x v="2"/>
  </r>
  <r>
    <x v="2"/>
    <n v="1185732"/>
    <x v="440"/>
    <x v="4"/>
    <s v="North Carolina"/>
    <s v="Charlotte"/>
    <x v="5"/>
    <n v="75"/>
    <n v="725"/>
    <n v="543750"/>
    <n v="271875"/>
    <n v="0.5"/>
    <x v="2"/>
  </r>
  <r>
    <x v="2"/>
    <n v="1185732"/>
    <x v="469"/>
    <x v="4"/>
    <s v="North Carolina"/>
    <s v="Charlotte"/>
    <x v="0"/>
    <n v="70"/>
    <n v="975"/>
    <n v="682500"/>
    <n v="273000"/>
    <n v="0.4"/>
    <x v="2"/>
  </r>
  <r>
    <x v="2"/>
    <n v="1185732"/>
    <x v="469"/>
    <x v="4"/>
    <s v="North Carolina"/>
    <s v="Charlotte"/>
    <x v="1"/>
    <n v="60.000000000000007"/>
    <n v="775"/>
    <n v="465000.00000000006"/>
    <n v="162750"/>
    <n v="0.35"/>
    <x v="2"/>
  </r>
  <r>
    <x v="5"/>
    <n v="1185732"/>
    <x v="469"/>
    <x v="4"/>
    <s v="North Carolina"/>
    <s v="Charlotte"/>
    <x v="2"/>
    <n v="60.000000000000007"/>
    <n v="725"/>
    <n v="435000.00000000006"/>
    <n v="174000.00000000003"/>
    <n v="0.4"/>
    <x v="2"/>
  </r>
  <r>
    <x v="5"/>
    <n v="1185732"/>
    <x v="469"/>
    <x v="4"/>
    <s v="North Carolina"/>
    <s v="Charlotte"/>
    <x v="3"/>
    <n v="60.000000000000007"/>
    <n v="675"/>
    <n v="405000.00000000006"/>
    <n v="162000.00000000003"/>
    <n v="0.4"/>
    <x v="2"/>
  </r>
  <r>
    <x v="5"/>
    <n v="1185732"/>
    <x v="469"/>
    <x v="4"/>
    <s v="North Carolina"/>
    <s v="Charlotte"/>
    <x v="4"/>
    <n v="70"/>
    <n v="675"/>
    <n v="472500"/>
    <n v="165375"/>
    <n v="0.35"/>
    <x v="2"/>
  </r>
  <r>
    <x v="5"/>
    <n v="1185732"/>
    <x v="469"/>
    <x v="4"/>
    <s v="North Carolina"/>
    <s v="Charlotte"/>
    <x v="5"/>
    <n v="75"/>
    <n v="775"/>
    <n v="581250"/>
    <n v="290625"/>
    <n v="0.5"/>
    <x v="2"/>
  </r>
  <r>
    <x v="5"/>
    <n v="1185732"/>
    <x v="177"/>
    <x v="4"/>
    <s v="North Carolina"/>
    <s v="Charlotte"/>
    <x v="0"/>
    <n v="35"/>
    <n v="775"/>
    <n v="271250"/>
    <n v="108500"/>
    <n v="0.4"/>
    <x v="2"/>
  </r>
  <r>
    <x v="5"/>
    <n v="1185732"/>
    <x v="177"/>
    <x v="4"/>
    <s v="North Carolina"/>
    <s v="Charlotte"/>
    <x v="1"/>
    <n v="35"/>
    <n v="575"/>
    <n v="201250"/>
    <n v="70437.5"/>
    <n v="0.35"/>
    <x v="2"/>
  </r>
  <r>
    <x v="5"/>
    <n v="1185732"/>
    <x v="177"/>
    <x v="4"/>
    <s v="North Carolina"/>
    <s v="Charlotte"/>
    <x v="2"/>
    <n v="25.000000000000007"/>
    <n v="575"/>
    <n v="143750.00000000003"/>
    <n v="57500.000000000015"/>
    <n v="0.4"/>
    <x v="2"/>
  </r>
  <r>
    <x v="5"/>
    <n v="1185732"/>
    <x v="177"/>
    <x v="4"/>
    <s v="North Carolina"/>
    <s v="Charlotte"/>
    <x v="3"/>
    <n v="30"/>
    <n v="425"/>
    <n v="127500"/>
    <n v="51000"/>
    <n v="0.4"/>
    <x v="2"/>
  </r>
  <r>
    <x v="5"/>
    <n v="1185732"/>
    <x v="177"/>
    <x v="4"/>
    <s v="North Carolina"/>
    <s v="Charlotte"/>
    <x v="4"/>
    <n v="45"/>
    <n v="475"/>
    <n v="213750"/>
    <n v="74812.5"/>
    <n v="0.35"/>
    <x v="2"/>
  </r>
  <r>
    <x v="5"/>
    <n v="1185732"/>
    <x v="177"/>
    <x v="4"/>
    <s v="North Carolina"/>
    <s v="Charlotte"/>
    <x v="5"/>
    <n v="35"/>
    <n v="575"/>
    <n v="201250"/>
    <n v="100625"/>
    <n v="0.5"/>
    <x v="2"/>
  </r>
  <r>
    <x v="5"/>
    <n v="1185732"/>
    <x v="206"/>
    <x v="4"/>
    <s v="North Carolina"/>
    <s v="Charlotte"/>
    <x v="0"/>
    <n v="35"/>
    <n v="825"/>
    <n v="288750"/>
    <n v="115500"/>
    <n v="0.4"/>
    <x v="2"/>
  </r>
  <r>
    <x v="5"/>
    <n v="1185732"/>
    <x v="206"/>
    <x v="4"/>
    <s v="North Carolina"/>
    <s v="Charlotte"/>
    <x v="1"/>
    <n v="35"/>
    <n v="475"/>
    <n v="166250"/>
    <n v="58187.499999999993"/>
    <n v="0.35"/>
    <x v="2"/>
  </r>
  <r>
    <x v="5"/>
    <n v="1185732"/>
    <x v="206"/>
    <x v="4"/>
    <s v="North Carolina"/>
    <s v="Charlotte"/>
    <x v="2"/>
    <n v="25.000000000000007"/>
    <n v="525"/>
    <n v="131250.00000000003"/>
    <n v="52500.000000000015"/>
    <n v="0.4"/>
    <x v="2"/>
  </r>
  <r>
    <x v="5"/>
    <n v="1185732"/>
    <x v="206"/>
    <x v="3"/>
    <s v="Ohio"/>
    <s v="Columbus"/>
    <x v="3"/>
    <n v="30"/>
    <n v="375"/>
    <n v="112500"/>
    <n v="45000"/>
    <n v="0.4"/>
    <x v="2"/>
  </r>
  <r>
    <x v="5"/>
    <n v="1185732"/>
    <x v="206"/>
    <x v="3"/>
    <s v="Ohio"/>
    <s v="Columbus"/>
    <x v="4"/>
    <n v="45"/>
    <n v="450"/>
    <n v="202500"/>
    <n v="70875"/>
    <n v="0.35"/>
    <x v="2"/>
  </r>
  <r>
    <x v="5"/>
    <n v="1185732"/>
    <x v="206"/>
    <x v="3"/>
    <s v="Ohio"/>
    <s v="Columbus"/>
    <x v="5"/>
    <n v="30"/>
    <n v="550"/>
    <n v="165000"/>
    <n v="82500"/>
    <n v="0.5"/>
    <x v="2"/>
  </r>
  <r>
    <x v="5"/>
    <n v="1185732"/>
    <x v="214"/>
    <x v="3"/>
    <s v="Ohio"/>
    <s v="Columbus"/>
    <x v="0"/>
    <n v="30"/>
    <n v="770"/>
    <n v="231000"/>
    <n v="92400"/>
    <n v="0.4"/>
    <x v="2"/>
  </r>
  <r>
    <x v="5"/>
    <n v="1185732"/>
    <x v="214"/>
    <x v="3"/>
    <s v="Ohio"/>
    <s v="Columbus"/>
    <x v="1"/>
    <n v="30"/>
    <n v="450"/>
    <n v="135000"/>
    <n v="47250"/>
    <n v="0.35"/>
    <x v="2"/>
  </r>
  <r>
    <x v="5"/>
    <n v="1185732"/>
    <x v="214"/>
    <x v="3"/>
    <s v="Ohio"/>
    <s v="Columbus"/>
    <x v="2"/>
    <n v="20"/>
    <n v="475"/>
    <n v="95000"/>
    <n v="38000"/>
    <n v="0.4"/>
    <x v="2"/>
  </r>
  <r>
    <x v="5"/>
    <n v="1185732"/>
    <x v="214"/>
    <x v="3"/>
    <s v="Ohio"/>
    <s v="Columbus"/>
    <x v="3"/>
    <n v="24.999999999999993"/>
    <n v="325"/>
    <n v="81249.999999999971"/>
    <n v="32499.999999999989"/>
    <n v="0.4"/>
    <x v="2"/>
  </r>
  <r>
    <x v="5"/>
    <n v="1185732"/>
    <x v="214"/>
    <x v="3"/>
    <s v="Ohio"/>
    <s v="Columbus"/>
    <x v="4"/>
    <n v="40.000000000000007"/>
    <n v="375"/>
    <n v="150000.00000000003"/>
    <n v="52500.000000000007"/>
    <n v="0.35"/>
    <x v="2"/>
  </r>
  <r>
    <x v="5"/>
    <n v="1185732"/>
    <x v="214"/>
    <x v="3"/>
    <s v="Ohio"/>
    <s v="Columbus"/>
    <x v="5"/>
    <n v="30"/>
    <n v="475"/>
    <n v="142500"/>
    <n v="71250"/>
    <n v="0.5"/>
    <x v="2"/>
  </r>
  <r>
    <x v="5"/>
    <n v="1185732"/>
    <x v="233"/>
    <x v="3"/>
    <s v="Ohio"/>
    <s v="Columbus"/>
    <x v="0"/>
    <n v="30"/>
    <n v="725"/>
    <n v="217500"/>
    <n v="87000"/>
    <n v="0.4"/>
    <x v="2"/>
  </r>
  <r>
    <x v="5"/>
    <n v="1185732"/>
    <x v="233"/>
    <x v="3"/>
    <s v="Ohio"/>
    <s v="Columbus"/>
    <x v="1"/>
    <n v="30"/>
    <n v="425"/>
    <n v="127500"/>
    <n v="44625"/>
    <n v="0.35"/>
    <x v="2"/>
  </r>
  <r>
    <x v="5"/>
    <n v="1185732"/>
    <x v="233"/>
    <x v="3"/>
    <s v="Ohio"/>
    <s v="Columbus"/>
    <x v="2"/>
    <n v="20"/>
    <n v="425"/>
    <n v="85000"/>
    <n v="34000"/>
    <n v="0.4"/>
    <x v="2"/>
  </r>
  <r>
    <x v="5"/>
    <n v="1185732"/>
    <x v="233"/>
    <x v="3"/>
    <s v="Ohio"/>
    <s v="Columbus"/>
    <x v="3"/>
    <n v="24.999999999999993"/>
    <n v="350"/>
    <n v="87499.999999999971"/>
    <n v="34999.999999999993"/>
    <n v="0.4"/>
    <x v="2"/>
  </r>
  <r>
    <x v="5"/>
    <n v="1185732"/>
    <x v="233"/>
    <x v="3"/>
    <s v="Ohio"/>
    <s v="Columbus"/>
    <x v="4"/>
    <n v="45"/>
    <n v="375"/>
    <n v="168750"/>
    <n v="59062.499999999993"/>
    <n v="0.35"/>
    <x v="2"/>
  </r>
  <r>
    <x v="5"/>
    <n v="1185732"/>
    <x v="233"/>
    <x v="3"/>
    <s v="Ohio"/>
    <s v="Columbus"/>
    <x v="5"/>
    <n v="35"/>
    <n v="525"/>
    <n v="183750"/>
    <n v="91875"/>
    <n v="0.5"/>
    <x v="2"/>
  </r>
  <r>
    <x v="5"/>
    <n v="1185732"/>
    <x v="262"/>
    <x v="3"/>
    <s v="Ohio"/>
    <s v="Columbus"/>
    <x v="0"/>
    <n v="45"/>
    <n v="795"/>
    <n v="357750"/>
    <n v="143100"/>
    <n v="0.4"/>
    <x v="2"/>
  </r>
  <r>
    <x v="5"/>
    <n v="1185732"/>
    <x v="262"/>
    <x v="3"/>
    <s v="Ohio"/>
    <s v="Columbus"/>
    <x v="1"/>
    <n v="45"/>
    <n v="500"/>
    <n v="225000"/>
    <n v="78750"/>
    <n v="0.35"/>
    <x v="2"/>
  </r>
  <r>
    <x v="5"/>
    <n v="1185732"/>
    <x v="262"/>
    <x v="3"/>
    <s v="Ohio"/>
    <s v="Columbus"/>
    <x v="2"/>
    <n v="40"/>
    <n v="475"/>
    <n v="190000"/>
    <n v="76000"/>
    <n v="0.4"/>
    <x v="2"/>
  </r>
  <r>
    <x v="5"/>
    <n v="1185732"/>
    <x v="262"/>
    <x v="3"/>
    <s v="Ohio"/>
    <s v="Columbus"/>
    <x v="3"/>
    <n v="40"/>
    <n v="425"/>
    <n v="170000"/>
    <n v="68000"/>
    <n v="0.4"/>
    <x v="2"/>
  </r>
  <r>
    <x v="5"/>
    <n v="1185732"/>
    <x v="262"/>
    <x v="3"/>
    <s v="Ohio"/>
    <s v="Columbus"/>
    <x v="4"/>
    <n v="49.999999999999993"/>
    <n v="450"/>
    <n v="224999.99999999997"/>
    <n v="78749.999999999985"/>
    <n v="0.35"/>
    <x v="2"/>
  </r>
  <r>
    <x v="5"/>
    <n v="1185732"/>
    <x v="262"/>
    <x v="3"/>
    <s v="Ohio"/>
    <s v="Columbus"/>
    <x v="5"/>
    <n v="54.999999999999993"/>
    <n v="550"/>
    <n v="302499.99999999994"/>
    <n v="151249.99999999997"/>
    <n v="0.5"/>
    <x v="2"/>
  </r>
  <r>
    <x v="5"/>
    <n v="1185732"/>
    <x v="295"/>
    <x v="3"/>
    <s v="Ohio"/>
    <s v="Columbus"/>
    <x v="0"/>
    <n v="49.999999999999993"/>
    <n v="800"/>
    <n v="399999.99999999994"/>
    <n v="160000"/>
    <n v="0.4"/>
    <x v="2"/>
  </r>
  <r>
    <x v="5"/>
    <n v="1185732"/>
    <x v="295"/>
    <x v="3"/>
    <s v="Ohio"/>
    <s v="Columbus"/>
    <x v="1"/>
    <n v="45"/>
    <n v="550"/>
    <n v="247500"/>
    <n v="86625"/>
    <n v="0.35"/>
    <x v="2"/>
  </r>
  <r>
    <x v="5"/>
    <n v="1185732"/>
    <x v="295"/>
    <x v="3"/>
    <s v="Ohio"/>
    <s v="Columbus"/>
    <x v="2"/>
    <n v="50"/>
    <n v="525"/>
    <n v="262500"/>
    <n v="105000"/>
    <n v="0.4"/>
    <x v="2"/>
  </r>
  <r>
    <x v="5"/>
    <n v="1185732"/>
    <x v="295"/>
    <x v="3"/>
    <s v="Ohio"/>
    <s v="Columbus"/>
    <x v="3"/>
    <n v="50"/>
    <n v="500"/>
    <n v="250000"/>
    <n v="100000"/>
    <n v="0.4"/>
    <x v="2"/>
  </r>
  <r>
    <x v="5"/>
    <n v="1185732"/>
    <x v="295"/>
    <x v="3"/>
    <s v="Ohio"/>
    <s v="Columbus"/>
    <x v="4"/>
    <n v="65"/>
    <n v="500"/>
    <n v="325000"/>
    <n v="113750"/>
    <n v="0.35"/>
    <x v="2"/>
  </r>
  <r>
    <x v="5"/>
    <n v="1185732"/>
    <x v="295"/>
    <x v="3"/>
    <s v="Ohio"/>
    <s v="Columbus"/>
    <x v="5"/>
    <n v="70"/>
    <n v="675"/>
    <n v="472500"/>
    <n v="236250"/>
    <n v="0.5"/>
    <x v="2"/>
  </r>
  <r>
    <x v="5"/>
    <n v="1185732"/>
    <x v="323"/>
    <x v="3"/>
    <s v="Ohio"/>
    <s v="Columbus"/>
    <x v="0"/>
    <n v="65"/>
    <n v="900"/>
    <n v="585000"/>
    <n v="234000"/>
    <n v="0.4"/>
    <x v="2"/>
  </r>
  <r>
    <x v="5"/>
    <n v="1185732"/>
    <x v="323"/>
    <x v="3"/>
    <s v="Ohio"/>
    <s v="Columbus"/>
    <x v="1"/>
    <n v="60.000000000000007"/>
    <n v="650"/>
    <n v="390000.00000000006"/>
    <n v="136500"/>
    <n v="0.35"/>
    <x v="2"/>
  </r>
  <r>
    <x v="5"/>
    <n v="1185732"/>
    <x v="323"/>
    <x v="3"/>
    <s v="Ohio"/>
    <s v="Columbus"/>
    <x v="2"/>
    <n v="55.000000000000007"/>
    <n v="575"/>
    <n v="316250.00000000006"/>
    <n v="126500.00000000003"/>
    <n v="0.4"/>
    <x v="2"/>
  </r>
  <r>
    <x v="5"/>
    <n v="1185732"/>
    <x v="323"/>
    <x v="3"/>
    <s v="Ohio"/>
    <s v="Columbus"/>
    <x v="3"/>
    <n v="55.000000000000007"/>
    <n v="525"/>
    <n v="288750.00000000006"/>
    <n v="115500.00000000003"/>
    <n v="0.4"/>
    <x v="2"/>
  </r>
  <r>
    <x v="5"/>
    <n v="1185732"/>
    <x v="323"/>
    <x v="3"/>
    <s v="Ohio"/>
    <s v="Columbus"/>
    <x v="4"/>
    <n v="65"/>
    <n v="550"/>
    <n v="357500"/>
    <n v="125124.99999999999"/>
    <n v="0.35"/>
    <x v="2"/>
  </r>
  <r>
    <x v="5"/>
    <n v="1185732"/>
    <x v="323"/>
    <x v="3"/>
    <s v="Ohio"/>
    <s v="Columbus"/>
    <x v="5"/>
    <n v="70"/>
    <n v="725"/>
    <n v="507500"/>
    <n v="253750"/>
    <n v="0.5"/>
    <x v="2"/>
  </r>
  <r>
    <x v="5"/>
    <n v="1185732"/>
    <x v="355"/>
    <x v="3"/>
    <s v="Ohio"/>
    <s v="Columbus"/>
    <x v="0"/>
    <n v="65"/>
    <n v="875"/>
    <n v="568750"/>
    <n v="227500"/>
    <n v="0.4"/>
    <x v="2"/>
  </r>
  <r>
    <x v="5"/>
    <n v="1185732"/>
    <x v="355"/>
    <x v="3"/>
    <s v="Ohio"/>
    <s v="Columbus"/>
    <x v="1"/>
    <n v="60.000000000000007"/>
    <n v="650"/>
    <n v="390000.00000000006"/>
    <n v="136500"/>
    <n v="0.35"/>
    <x v="2"/>
  </r>
  <r>
    <x v="5"/>
    <n v="1185732"/>
    <x v="355"/>
    <x v="3"/>
    <s v="Ohio"/>
    <s v="Columbus"/>
    <x v="2"/>
    <n v="55.000000000000007"/>
    <n v="575"/>
    <n v="316250.00000000006"/>
    <n v="126500.00000000003"/>
    <n v="0.4"/>
    <x v="2"/>
  </r>
  <r>
    <x v="5"/>
    <n v="1185732"/>
    <x v="355"/>
    <x v="3"/>
    <s v="Ohio"/>
    <s v="Columbus"/>
    <x v="3"/>
    <n v="45"/>
    <n v="525"/>
    <n v="236250"/>
    <n v="94500"/>
    <n v="0.4"/>
    <x v="2"/>
  </r>
  <r>
    <x v="5"/>
    <n v="1185732"/>
    <x v="355"/>
    <x v="3"/>
    <s v="Ohio"/>
    <s v="Columbus"/>
    <x v="4"/>
    <n v="55.000000000000007"/>
    <n v="500"/>
    <n v="275000.00000000006"/>
    <n v="96250.000000000015"/>
    <n v="0.35"/>
    <x v="2"/>
  </r>
  <r>
    <x v="5"/>
    <n v="1185732"/>
    <x v="355"/>
    <x v="3"/>
    <s v="Ohio"/>
    <s v="Columbus"/>
    <x v="5"/>
    <n v="60.000000000000007"/>
    <n v="675"/>
    <n v="405000.00000000006"/>
    <n v="202500.00000000003"/>
    <n v="0.5"/>
    <x v="2"/>
  </r>
  <r>
    <x v="5"/>
    <n v="1185732"/>
    <x v="385"/>
    <x v="3"/>
    <s v="Ohio"/>
    <s v="Columbus"/>
    <x v="0"/>
    <n v="55.000000000000007"/>
    <n v="775"/>
    <n v="426250.00000000006"/>
    <n v="170500.00000000003"/>
    <n v="0.4"/>
    <x v="2"/>
  </r>
  <r>
    <x v="5"/>
    <n v="1185732"/>
    <x v="385"/>
    <x v="3"/>
    <s v="Ohio"/>
    <s v="Columbus"/>
    <x v="1"/>
    <n v="50.000000000000014"/>
    <n v="575"/>
    <n v="287500.00000000006"/>
    <n v="100625.00000000001"/>
    <n v="0.35"/>
    <x v="2"/>
  </r>
  <r>
    <x v="5"/>
    <n v="1185732"/>
    <x v="385"/>
    <x v="3"/>
    <s v="Ohio"/>
    <s v="Columbus"/>
    <x v="2"/>
    <n v="25.000000000000007"/>
    <n v="475"/>
    <n v="118750.00000000003"/>
    <n v="47500.000000000015"/>
    <n v="0.4"/>
    <x v="2"/>
  </r>
  <r>
    <x v="5"/>
    <n v="1185732"/>
    <x v="385"/>
    <x v="3"/>
    <s v="Ohio"/>
    <s v="Columbus"/>
    <x v="3"/>
    <n v="25.000000000000007"/>
    <n v="450"/>
    <n v="112500.00000000003"/>
    <n v="45000.000000000015"/>
    <n v="0.4"/>
    <x v="2"/>
  </r>
  <r>
    <x v="5"/>
    <n v="1185732"/>
    <x v="385"/>
    <x v="3"/>
    <s v="Ohio"/>
    <s v="Columbus"/>
    <x v="4"/>
    <n v="35"/>
    <n v="450"/>
    <n v="157500"/>
    <n v="55125"/>
    <n v="0.35"/>
    <x v="2"/>
  </r>
  <r>
    <x v="5"/>
    <n v="1185732"/>
    <x v="385"/>
    <x v="3"/>
    <s v="Ohio"/>
    <s v="Columbus"/>
    <x v="5"/>
    <n v="40.000000000000007"/>
    <n v="550"/>
    <n v="220000.00000000003"/>
    <n v="110000.00000000001"/>
    <n v="0.5"/>
    <x v="2"/>
  </r>
  <r>
    <x v="5"/>
    <n v="1185732"/>
    <x v="417"/>
    <x v="3"/>
    <s v="Ohio"/>
    <s v="Columbus"/>
    <x v="0"/>
    <n v="40.000000000000007"/>
    <n v="725"/>
    <n v="290000.00000000006"/>
    <n v="116000.00000000003"/>
    <n v="0.4"/>
    <x v="2"/>
  </r>
  <r>
    <x v="5"/>
    <n v="1185732"/>
    <x v="417"/>
    <x v="3"/>
    <s v="Ohio"/>
    <s v="Columbus"/>
    <x v="1"/>
    <n v="30.000000000000011"/>
    <n v="550"/>
    <n v="165000.00000000006"/>
    <n v="57750.000000000015"/>
    <n v="0.35"/>
    <x v="2"/>
  </r>
  <r>
    <x v="5"/>
    <n v="1185732"/>
    <x v="417"/>
    <x v="3"/>
    <s v="Ohio"/>
    <s v="Columbus"/>
    <x v="2"/>
    <n v="30.000000000000011"/>
    <n v="425"/>
    <n v="127500.00000000004"/>
    <n v="51000.000000000022"/>
    <n v="0.4"/>
    <x v="2"/>
  </r>
  <r>
    <x v="5"/>
    <n v="1185732"/>
    <x v="417"/>
    <x v="3"/>
    <s v="Ohio"/>
    <s v="Columbus"/>
    <x v="3"/>
    <n v="30.000000000000011"/>
    <n v="400"/>
    <n v="120000.00000000004"/>
    <n v="48000.000000000022"/>
    <n v="0.4"/>
    <x v="2"/>
  </r>
  <r>
    <x v="5"/>
    <n v="1185732"/>
    <x v="417"/>
    <x v="3"/>
    <s v="Ohio"/>
    <s v="Columbus"/>
    <x v="4"/>
    <n v="40.000000000000007"/>
    <n v="400"/>
    <n v="160000.00000000003"/>
    <n v="56000.000000000007"/>
    <n v="0.35"/>
    <x v="2"/>
  </r>
  <r>
    <x v="5"/>
    <n v="1185732"/>
    <x v="417"/>
    <x v="3"/>
    <s v="Ohio"/>
    <s v="Columbus"/>
    <x v="5"/>
    <n v="40"/>
    <n v="525"/>
    <n v="210000"/>
    <n v="105000"/>
    <n v="0.5"/>
    <x v="2"/>
  </r>
  <r>
    <x v="5"/>
    <n v="1185732"/>
    <x v="447"/>
    <x v="3"/>
    <s v="Ohio"/>
    <s v="Columbus"/>
    <x v="0"/>
    <n v="35.000000000000007"/>
    <n v="675"/>
    <n v="236250.00000000006"/>
    <n v="94500.000000000029"/>
    <n v="0.4"/>
    <x v="2"/>
  </r>
  <r>
    <x v="5"/>
    <n v="1185732"/>
    <x v="447"/>
    <x v="3"/>
    <s v="Ohio"/>
    <s v="Columbus"/>
    <x v="1"/>
    <n v="25.000000000000011"/>
    <n v="500"/>
    <n v="125000.00000000006"/>
    <n v="43750.000000000015"/>
    <n v="0.35"/>
    <x v="2"/>
  </r>
  <r>
    <x v="5"/>
    <n v="1185732"/>
    <x v="447"/>
    <x v="3"/>
    <s v="Ohio"/>
    <s v="Columbus"/>
    <x v="2"/>
    <n v="35.000000000000014"/>
    <n v="445"/>
    <n v="155750.00000000006"/>
    <n v="62300.000000000029"/>
    <n v="0.4"/>
    <x v="2"/>
  </r>
  <r>
    <x v="5"/>
    <n v="1185732"/>
    <x v="447"/>
    <x v="3"/>
    <s v="Ohio"/>
    <s v="Columbus"/>
    <x v="3"/>
    <n v="65.000000000000028"/>
    <n v="500"/>
    <n v="325000.00000000012"/>
    <n v="130000.00000000006"/>
    <n v="0.4"/>
    <x v="2"/>
  </r>
  <r>
    <x v="5"/>
    <n v="1185732"/>
    <x v="447"/>
    <x v="3"/>
    <s v="Ohio"/>
    <s v="Columbus"/>
    <x v="4"/>
    <n v="80.000000000000014"/>
    <n v="475"/>
    <n v="380000.00000000006"/>
    <n v="133000"/>
    <n v="0.35"/>
    <x v="2"/>
  </r>
  <r>
    <x v="5"/>
    <n v="1185732"/>
    <x v="447"/>
    <x v="3"/>
    <s v="Ohio"/>
    <s v="Columbus"/>
    <x v="5"/>
    <n v="80"/>
    <n v="575"/>
    <n v="460000"/>
    <n v="230000"/>
    <n v="0.5"/>
    <x v="2"/>
  </r>
  <r>
    <x v="5"/>
    <n v="1185732"/>
    <x v="476"/>
    <x v="3"/>
    <s v="Ohio"/>
    <s v="Columbus"/>
    <x v="0"/>
    <n v="75.000000000000014"/>
    <n v="825"/>
    <n v="618750.00000000012"/>
    <n v="247500.00000000006"/>
    <n v="0.4"/>
    <x v="2"/>
  </r>
  <r>
    <x v="5"/>
    <n v="1185732"/>
    <x v="476"/>
    <x v="3"/>
    <s v="Ohio"/>
    <s v="Columbus"/>
    <x v="1"/>
    <n v="65.000000000000014"/>
    <n v="625"/>
    <n v="406250.00000000012"/>
    <n v="142187.50000000003"/>
    <n v="0.35"/>
    <x v="2"/>
  </r>
  <r>
    <x v="3"/>
    <n v="1185732"/>
    <x v="476"/>
    <x v="3"/>
    <s v="Ohio"/>
    <s v="Columbus"/>
    <x v="2"/>
    <n v="65.000000000000014"/>
    <n v="575"/>
    <n v="373750.00000000006"/>
    <n v="149500.00000000003"/>
    <n v="0.4"/>
    <x v="2"/>
  </r>
  <r>
    <x v="3"/>
    <n v="1185732"/>
    <x v="476"/>
    <x v="3"/>
    <s v="Ohio"/>
    <s v="Columbus"/>
    <x v="3"/>
    <n v="65.000000000000014"/>
    <n v="525"/>
    <n v="341250.00000000006"/>
    <n v="136500.00000000003"/>
    <n v="0.4"/>
    <x v="2"/>
  </r>
  <r>
    <x v="3"/>
    <n v="1185732"/>
    <x v="476"/>
    <x v="3"/>
    <s v="Ohio"/>
    <s v="Columbus"/>
    <x v="4"/>
    <n v="75.000000000000014"/>
    <n v="525"/>
    <n v="393750.00000000006"/>
    <n v="137812.5"/>
    <n v="0.35"/>
    <x v="2"/>
  </r>
  <r>
    <x v="3"/>
    <n v="1185732"/>
    <x v="476"/>
    <x v="3"/>
    <s v="Ohio"/>
    <s v="Columbus"/>
    <x v="5"/>
    <n v="80"/>
    <n v="625"/>
    <n v="500000"/>
    <n v="250000"/>
    <n v="0.5"/>
    <x v="2"/>
  </r>
  <r>
    <x v="5"/>
    <n v="1185732"/>
    <x v="186"/>
    <x v="3"/>
    <s v="Ohio"/>
    <s v="Columbus"/>
    <x v="0"/>
    <n v="40"/>
    <n v="500"/>
    <n v="200000"/>
    <n v="80000"/>
    <n v="0.4"/>
    <x v="2"/>
  </r>
  <r>
    <x v="5"/>
    <n v="1185732"/>
    <x v="186"/>
    <x v="3"/>
    <s v="Ohio"/>
    <s v="Columbus"/>
    <x v="1"/>
    <n v="40"/>
    <n v="300"/>
    <n v="120000"/>
    <n v="42000"/>
    <n v="0.35"/>
    <x v="2"/>
  </r>
  <r>
    <x v="5"/>
    <n v="1185732"/>
    <x v="186"/>
    <x v="3"/>
    <s v="Ohio"/>
    <s v="Columbus"/>
    <x v="2"/>
    <n v="30.000000000000004"/>
    <n v="300"/>
    <n v="90000.000000000015"/>
    <n v="36000.000000000007"/>
    <n v="0.4"/>
    <x v="2"/>
  </r>
  <r>
    <x v="5"/>
    <n v="1185732"/>
    <x v="186"/>
    <x v="3"/>
    <s v="Ohio"/>
    <s v="Columbus"/>
    <x v="3"/>
    <n v="35"/>
    <n v="150"/>
    <n v="52500"/>
    <n v="21000"/>
    <n v="0.4"/>
    <x v="2"/>
  </r>
  <r>
    <x v="5"/>
    <n v="1185732"/>
    <x v="186"/>
    <x v="3"/>
    <s v="Ohio"/>
    <s v="Columbus"/>
    <x v="4"/>
    <n v="49.999999999999993"/>
    <n v="200"/>
    <n v="99999.999999999985"/>
    <n v="34999.999999999993"/>
    <n v="0.35"/>
    <x v="2"/>
  </r>
  <r>
    <x v="5"/>
    <n v="1185732"/>
    <x v="186"/>
    <x v="3"/>
    <s v="Ohio"/>
    <s v="Columbus"/>
    <x v="5"/>
    <n v="40"/>
    <n v="300"/>
    <n v="120000"/>
    <n v="48000"/>
    <n v="0.4"/>
    <x v="2"/>
  </r>
  <r>
    <x v="5"/>
    <n v="1185732"/>
    <x v="696"/>
    <x v="3"/>
    <s v="Ohio"/>
    <s v="Columbus"/>
    <x v="0"/>
    <n v="40"/>
    <n v="550"/>
    <n v="220000"/>
    <n v="88000"/>
    <n v="0.4"/>
    <x v="2"/>
  </r>
  <r>
    <x v="5"/>
    <n v="1185732"/>
    <x v="696"/>
    <x v="3"/>
    <s v="Ohio"/>
    <s v="Columbus"/>
    <x v="1"/>
    <n v="40"/>
    <n v="200"/>
    <n v="80000"/>
    <n v="28000"/>
    <n v="0.35"/>
    <x v="2"/>
  </r>
  <r>
    <x v="5"/>
    <n v="1185732"/>
    <x v="696"/>
    <x v="3"/>
    <s v="Ohio"/>
    <s v="Columbus"/>
    <x v="2"/>
    <n v="30.000000000000004"/>
    <n v="250"/>
    <n v="75000.000000000015"/>
    <n v="30000.000000000007"/>
    <n v="0.4"/>
    <x v="2"/>
  </r>
  <r>
    <x v="5"/>
    <n v="1185732"/>
    <x v="696"/>
    <x v="4"/>
    <s v="Kentucky"/>
    <s v="Louisville"/>
    <x v="3"/>
    <n v="35"/>
    <n v="125"/>
    <n v="43750"/>
    <n v="17500"/>
    <n v="0.4"/>
    <x v="2"/>
  </r>
  <r>
    <x v="5"/>
    <n v="1185732"/>
    <x v="696"/>
    <x v="4"/>
    <s v="Kentucky"/>
    <s v="Louisville"/>
    <x v="4"/>
    <n v="49.999999999999993"/>
    <n v="200"/>
    <n v="99999.999999999985"/>
    <n v="34999.999999999993"/>
    <n v="0.35"/>
    <x v="2"/>
  </r>
  <r>
    <x v="5"/>
    <n v="1185732"/>
    <x v="696"/>
    <x v="4"/>
    <s v="Kentucky"/>
    <s v="Louisville"/>
    <x v="5"/>
    <n v="40"/>
    <n v="300"/>
    <n v="120000"/>
    <n v="48000"/>
    <n v="0.4"/>
    <x v="2"/>
  </r>
  <r>
    <x v="5"/>
    <n v="1185732"/>
    <x v="226"/>
    <x v="4"/>
    <s v="Kentucky"/>
    <s v="Louisville"/>
    <x v="0"/>
    <n v="45"/>
    <n v="520"/>
    <n v="234000"/>
    <n v="93600"/>
    <n v="0.4"/>
    <x v="2"/>
  </r>
  <r>
    <x v="5"/>
    <n v="1185732"/>
    <x v="226"/>
    <x v="4"/>
    <s v="Kentucky"/>
    <s v="Louisville"/>
    <x v="1"/>
    <n v="45"/>
    <n v="225"/>
    <n v="101250"/>
    <n v="35437.5"/>
    <n v="0.35"/>
    <x v="2"/>
  </r>
  <r>
    <x v="5"/>
    <n v="1185732"/>
    <x v="226"/>
    <x v="4"/>
    <s v="Kentucky"/>
    <s v="Louisville"/>
    <x v="2"/>
    <n v="35"/>
    <n v="250"/>
    <n v="87500"/>
    <n v="35000"/>
    <n v="0.4"/>
    <x v="2"/>
  </r>
  <r>
    <x v="5"/>
    <n v="1185732"/>
    <x v="226"/>
    <x v="4"/>
    <s v="Kentucky"/>
    <s v="Louisville"/>
    <x v="3"/>
    <n v="40"/>
    <n v="100"/>
    <n v="40000"/>
    <n v="16000"/>
    <n v="0.4"/>
    <x v="2"/>
  </r>
  <r>
    <x v="5"/>
    <n v="1185732"/>
    <x v="226"/>
    <x v="4"/>
    <s v="Kentucky"/>
    <s v="Louisville"/>
    <x v="4"/>
    <n v="54.999999999999993"/>
    <n v="150"/>
    <n v="82499.999999999985"/>
    <n v="28874.999999999993"/>
    <n v="0.35"/>
    <x v="2"/>
  </r>
  <r>
    <x v="5"/>
    <n v="1185732"/>
    <x v="226"/>
    <x v="4"/>
    <s v="Kentucky"/>
    <s v="Louisville"/>
    <x v="5"/>
    <n v="45"/>
    <n v="250"/>
    <n v="112500"/>
    <n v="45000"/>
    <n v="0.4"/>
    <x v="2"/>
  </r>
  <r>
    <x v="5"/>
    <n v="1185732"/>
    <x v="245"/>
    <x v="4"/>
    <s v="Kentucky"/>
    <s v="Louisville"/>
    <x v="0"/>
    <n v="45"/>
    <n v="475"/>
    <n v="213750"/>
    <n v="85500"/>
    <n v="0.4"/>
    <x v="2"/>
  </r>
  <r>
    <x v="5"/>
    <n v="1185732"/>
    <x v="245"/>
    <x v="4"/>
    <s v="Kentucky"/>
    <s v="Louisville"/>
    <x v="1"/>
    <n v="45"/>
    <n v="175"/>
    <n v="78750"/>
    <n v="27562.5"/>
    <n v="0.35"/>
    <x v="2"/>
  </r>
  <r>
    <x v="5"/>
    <n v="1185732"/>
    <x v="245"/>
    <x v="4"/>
    <s v="Kentucky"/>
    <s v="Louisville"/>
    <x v="2"/>
    <n v="40"/>
    <n v="175"/>
    <n v="70000"/>
    <n v="28000"/>
    <n v="0.4"/>
    <x v="2"/>
  </r>
  <r>
    <x v="5"/>
    <n v="1185732"/>
    <x v="245"/>
    <x v="4"/>
    <s v="Kentucky"/>
    <s v="Louisville"/>
    <x v="3"/>
    <n v="45"/>
    <n v="100"/>
    <n v="45000"/>
    <n v="18000"/>
    <n v="0.4"/>
    <x v="2"/>
  </r>
  <r>
    <x v="5"/>
    <n v="1185732"/>
    <x v="245"/>
    <x v="4"/>
    <s v="Kentucky"/>
    <s v="Louisville"/>
    <x v="4"/>
    <n v="50"/>
    <n v="125"/>
    <n v="62500"/>
    <n v="21875"/>
    <n v="0.35"/>
    <x v="2"/>
  </r>
  <r>
    <x v="5"/>
    <n v="1185732"/>
    <x v="245"/>
    <x v="4"/>
    <s v="Kentucky"/>
    <s v="Louisville"/>
    <x v="5"/>
    <n v="40"/>
    <n v="250"/>
    <n v="100000"/>
    <n v="40000"/>
    <n v="0.4"/>
    <x v="2"/>
  </r>
  <r>
    <x v="5"/>
    <n v="1185732"/>
    <x v="276"/>
    <x v="4"/>
    <s v="Kentucky"/>
    <s v="Louisville"/>
    <x v="0"/>
    <n v="50"/>
    <n v="520"/>
    <n v="260000"/>
    <n v="104000"/>
    <n v="0.4"/>
    <x v="2"/>
  </r>
  <r>
    <x v="5"/>
    <n v="1185732"/>
    <x v="276"/>
    <x v="4"/>
    <s v="Kentucky"/>
    <s v="Louisville"/>
    <x v="1"/>
    <n v="45.000000000000007"/>
    <n v="225"/>
    <n v="101250.00000000001"/>
    <n v="35437.5"/>
    <n v="0.35"/>
    <x v="2"/>
  </r>
  <r>
    <x v="5"/>
    <n v="1185732"/>
    <x v="276"/>
    <x v="4"/>
    <s v="Kentucky"/>
    <s v="Louisville"/>
    <x v="2"/>
    <n v="40"/>
    <n v="200"/>
    <n v="80000"/>
    <n v="32000"/>
    <n v="0.4"/>
    <x v="2"/>
  </r>
  <r>
    <x v="5"/>
    <n v="1185732"/>
    <x v="276"/>
    <x v="4"/>
    <s v="Kentucky"/>
    <s v="Louisville"/>
    <x v="3"/>
    <n v="40"/>
    <n v="125"/>
    <n v="50000"/>
    <n v="20000"/>
    <n v="0.4"/>
    <x v="2"/>
  </r>
  <r>
    <x v="5"/>
    <n v="1185732"/>
    <x v="276"/>
    <x v="4"/>
    <s v="Kentucky"/>
    <s v="Louisville"/>
    <x v="4"/>
    <n v="50"/>
    <n v="150"/>
    <n v="75000"/>
    <n v="26250"/>
    <n v="0.35"/>
    <x v="2"/>
  </r>
  <r>
    <x v="5"/>
    <n v="1185732"/>
    <x v="276"/>
    <x v="4"/>
    <s v="Kentucky"/>
    <s v="Louisville"/>
    <x v="5"/>
    <n v="55.000000000000007"/>
    <n v="275"/>
    <n v="151250.00000000003"/>
    <n v="60500.000000000015"/>
    <n v="0.4"/>
    <x v="2"/>
  </r>
  <r>
    <x v="5"/>
    <n v="1185732"/>
    <x v="306"/>
    <x v="4"/>
    <s v="Kentucky"/>
    <s v="Louisville"/>
    <x v="0"/>
    <n v="40"/>
    <n v="525"/>
    <n v="210000"/>
    <n v="84000"/>
    <n v="0.4"/>
    <x v="2"/>
  </r>
  <r>
    <x v="5"/>
    <n v="1185732"/>
    <x v="306"/>
    <x v="4"/>
    <s v="Kentucky"/>
    <s v="Louisville"/>
    <x v="1"/>
    <n v="35.000000000000007"/>
    <n v="275"/>
    <n v="96250.000000000015"/>
    <n v="33687.5"/>
    <n v="0.35"/>
    <x v="2"/>
  </r>
  <r>
    <x v="5"/>
    <n v="1185732"/>
    <x v="306"/>
    <x v="4"/>
    <s v="Kentucky"/>
    <s v="Louisville"/>
    <x v="2"/>
    <n v="30.000000000000004"/>
    <n v="225"/>
    <n v="67500.000000000015"/>
    <n v="27000.000000000007"/>
    <n v="0.4"/>
    <x v="2"/>
  </r>
  <r>
    <x v="5"/>
    <n v="1185732"/>
    <x v="306"/>
    <x v="4"/>
    <s v="Kentucky"/>
    <s v="Louisville"/>
    <x v="3"/>
    <n v="30.000000000000004"/>
    <n v="200"/>
    <n v="60000.000000000007"/>
    <n v="24000.000000000004"/>
    <n v="0.4"/>
    <x v="2"/>
  </r>
  <r>
    <x v="5"/>
    <n v="1185732"/>
    <x v="306"/>
    <x v="4"/>
    <s v="Kentucky"/>
    <s v="Louisville"/>
    <x v="4"/>
    <n v="50"/>
    <n v="200"/>
    <n v="100000"/>
    <n v="35000"/>
    <n v="0.35"/>
    <x v="2"/>
  </r>
  <r>
    <x v="5"/>
    <n v="1185732"/>
    <x v="306"/>
    <x v="4"/>
    <s v="Kentucky"/>
    <s v="Louisville"/>
    <x v="5"/>
    <n v="55.000000000000007"/>
    <n v="375"/>
    <n v="206250.00000000003"/>
    <n v="82500.000000000015"/>
    <n v="0.4"/>
    <x v="2"/>
  </r>
  <r>
    <x v="5"/>
    <n v="1185732"/>
    <x v="335"/>
    <x v="4"/>
    <s v="Kentucky"/>
    <s v="Louisville"/>
    <x v="0"/>
    <n v="50"/>
    <n v="600"/>
    <n v="300000"/>
    <n v="120000"/>
    <n v="0.4"/>
    <x v="2"/>
  </r>
  <r>
    <x v="5"/>
    <n v="1185732"/>
    <x v="335"/>
    <x v="4"/>
    <s v="Kentucky"/>
    <s v="Louisville"/>
    <x v="1"/>
    <n v="45.000000000000007"/>
    <n v="350"/>
    <n v="157500.00000000003"/>
    <n v="55125.000000000007"/>
    <n v="0.35"/>
    <x v="2"/>
  </r>
  <r>
    <x v="5"/>
    <n v="1185732"/>
    <x v="335"/>
    <x v="4"/>
    <s v="Kentucky"/>
    <s v="Louisville"/>
    <x v="2"/>
    <n v="40"/>
    <n v="275"/>
    <n v="110000"/>
    <n v="44000"/>
    <n v="0.4"/>
    <x v="2"/>
  </r>
  <r>
    <x v="5"/>
    <n v="1185732"/>
    <x v="335"/>
    <x v="4"/>
    <s v="Kentucky"/>
    <s v="Louisville"/>
    <x v="3"/>
    <n v="40"/>
    <n v="225"/>
    <n v="90000"/>
    <n v="36000"/>
    <n v="0.4"/>
    <x v="2"/>
  </r>
  <r>
    <x v="5"/>
    <n v="1185732"/>
    <x v="335"/>
    <x v="4"/>
    <s v="Kentucky"/>
    <s v="Louisville"/>
    <x v="4"/>
    <n v="50"/>
    <n v="250"/>
    <n v="125000"/>
    <n v="43750"/>
    <n v="0.35"/>
    <x v="2"/>
  </r>
  <r>
    <x v="5"/>
    <n v="1185732"/>
    <x v="335"/>
    <x v="4"/>
    <s v="Kentucky"/>
    <s v="Louisville"/>
    <x v="5"/>
    <n v="55.000000000000007"/>
    <n v="425"/>
    <n v="233750.00000000003"/>
    <n v="93500.000000000015"/>
    <n v="0.4"/>
    <x v="2"/>
  </r>
  <r>
    <x v="5"/>
    <n v="1185732"/>
    <x v="367"/>
    <x v="4"/>
    <s v="Kentucky"/>
    <s v="Louisville"/>
    <x v="0"/>
    <n v="50"/>
    <n v="575"/>
    <n v="287500"/>
    <n v="115000"/>
    <n v="0.4"/>
    <x v="2"/>
  </r>
  <r>
    <x v="5"/>
    <n v="1185732"/>
    <x v="367"/>
    <x v="4"/>
    <s v="Kentucky"/>
    <s v="Louisville"/>
    <x v="1"/>
    <n v="45.000000000000007"/>
    <n v="350"/>
    <n v="157500.00000000003"/>
    <n v="55125.000000000007"/>
    <n v="0.35"/>
    <x v="2"/>
  </r>
  <r>
    <x v="5"/>
    <n v="1185732"/>
    <x v="367"/>
    <x v="4"/>
    <s v="Kentucky"/>
    <s v="Louisville"/>
    <x v="2"/>
    <n v="40"/>
    <n v="275"/>
    <n v="110000"/>
    <n v="44000"/>
    <n v="0.4"/>
    <x v="2"/>
  </r>
  <r>
    <x v="5"/>
    <n v="1185732"/>
    <x v="367"/>
    <x v="4"/>
    <s v="Kentucky"/>
    <s v="Louisville"/>
    <x v="3"/>
    <n v="40"/>
    <n v="250"/>
    <n v="100000"/>
    <n v="40000"/>
    <n v="0.4"/>
    <x v="2"/>
  </r>
  <r>
    <x v="5"/>
    <n v="1185732"/>
    <x v="367"/>
    <x v="4"/>
    <s v="Kentucky"/>
    <s v="Louisville"/>
    <x v="4"/>
    <n v="50"/>
    <n v="225"/>
    <n v="112500"/>
    <n v="39375"/>
    <n v="0.35"/>
    <x v="2"/>
  </r>
  <r>
    <x v="5"/>
    <n v="1185732"/>
    <x v="367"/>
    <x v="4"/>
    <s v="Kentucky"/>
    <s v="Louisville"/>
    <x v="5"/>
    <n v="55.000000000000007"/>
    <n v="400"/>
    <n v="220000.00000000003"/>
    <n v="88000.000000000015"/>
    <n v="0.4"/>
    <x v="2"/>
  </r>
  <r>
    <x v="5"/>
    <n v="1185732"/>
    <x v="399"/>
    <x v="4"/>
    <s v="Kentucky"/>
    <s v="Louisville"/>
    <x v="0"/>
    <n v="50"/>
    <n v="525"/>
    <n v="262500"/>
    <n v="105000"/>
    <n v="0.4"/>
    <x v="2"/>
  </r>
  <r>
    <x v="5"/>
    <n v="1185732"/>
    <x v="399"/>
    <x v="4"/>
    <s v="Kentucky"/>
    <s v="Louisville"/>
    <x v="1"/>
    <n v="45.000000000000007"/>
    <n v="325"/>
    <n v="146250.00000000003"/>
    <n v="51187.500000000007"/>
    <n v="0.35"/>
    <x v="2"/>
  </r>
  <r>
    <x v="5"/>
    <n v="1185732"/>
    <x v="399"/>
    <x v="4"/>
    <s v="Kentucky"/>
    <s v="Louisville"/>
    <x v="2"/>
    <n v="35"/>
    <n v="225"/>
    <n v="78750"/>
    <n v="31500"/>
    <n v="0.4"/>
    <x v="2"/>
  </r>
  <r>
    <x v="5"/>
    <n v="1185732"/>
    <x v="399"/>
    <x v="4"/>
    <s v="Kentucky"/>
    <s v="Louisville"/>
    <x v="3"/>
    <n v="35"/>
    <n v="200"/>
    <n v="70000"/>
    <n v="28000"/>
    <n v="0.4"/>
    <x v="2"/>
  </r>
  <r>
    <x v="5"/>
    <n v="1185732"/>
    <x v="399"/>
    <x v="4"/>
    <s v="Kentucky"/>
    <s v="Louisville"/>
    <x v="4"/>
    <n v="45"/>
    <n v="200"/>
    <n v="90000"/>
    <n v="31499.999999999996"/>
    <n v="0.35"/>
    <x v="2"/>
  </r>
  <r>
    <x v="5"/>
    <n v="1185732"/>
    <x v="399"/>
    <x v="4"/>
    <s v="Kentucky"/>
    <s v="Louisville"/>
    <x v="5"/>
    <n v="50"/>
    <n v="275"/>
    <n v="137500"/>
    <n v="55000"/>
    <n v="0.4"/>
    <x v="2"/>
  </r>
  <r>
    <x v="5"/>
    <n v="1185732"/>
    <x v="428"/>
    <x v="4"/>
    <s v="Kentucky"/>
    <s v="Louisville"/>
    <x v="0"/>
    <n v="54.999999999999993"/>
    <n v="450"/>
    <n v="247499.99999999997"/>
    <n v="99000"/>
    <n v="0.4"/>
    <x v="2"/>
  </r>
  <r>
    <x v="5"/>
    <n v="1185732"/>
    <x v="428"/>
    <x v="4"/>
    <s v="Kentucky"/>
    <s v="Louisville"/>
    <x v="1"/>
    <n v="45"/>
    <n v="275"/>
    <n v="123750"/>
    <n v="43312.5"/>
    <n v="0.35"/>
    <x v="2"/>
  </r>
  <r>
    <x v="5"/>
    <n v="1185732"/>
    <x v="428"/>
    <x v="4"/>
    <s v="Kentucky"/>
    <s v="Louisville"/>
    <x v="2"/>
    <n v="45"/>
    <n v="175"/>
    <n v="78750"/>
    <n v="31500"/>
    <n v="0.4"/>
    <x v="2"/>
  </r>
  <r>
    <x v="5"/>
    <n v="1185732"/>
    <x v="428"/>
    <x v="4"/>
    <s v="Kentucky"/>
    <s v="Louisville"/>
    <x v="3"/>
    <n v="45"/>
    <n v="150"/>
    <n v="67500"/>
    <n v="27000"/>
    <n v="0.4"/>
    <x v="2"/>
  </r>
  <r>
    <x v="5"/>
    <n v="1185732"/>
    <x v="428"/>
    <x v="4"/>
    <s v="Kentucky"/>
    <s v="Louisville"/>
    <x v="4"/>
    <n v="54.999999999999993"/>
    <n v="150"/>
    <n v="82499.999999999985"/>
    <n v="28874.999999999993"/>
    <n v="0.35"/>
    <x v="2"/>
  </r>
  <r>
    <x v="5"/>
    <n v="1185732"/>
    <x v="428"/>
    <x v="4"/>
    <s v="Kentucky"/>
    <s v="Louisville"/>
    <x v="5"/>
    <n v="54.999999999999993"/>
    <n v="275"/>
    <n v="151249.99999999997"/>
    <n v="60499.999999999993"/>
    <n v="0.4"/>
    <x v="2"/>
  </r>
  <r>
    <x v="5"/>
    <n v="1185732"/>
    <x v="459"/>
    <x v="4"/>
    <s v="Kentucky"/>
    <s v="Louisville"/>
    <x v="0"/>
    <n v="50"/>
    <n v="425"/>
    <n v="212500"/>
    <n v="85000"/>
    <n v="0.4"/>
    <x v="2"/>
  </r>
  <r>
    <x v="5"/>
    <n v="1185732"/>
    <x v="459"/>
    <x v="4"/>
    <s v="Kentucky"/>
    <s v="Louisville"/>
    <x v="1"/>
    <n v="40"/>
    <n v="275"/>
    <n v="110000"/>
    <n v="38500"/>
    <n v="0.35"/>
    <x v="2"/>
  </r>
  <r>
    <x v="5"/>
    <n v="1185732"/>
    <x v="459"/>
    <x v="4"/>
    <s v="Kentucky"/>
    <s v="Louisville"/>
    <x v="2"/>
    <n v="45"/>
    <n v="220"/>
    <n v="99000"/>
    <n v="39600"/>
    <n v="0.4"/>
    <x v="2"/>
  </r>
  <r>
    <x v="0"/>
    <n v="1185732"/>
    <x v="459"/>
    <x v="4"/>
    <s v="Kentucky"/>
    <s v="Louisville"/>
    <x v="3"/>
    <n v="55.000000000000007"/>
    <n v="200"/>
    <n v="110000.00000000001"/>
    <n v="44000.000000000007"/>
    <n v="0.4"/>
    <x v="2"/>
  </r>
  <r>
    <x v="0"/>
    <n v="1185732"/>
    <x v="459"/>
    <x v="4"/>
    <s v="Kentucky"/>
    <s v="Louisville"/>
    <x v="4"/>
    <n v="65"/>
    <n v="175"/>
    <n v="113750"/>
    <n v="39812.5"/>
    <n v="0.35"/>
    <x v="2"/>
  </r>
  <r>
    <x v="0"/>
    <n v="1185732"/>
    <x v="459"/>
    <x v="4"/>
    <s v="Kentucky"/>
    <s v="Louisville"/>
    <x v="5"/>
    <n v="70"/>
    <n v="275"/>
    <n v="192500"/>
    <n v="77000"/>
    <n v="0.4"/>
    <x v="2"/>
  </r>
  <r>
    <x v="0"/>
    <n v="1185732"/>
    <x v="488"/>
    <x v="4"/>
    <s v="Kentucky"/>
    <s v="Louisville"/>
    <x v="0"/>
    <n v="65"/>
    <n v="525"/>
    <n v="341250"/>
    <n v="136500"/>
    <n v="0.4"/>
    <x v="2"/>
  </r>
  <r>
    <x v="0"/>
    <n v="1185732"/>
    <x v="488"/>
    <x v="4"/>
    <s v="Kentucky"/>
    <s v="Louisville"/>
    <x v="1"/>
    <n v="55.000000000000007"/>
    <n v="325"/>
    <n v="178750.00000000003"/>
    <n v="62562.500000000007"/>
    <n v="0.35"/>
    <x v="2"/>
  </r>
  <r>
    <x v="0"/>
    <n v="1185732"/>
    <x v="488"/>
    <x v="4"/>
    <s v="Kentucky"/>
    <s v="Louisville"/>
    <x v="2"/>
    <n v="55.000000000000007"/>
    <n v="275"/>
    <n v="151250.00000000003"/>
    <n v="60500.000000000015"/>
    <n v="0.4"/>
    <x v="2"/>
  </r>
  <r>
    <x v="0"/>
    <n v="1185732"/>
    <x v="488"/>
    <x v="4"/>
    <s v="Kentucky"/>
    <s v="Louisville"/>
    <x v="3"/>
    <n v="50"/>
    <n v="225"/>
    <n v="112500"/>
    <n v="45000"/>
    <n v="0.4"/>
    <x v="2"/>
  </r>
  <r>
    <x v="0"/>
    <n v="1185732"/>
    <x v="488"/>
    <x v="4"/>
    <s v="Kentucky"/>
    <s v="Louisville"/>
    <x v="4"/>
    <n v="60"/>
    <n v="225"/>
    <n v="135000"/>
    <n v="47250"/>
    <n v="0.35"/>
    <x v="2"/>
  </r>
  <r>
    <x v="0"/>
    <n v="1185732"/>
    <x v="488"/>
    <x v="4"/>
    <s v="Kentucky"/>
    <s v="Louisville"/>
    <x v="5"/>
    <n v="64.999999999999986"/>
    <n v="325"/>
    <n v="211249.99999999994"/>
    <n v="84499.999999999985"/>
    <n v="0.4"/>
    <x v="2"/>
  </r>
  <r>
    <x v="0"/>
    <n v="1185732"/>
    <x v="184"/>
    <x v="4"/>
    <s v="Kentucky"/>
    <s v="Louisville"/>
    <x v="0"/>
    <n v="30.000000000000004"/>
    <n v="725"/>
    <n v="217500.00000000003"/>
    <n v="87000.000000000015"/>
    <n v="0.4"/>
    <x v="2"/>
  </r>
  <r>
    <x v="0"/>
    <n v="1185732"/>
    <x v="184"/>
    <x v="4"/>
    <s v="Kentucky"/>
    <s v="Louisville"/>
    <x v="1"/>
    <n v="30.000000000000004"/>
    <n v="525"/>
    <n v="157500.00000000003"/>
    <n v="55125.000000000007"/>
    <n v="0.35"/>
    <x v="2"/>
  </r>
  <r>
    <x v="0"/>
    <n v="1185732"/>
    <x v="184"/>
    <x v="4"/>
    <s v="Kentucky"/>
    <s v="Louisville"/>
    <x v="2"/>
    <n v="20.000000000000007"/>
    <n v="525"/>
    <n v="105000.00000000004"/>
    <n v="42000.000000000022"/>
    <n v="0.4"/>
    <x v="2"/>
  </r>
  <r>
    <x v="0"/>
    <n v="1185732"/>
    <x v="184"/>
    <x v="4"/>
    <s v="Kentucky"/>
    <s v="Louisville"/>
    <x v="3"/>
    <n v="25"/>
    <n v="375"/>
    <n v="93750"/>
    <n v="37500"/>
    <n v="0.4"/>
    <x v="2"/>
  </r>
  <r>
    <x v="0"/>
    <n v="1185732"/>
    <x v="184"/>
    <x v="4"/>
    <s v="Kentucky"/>
    <s v="Louisville"/>
    <x v="4"/>
    <n v="40"/>
    <n v="425"/>
    <n v="170000"/>
    <n v="59499.999999999993"/>
    <n v="0.35"/>
    <x v="2"/>
  </r>
  <r>
    <x v="0"/>
    <n v="1185732"/>
    <x v="184"/>
    <x v="4"/>
    <s v="Kentucky"/>
    <s v="Louisville"/>
    <x v="5"/>
    <n v="30.000000000000004"/>
    <n v="525"/>
    <n v="157500.00000000003"/>
    <n v="78750.000000000015"/>
    <n v="0.5"/>
    <x v="2"/>
  </r>
  <r>
    <x v="0"/>
    <n v="1185732"/>
    <x v="213"/>
    <x v="4"/>
    <s v="Kentucky"/>
    <s v="Louisville"/>
    <x v="0"/>
    <n v="30.000000000000004"/>
    <n v="775"/>
    <n v="232500.00000000003"/>
    <n v="93000.000000000015"/>
    <n v="0.4"/>
    <x v="2"/>
  </r>
  <r>
    <x v="0"/>
    <n v="1185732"/>
    <x v="213"/>
    <x v="4"/>
    <s v="Kentucky"/>
    <s v="Louisville"/>
    <x v="1"/>
    <n v="30.000000000000004"/>
    <n v="425"/>
    <n v="127500.00000000001"/>
    <n v="44625"/>
    <n v="0.35"/>
    <x v="2"/>
  </r>
  <r>
    <x v="0"/>
    <n v="1185732"/>
    <x v="213"/>
    <x v="4"/>
    <s v="Kentucky"/>
    <s v="Louisville"/>
    <x v="2"/>
    <n v="20.000000000000007"/>
    <n v="475"/>
    <n v="95000.000000000029"/>
    <n v="38000.000000000015"/>
    <n v="0.4"/>
    <x v="2"/>
  </r>
  <r>
    <x v="0"/>
    <n v="1185732"/>
    <x v="213"/>
    <x v="1"/>
    <s v="Mississippi"/>
    <s v="Jackson"/>
    <x v="3"/>
    <n v="25"/>
    <n v="325"/>
    <n v="81250"/>
    <n v="32500"/>
    <n v="0.4"/>
    <x v="2"/>
  </r>
  <r>
    <x v="0"/>
    <n v="1185732"/>
    <x v="213"/>
    <x v="1"/>
    <s v="Mississippi"/>
    <s v="Jackson"/>
    <x v="4"/>
    <n v="40"/>
    <n v="400"/>
    <n v="160000"/>
    <n v="56000"/>
    <n v="0.35"/>
    <x v="2"/>
  </r>
  <r>
    <x v="0"/>
    <n v="1185732"/>
    <x v="213"/>
    <x v="1"/>
    <s v="Mississippi"/>
    <s v="Jackson"/>
    <x v="5"/>
    <n v="25"/>
    <n v="500"/>
    <n v="125000"/>
    <n v="62500"/>
    <n v="0.5"/>
    <x v="2"/>
  </r>
  <r>
    <x v="0"/>
    <n v="1185732"/>
    <x v="221"/>
    <x v="1"/>
    <s v="Mississippi"/>
    <s v="Jackson"/>
    <x v="0"/>
    <n v="25"/>
    <n v="720"/>
    <n v="180000"/>
    <n v="72000"/>
    <n v="0.4"/>
    <x v="2"/>
  </r>
  <r>
    <x v="0"/>
    <n v="1185732"/>
    <x v="221"/>
    <x v="1"/>
    <s v="Mississippi"/>
    <s v="Jackson"/>
    <x v="1"/>
    <n v="25"/>
    <n v="400"/>
    <n v="100000"/>
    <n v="35000"/>
    <n v="0.35"/>
    <x v="2"/>
  </r>
  <r>
    <x v="0"/>
    <n v="1185732"/>
    <x v="221"/>
    <x v="1"/>
    <s v="Mississippi"/>
    <s v="Jackson"/>
    <x v="2"/>
    <n v="15.000000000000002"/>
    <n v="425"/>
    <n v="63750.000000000007"/>
    <n v="25500.000000000004"/>
    <n v="0.4"/>
    <x v="2"/>
  </r>
  <r>
    <x v="0"/>
    <n v="1185732"/>
    <x v="221"/>
    <x v="1"/>
    <s v="Mississippi"/>
    <s v="Jackson"/>
    <x v="3"/>
    <n v="19.999999999999996"/>
    <n v="275"/>
    <n v="54999.999999999993"/>
    <n v="22000"/>
    <n v="0.4"/>
    <x v="2"/>
  </r>
  <r>
    <x v="0"/>
    <n v="1185732"/>
    <x v="221"/>
    <x v="1"/>
    <s v="Mississippi"/>
    <s v="Jackson"/>
    <x v="4"/>
    <n v="35.000000000000007"/>
    <n v="325"/>
    <n v="113750.00000000003"/>
    <n v="39812.500000000007"/>
    <n v="0.35"/>
    <x v="2"/>
  </r>
  <r>
    <x v="0"/>
    <n v="1185732"/>
    <x v="221"/>
    <x v="1"/>
    <s v="Mississippi"/>
    <s v="Jackson"/>
    <x v="5"/>
    <n v="25"/>
    <n v="425"/>
    <n v="106250"/>
    <n v="53125"/>
    <n v="0.5"/>
    <x v="2"/>
  </r>
  <r>
    <x v="0"/>
    <n v="1185732"/>
    <x v="240"/>
    <x v="1"/>
    <s v="Mississippi"/>
    <s v="Jackson"/>
    <x v="0"/>
    <n v="25"/>
    <n v="675"/>
    <n v="168750"/>
    <n v="67500"/>
    <n v="0.4"/>
    <x v="2"/>
  </r>
  <r>
    <x v="0"/>
    <n v="1185732"/>
    <x v="240"/>
    <x v="1"/>
    <s v="Mississippi"/>
    <s v="Jackson"/>
    <x v="1"/>
    <n v="25"/>
    <n v="375"/>
    <n v="93750"/>
    <n v="32812.5"/>
    <n v="0.35"/>
    <x v="2"/>
  </r>
  <r>
    <x v="0"/>
    <n v="1185732"/>
    <x v="240"/>
    <x v="1"/>
    <s v="Mississippi"/>
    <s v="Jackson"/>
    <x v="2"/>
    <n v="15.000000000000002"/>
    <n v="375"/>
    <n v="56250.000000000007"/>
    <n v="22500.000000000004"/>
    <n v="0.4"/>
    <x v="2"/>
  </r>
  <r>
    <x v="0"/>
    <n v="1185732"/>
    <x v="240"/>
    <x v="1"/>
    <s v="Mississippi"/>
    <s v="Jackson"/>
    <x v="3"/>
    <n v="19.999999999999996"/>
    <n v="300"/>
    <n v="59999.999999999993"/>
    <n v="24000"/>
    <n v="0.4"/>
    <x v="2"/>
  </r>
  <r>
    <x v="0"/>
    <n v="1185732"/>
    <x v="240"/>
    <x v="1"/>
    <s v="Mississippi"/>
    <s v="Jackson"/>
    <x v="4"/>
    <n v="40"/>
    <n v="325"/>
    <n v="130000"/>
    <n v="45500"/>
    <n v="0.35"/>
    <x v="2"/>
  </r>
  <r>
    <x v="0"/>
    <n v="1185732"/>
    <x v="240"/>
    <x v="1"/>
    <s v="Mississippi"/>
    <s v="Jackson"/>
    <x v="5"/>
    <n v="30.000000000000004"/>
    <n v="475"/>
    <n v="142500.00000000003"/>
    <n v="71250.000000000015"/>
    <n v="0.5"/>
    <x v="2"/>
  </r>
  <r>
    <x v="0"/>
    <n v="1185732"/>
    <x v="269"/>
    <x v="1"/>
    <s v="Mississippi"/>
    <s v="Jackson"/>
    <x v="0"/>
    <n v="40"/>
    <n v="745"/>
    <n v="298000"/>
    <n v="119200"/>
    <n v="0.4"/>
    <x v="2"/>
  </r>
  <r>
    <x v="0"/>
    <n v="1185732"/>
    <x v="269"/>
    <x v="1"/>
    <s v="Mississippi"/>
    <s v="Jackson"/>
    <x v="1"/>
    <n v="40"/>
    <n v="450"/>
    <n v="180000"/>
    <n v="62999.999999999993"/>
    <n v="0.35"/>
    <x v="2"/>
  </r>
  <r>
    <x v="0"/>
    <n v="1185732"/>
    <x v="269"/>
    <x v="1"/>
    <s v="Mississippi"/>
    <s v="Jackson"/>
    <x v="2"/>
    <n v="35"/>
    <n v="425"/>
    <n v="148750"/>
    <n v="59500"/>
    <n v="0.4"/>
    <x v="2"/>
  </r>
  <r>
    <x v="0"/>
    <n v="1185732"/>
    <x v="269"/>
    <x v="1"/>
    <s v="Mississippi"/>
    <s v="Jackson"/>
    <x v="3"/>
    <n v="35"/>
    <n v="375"/>
    <n v="131250"/>
    <n v="52500"/>
    <n v="0.4"/>
    <x v="2"/>
  </r>
  <r>
    <x v="0"/>
    <n v="1185732"/>
    <x v="269"/>
    <x v="1"/>
    <s v="Mississippi"/>
    <s v="Jackson"/>
    <x v="4"/>
    <n v="44.999999999999993"/>
    <n v="400"/>
    <n v="179999.99999999997"/>
    <n v="62999.999999999985"/>
    <n v="0.35"/>
    <x v="2"/>
  </r>
  <r>
    <x v="0"/>
    <n v="1185732"/>
    <x v="269"/>
    <x v="1"/>
    <s v="Mississippi"/>
    <s v="Jackson"/>
    <x v="5"/>
    <n v="49.999999999999993"/>
    <n v="500"/>
    <n v="249999.99999999997"/>
    <n v="124999.99999999999"/>
    <n v="0.5"/>
    <x v="2"/>
  </r>
  <r>
    <x v="0"/>
    <n v="1185732"/>
    <x v="302"/>
    <x v="1"/>
    <s v="Mississippi"/>
    <s v="Jackson"/>
    <x v="0"/>
    <n v="44.999999999999993"/>
    <n v="750"/>
    <n v="337499.99999999994"/>
    <n v="134999.99999999997"/>
    <n v="0.4"/>
    <x v="2"/>
  </r>
  <r>
    <x v="0"/>
    <n v="1185732"/>
    <x v="302"/>
    <x v="1"/>
    <s v="Mississippi"/>
    <s v="Jackson"/>
    <x v="1"/>
    <n v="40"/>
    <n v="500"/>
    <n v="200000"/>
    <n v="70000"/>
    <n v="0.35"/>
    <x v="2"/>
  </r>
  <r>
    <x v="0"/>
    <n v="1185732"/>
    <x v="302"/>
    <x v="1"/>
    <s v="Mississippi"/>
    <s v="Jackson"/>
    <x v="2"/>
    <n v="45"/>
    <n v="475"/>
    <n v="213750"/>
    <n v="85500"/>
    <n v="0.4"/>
    <x v="2"/>
  </r>
  <r>
    <x v="0"/>
    <n v="1185732"/>
    <x v="302"/>
    <x v="1"/>
    <s v="Mississippi"/>
    <s v="Jackson"/>
    <x v="3"/>
    <n v="45"/>
    <n v="450"/>
    <n v="202500"/>
    <n v="81000"/>
    <n v="0.4"/>
    <x v="2"/>
  </r>
  <r>
    <x v="0"/>
    <n v="1185732"/>
    <x v="302"/>
    <x v="1"/>
    <s v="Mississippi"/>
    <s v="Jackson"/>
    <x v="4"/>
    <n v="60"/>
    <n v="450"/>
    <n v="270000"/>
    <n v="94500"/>
    <n v="0.35"/>
    <x v="2"/>
  </r>
  <r>
    <x v="0"/>
    <n v="1185732"/>
    <x v="302"/>
    <x v="1"/>
    <s v="Mississippi"/>
    <s v="Jackson"/>
    <x v="5"/>
    <n v="65"/>
    <n v="625"/>
    <n v="406250"/>
    <n v="203125"/>
    <n v="0.5"/>
    <x v="2"/>
  </r>
  <r>
    <x v="0"/>
    <n v="1185732"/>
    <x v="330"/>
    <x v="1"/>
    <s v="Mississippi"/>
    <s v="Jackson"/>
    <x v="0"/>
    <n v="60"/>
    <n v="850"/>
    <n v="510000"/>
    <n v="204000"/>
    <n v="0.4"/>
    <x v="2"/>
  </r>
  <r>
    <x v="1"/>
    <n v="1185732"/>
    <x v="330"/>
    <x v="1"/>
    <s v="Mississippi"/>
    <s v="Jackson"/>
    <x v="1"/>
    <n v="55.000000000000007"/>
    <n v="600"/>
    <n v="330000.00000000006"/>
    <n v="115500.00000000001"/>
    <n v="0.35"/>
    <x v="2"/>
  </r>
  <r>
    <x v="1"/>
    <n v="1185732"/>
    <x v="330"/>
    <x v="1"/>
    <s v="Mississippi"/>
    <s v="Jackson"/>
    <x v="2"/>
    <n v="50"/>
    <n v="525"/>
    <n v="262500"/>
    <n v="105000"/>
    <n v="0.4"/>
    <x v="2"/>
  </r>
  <r>
    <x v="1"/>
    <n v="1185732"/>
    <x v="330"/>
    <x v="1"/>
    <s v="Mississippi"/>
    <s v="Jackson"/>
    <x v="3"/>
    <n v="50"/>
    <n v="475"/>
    <n v="237500"/>
    <n v="95000"/>
    <n v="0.4"/>
    <x v="2"/>
  </r>
  <r>
    <x v="1"/>
    <n v="1185732"/>
    <x v="330"/>
    <x v="1"/>
    <s v="Mississippi"/>
    <s v="Jackson"/>
    <x v="4"/>
    <n v="60"/>
    <n v="500"/>
    <n v="300000"/>
    <n v="105000"/>
    <n v="0.35"/>
    <x v="2"/>
  </r>
  <r>
    <x v="1"/>
    <n v="1185732"/>
    <x v="330"/>
    <x v="1"/>
    <s v="Mississippi"/>
    <s v="Jackson"/>
    <x v="5"/>
    <n v="65"/>
    <n v="675"/>
    <n v="438750"/>
    <n v="219375"/>
    <n v="0.5"/>
    <x v="2"/>
  </r>
  <r>
    <x v="1"/>
    <n v="1185732"/>
    <x v="362"/>
    <x v="1"/>
    <s v="Mississippi"/>
    <s v="Jackson"/>
    <x v="0"/>
    <n v="60"/>
    <n v="825"/>
    <n v="495000"/>
    <n v="198000"/>
    <n v="0.4"/>
    <x v="2"/>
  </r>
  <r>
    <x v="1"/>
    <n v="1185732"/>
    <x v="362"/>
    <x v="1"/>
    <s v="Mississippi"/>
    <s v="Jackson"/>
    <x v="1"/>
    <n v="55.000000000000007"/>
    <n v="600"/>
    <n v="330000.00000000006"/>
    <n v="115500.00000000001"/>
    <n v="0.35"/>
    <x v="2"/>
  </r>
  <r>
    <x v="1"/>
    <n v="1185732"/>
    <x v="362"/>
    <x v="1"/>
    <s v="Mississippi"/>
    <s v="Jackson"/>
    <x v="2"/>
    <n v="50"/>
    <n v="525"/>
    <n v="262500"/>
    <n v="105000"/>
    <n v="0.4"/>
    <x v="2"/>
  </r>
  <r>
    <x v="1"/>
    <n v="1185732"/>
    <x v="362"/>
    <x v="1"/>
    <s v="Mississippi"/>
    <s v="Jackson"/>
    <x v="3"/>
    <n v="40"/>
    <n v="475"/>
    <n v="190000"/>
    <n v="76000"/>
    <n v="0.4"/>
    <x v="2"/>
  </r>
  <r>
    <x v="1"/>
    <n v="1185732"/>
    <x v="362"/>
    <x v="1"/>
    <s v="Mississippi"/>
    <s v="Jackson"/>
    <x v="4"/>
    <n v="50"/>
    <n v="450"/>
    <n v="225000"/>
    <n v="78750"/>
    <n v="0.35"/>
    <x v="2"/>
  </r>
  <r>
    <x v="1"/>
    <n v="1185732"/>
    <x v="362"/>
    <x v="1"/>
    <s v="Mississippi"/>
    <s v="Jackson"/>
    <x v="5"/>
    <n v="55.000000000000007"/>
    <n v="625"/>
    <n v="343750.00000000006"/>
    <n v="171875.00000000003"/>
    <n v="0.5"/>
    <x v="2"/>
  </r>
  <r>
    <x v="1"/>
    <n v="1185732"/>
    <x v="392"/>
    <x v="1"/>
    <s v="Mississippi"/>
    <s v="Jackson"/>
    <x v="0"/>
    <n v="50"/>
    <n v="725"/>
    <n v="362500"/>
    <n v="145000"/>
    <n v="0.4"/>
    <x v="2"/>
  </r>
  <r>
    <x v="1"/>
    <n v="1185732"/>
    <x v="392"/>
    <x v="1"/>
    <s v="Mississippi"/>
    <s v="Jackson"/>
    <x v="1"/>
    <n v="45.000000000000014"/>
    <n v="525"/>
    <n v="236250.00000000009"/>
    <n v="82687.500000000029"/>
    <n v="0.35"/>
    <x v="2"/>
  </r>
  <r>
    <x v="1"/>
    <n v="1185732"/>
    <x v="392"/>
    <x v="1"/>
    <s v="Mississippi"/>
    <s v="Jackson"/>
    <x v="2"/>
    <n v="20.000000000000007"/>
    <n v="425"/>
    <n v="85000.000000000029"/>
    <n v="34000.000000000015"/>
    <n v="0.4"/>
    <x v="2"/>
  </r>
  <r>
    <x v="1"/>
    <n v="1185732"/>
    <x v="392"/>
    <x v="1"/>
    <s v="Mississippi"/>
    <s v="Jackson"/>
    <x v="3"/>
    <n v="20.000000000000007"/>
    <n v="400"/>
    <n v="80000.000000000029"/>
    <n v="32000.000000000015"/>
    <n v="0.4"/>
    <x v="2"/>
  </r>
  <r>
    <x v="1"/>
    <n v="1185732"/>
    <x v="392"/>
    <x v="1"/>
    <s v="Mississippi"/>
    <s v="Jackson"/>
    <x v="4"/>
    <n v="30.000000000000004"/>
    <n v="400"/>
    <n v="120000.00000000001"/>
    <n v="42000"/>
    <n v="0.35"/>
    <x v="2"/>
  </r>
  <r>
    <x v="1"/>
    <n v="1185732"/>
    <x v="392"/>
    <x v="1"/>
    <s v="Mississippi"/>
    <s v="Jackson"/>
    <x v="5"/>
    <n v="35.000000000000007"/>
    <n v="500"/>
    <n v="175000.00000000003"/>
    <n v="87500.000000000015"/>
    <n v="0.5"/>
    <x v="2"/>
  </r>
  <r>
    <x v="1"/>
    <n v="1185732"/>
    <x v="424"/>
    <x v="1"/>
    <s v="Mississippi"/>
    <s v="Jackson"/>
    <x v="0"/>
    <n v="35.000000000000007"/>
    <n v="675"/>
    <n v="236250.00000000006"/>
    <n v="94500.000000000029"/>
    <n v="0.4"/>
    <x v="2"/>
  </r>
  <r>
    <x v="1"/>
    <n v="1185732"/>
    <x v="424"/>
    <x v="1"/>
    <s v="Mississippi"/>
    <s v="Jackson"/>
    <x v="1"/>
    <n v="25.000000000000011"/>
    <n v="500"/>
    <n v="125000.00000000006"/>
    <n v="43750.000000000015"/>
    <n v="0.35"/>
    <x v="2"/>
  </r>
  <r>
    <x v="1"/>
    <n v="1185732"/>
    <x v="424"/>
    <x v="1"/>
    <s v="Mississippi"/>
    <s v="Jackson"/>
    <x v="2"/>
    <n v="25.000000000000011"/>
    <n v="375"/>
    <n v="93750.000000000044"/>
    <n v="37500.000000000022"/>
    <n v="0.4"/>
    <x v="2"/>
  </r>
  <r>
    <x v="1"/>
    <n v="1185732"/>
    <x v="424"/>
    <x v="1"/>
    <s v="Mississippi"/>
    <s v="Jackson"/>
    <x v="3"/>
    <n v="25.000000000000011"/>
    <n v="350"/>
    <n v="87500.000000000044"/>
    <n v="35000.000000000022"/>
    <n v="0.4"/>
    <x v="2"/>
  </r>
  <r>
    <x v="1"/>
    <n v="1185732"/>
    <x v="424"/>
    <x v="1"/>
    <s v="Mississippi"/>
    <s v="Jackson"/>
    <x v="4"/>
    <n v="35.000000000000007"/>
    <n v="350"/>
    <n v="122500.00000000003"/>
    <n v="42875.000000000007"/>
    <n v="0.35"/>
    <x v="2"/>
  </r>
  <r>
    <x v="2"/>
    <n v="1185732"/>
    <x v="424"/>
    <x v="1"/>
    <s v="Mississippi"/>
    <s v="Jackson"/>
    <x v="5"/>
    <n v="35"/>
    <n v="475"/>
    <n v="166250"/>
    <n v="83125"/>
    <n v="0.5"/>
    <x v="2"/>
  </r>
  <r>
    <x v="2"/>
    <n v="1185732"/>
    <x v="454"/>
    <x v="1"/>
    <s v="Mississippi"/>
    <s v="Jackson"/>
    <x v="0"/>
    <n v="30.000000000000011"/>
    <n v="625"/>
    <n v="187500.00000000006"/>
    <n v="75000.000000000029"/>
    <n v="0.4"/>
    <x v="2"/>
  </r>
  <r>
    <x v="2"/>
    <n v="1185732"/>
    <x v="454"/>
    <x v="1"/>
    <s v="Mississippi"/>
    <s v="Jackson"/>
    <x v="1"/>
    <n v="20.000000000000011"/>
    <n v="450"/>
    <n v="90000.000000000044"/>
    <n v="31500.000000000015"/>
    <n v="0.35"/>
    <x v="2"/>
  </r>
  <r>
    <x v="2"/>
    <n v="1185732"/>
    <x v="454"/>
    <x v="1"/>
    <s v="Mississippi"/>
    <s v="Jackson"/>
    <x v="2"/>
    <n v="30.000000000000014"/>
    <n v="395"/>
    <n v="118500.00000000006"/>
    <n v="47400.000000000029"/>
    <n v="0.4"/>
    <x v="2"/>
  </r>
  <r>
    <x v="2"/>
    <n v="1185732"/>
    <x v="454"/>
    <x v="1"/>
    <s v="Mississippi"/>
    <s v="Jackson"/>
    <x v="3"/>
    <n v="60.000000000000021"/>
    <n v="450"/>
    <n v="270000.00000000012"/>
    <n v="108000.00000000006"/>
    <n v="0.4"/>
    <x v="2"/>
  </r>
  <r>
    <x v="2"/>
    <n v="1185732"/>
    <x v="454"/>
    <x v="1"/>
    <s v="Mississippi"/>
    <s v="Jackson"/>
    <x v="4"/>
    <n v="75.000000000000014"/>
    <n v="425"/>
    <n v="318750.00000000006"/>
    <n v="111562.50000000001"/>
    <n v="0.35"/>
    <x v="2"/>
  </r>
  <r>
    <x v="2"/>
    <n v="1185732"/>
    <x v="454"/>
    <x v="1"/>
    <s v="Mississippi"/>
    <s v="Jackson"/>
    <x v="5"/>
    <n v="75"/>
    <n v="525"/>
    <n v="393750"/>
    <n v="196875"/>
    <n v="0.5"/>
    <x v="2"/>
  </r>
  <r>
    <x v="2"/>
    <n v="1185732"/>
    <x v="483"/>
    <x v="1"/>
    <s v="Mississippi"/>
    <s v="Jackson"/>
    <x v="0"/>
    <n v="70"/>
    <n v="775"/>
    <n v="542500"/>
    <n v="217000"/>
    <n v="0.4"/>
    <x v="2"/>
  </r>
  <r>
    <x v="2"/>
    <n v="1185732"/>
    <x v="483"/>
    <x v="1"/>
    <s v="Mississippi"/>
    <s v="Jackson"/>
    <x v="1"/>
    <n v="60.000000000000007"/>
    <n v="575"/>
    <n v="345000.00000000006"/>
    <n v="120750.00000000001"/>
    <n v="0.35"/>
    <x v="2"/>
  </r>
  <r>
    <x v="2"/>
    <n v="1185732"/>
    <x v="483"/>
    <x v="1"/>
    <s v="Mississippi"/>
    <s v="Jackson"/>
    <x v="2"/>
    <n v="60.000000000000007"/>
    <n v="525"/>
    <n v="315000.00000000006"/>
    <n v="126000.00000000003"/>
    <n v="0.4"/>
    <x v="2"/>
  </r>
  <r>
    <x v="2"/>
    <n v="1185732"/>
    <x v="483"/>
    <x v="1"/>
    <s v="Mississippi"/>
    <s v="Jackson"/>
    <x v="3"/>
    <n v="60.000000000000007"/>
    <n v="475"/>
    <n v="285000.00000000006"/>
    <n v="114000.00000000003"/>
    <n v="0.4"/>
    <x v="2"/>
  </r>
  <r>
    <x v="2"/>
    <n v="1185732"/>
    <x v="483"/>
    <x v="1"/>
    <s v="Mississippi"/>
    <s v="Jackson"/>
    <x v="4"/>
    <n v="70"/>
    <n v="475"/>
    <n v="332500"/>
    <n v="116374.99999999999"/>
    <n v="0.35"/>
    <x v="2"/>
  </r>
  <r>
    <x v="2"/>
    <n v="1185732"/>
    <x v="483"/>
    <x v="1"/>
    <s v="Mississippi"/>
    <s v="Jackson"/>
    <x v="5"/>
    <n v="75"/>
    <n v="575"/>
    <n v="431250"/>
    <n v="215625"/>
    <n v="0.5"/>
    <x v="2"/>
  </r>
  <r>
    <x v="2"/>
    <n v="1197831"/>
    <x v="187"/>
    <x v="1"/>
    <s v="Mississippi"/>
    <s v="Jackson"/>
    <x v="0"/>
    <n v="25.000000000000007"/>
    <n v="650"/>
    <n v="162500.00000000006"/>
    <n v="65000.000000000029"/>
    <n v="0.4"/>
    <x v="2"/>
  </r>
  <r>
    <x v="2"/>
    <n v="1197831"/>
    <x v="187"/>
    <x v="1"/>
    <s v="Mississippi"/>
    <s v="Jackson"/>
    <x v="1"/>
    <n v="25.000000000000007"/>
    <n v="450"/>
    <n v="112500.00000000003"/>
    <n v="39375.000000000007"/>
    <n v="0.35"/>
    <x v="2"/>
  </r>
  <r>
    <x v="2"/>
    <n v="1197831"/>
    <x v="187"/>
    <x v="1"/>
    <s v="Mississippi"/>
    <s v="Jackson"/>
    <x v="2"/>
    <n v="15.000000000000007"/>
    <n v="450"/>
    <n v="67500.000000000029"/>
    <n v="27000.000000000015"/>
    <n v="0.4"/>
    <x v="2"/>
  </r>
  <r>
    <x v="2"/>
    <n v="1197831"/>
    <x v="187"/>
    <x v="1"/>
    <s v="Mississippi"/>
    <s v="Jackson"/>
    <x v="3"/>
    <n v="20"/>
    <n v="300"/>
    <n v="60000"/>
    <n v="24000"/>
    <n v="0.4"/>
    <x v="2"/>
  </r>
  <r>
    <x v="2"/>
    <n v="1197831"/>
    <x v="187"/>
    <x v="1"/>
    <s v="Mississippi"/>
    <s v="Jackson"/>
    <x v="4"/>
    <n v="35"/>
    <n v="350"/>
    <n v="122500"/>
    <n v="42875"/>
    <n v="0.35"/>
    <x v="2"/>
  </r>
  <r>
    <x v="2"/>
    <n v="1197831"/>
    <x v="187"/>
    <x v="1"/>
    <s v="Mississippi"/>
    <s v="Jackson"/>
    <x v="5"/>
    <n v="25.000000000000007"/>
    <n v="450"/>
    <n v="112500.00000000003"/>
    <n v="45000.000000000015"/>
    <n v="0.4"/>
    <x v="2"/>
  </r>
  <r>
    <x v="2"/>
    <n v="1197831"/>
    <x v="695"/>
    <x v="1"/>
    <s v="Mississippi"/>
    <s v="Jackson"/>
    <x v="0"/>
    <n v="25.000000000000007"/>
    <n v="700"/>
    <n v="175000.00000000006"/>
    <n v="70000.000000000029"/>
    <n v="0.4"/>
    <x v="2"/>
  </r>
  <r>
    <x v="2"/>
    <n v="1197831"/>
    <x v="695"/>
    <x v="1"/>
    <s v="Mississippi"/>
    <s v="Jackson"/>
    <x v="1"/>
    <n v="25.000000000000007"/>
    <n v="350"/>
    <n v="87500.000000000029"/>
    <n v="30625.000000000007"/>
    <n v="0.35"/>
    <x v="2"/>
  </r>
  <r>
    <x v="2"/>
    <n v="1197831"/>
    <x v="695"/>
    <x v="1"/>
    <s v="Mississippi"/>
    <s v="Jackson"/>
    <x v="2"/>
    <n v="15.000000000000007"/>
    <n v="400"/>
    <n v="60000.000000000029"/>
    <n v="24000.000000000015"/>
    <n v="0.4"/>
    <x v="2"/>
  </r>
  <r>
    <x v="1"/>
    <n v="1197831"/>
    <x v="695"/>
    <x v="1"/>
    <s v="Arkansas"/>
    <s v="Little Rock"/>
    <x v="3"/>
    <n v="20"/>
    <n v="250"/>
    <n v="50000"/>
    <n v="20000"/>
    <n v="0.4"/>
    <x v="2"/>
  </r>
  <r>
    <x v="1"/>
    <n v="1197831"/>
    <x v="695"/>
    <x v="1"/>
    <s v="Arkansas"/>
    <s v="Little Rock"/>
    <x v="4"/>
    <n v="35"/>
    <n v="325"/>
    <n v="113750"/>
    <n v="39812.5"/>
    <n v="0.35"/>
    <x v="2"/>
  </r>
  <r>
    <x v="1"/>
    <n v="1197831"/>
    <x v="695"/>
    <x v="1"/>
    <s v="Arkansas"/>
    <s v="Little Rock"/>
    <x v="5"/>
    <n v="20"/>
    <n v="425"/>
    <n v="85000"/>
    <n v="34000"/>
    <n v="0.4"/>
    <x v="2"/>
  </r>
  <r>
    <x v="1"/>
    <n v="1197831"/>
    <x v="224"/>
    <x v="1"/>
    <s v="Arkansas"/>
    <s v="Little Rock"/>
    <x v="0"/>
    <n v="20"/>
    <n v="645"/>
    <n v="129000"/>
    <n v="51600"/>
    <n v="0.4"/>
    <x v="2"/>
  </r>
  <r>
    <x v="1"/>
    <n v="1197831"/>
    <x v="224"/>
    <x v="1"/>
    <s v="Arkansas"/>
    <s v="Little Rock"/>
    <x v="1"/>
    <n v="20"/>
    <n v="325"/>
    <n v="65000"/>
    <n v="22750"/>
    <n v="0.35"/>
    <x v="2"/>
  </r>
  <r>
    <x v="1"/>
    <n v="1197831"/>
    <x v="224"/>
    <x v="1"/>
    <s v="Arkansas"/>
    <s v="Little Rock"/>
    <x v="2"/>
    <n v="10.000000000000002"/>
    <n v="350"/>
    <n v="35000.000000000007"/>
    <n v="14000.000000000004"/>
    <n v="0.4"/>
    <x v="2"/>
  </r>
  <r>
    <x v="1"/>
    <n v="1197831"/>
    <x v="224"/>
    <x v="1"/>
    <s v="Arkansas"/>
    <s v="Little Rock"/>
    <x v="3"/>
    <n v="19.999999999999996"/>
    <n v="200"/>
    <n v="39999.999999999993"/>
    <n v="15999.999999999998"/>
    <n v="0.4"/>
    <x v="2"/>
  </r>
  <r>
    <x v="1"/>
    <n v="1197831"/>
    <x v="224"/>
    <x v="1"/>
    <s v="Arkansas"/>
    <s v="Little Rock"/>
    <x v="4"/>
    <n v="35.000000000000007"/>
    <n v="250"/>
    <n v="87500.000000000015"/>
    <n v="30625.000000000004"/>
    <n v="0.35"/>
    <x v="2"/>
  </r>
  <r>
    <x v="1"/>
    <n v="1197831"/>
    <x v="224"/>
    <x v="1"/>
    <s v="Arkansas"/>
    <s v="Little Rock"/>
    <x v="5"/>
    <n v="25"/>
    <n v="350"/>
    <n v="87500"/>
    <n v="35000"/>
    <n v="0.4"/>
    <x v="2"/>
  </r>
  <r>
    <x v="1"/>
    <n v="1197831"/>
    <x v="243"/>
    <x v="1"/>
    <s v="Arkansas"/>
    <s v="Little Rock"/>
    <x v="0"/>
    <n v="25"/>
    <n v="600"/>
    <n v="150000"/>
    <n v="60000"/>
    <n v="0.4"/>
    <x v="2"/>
  </r>
  <r>
    <x v="1"/>
    <n v="1197831"/>
    <x v="243"/>
    <x v="1"/>
    <s v="Arkansas"/>
    <s v="Little Rock"/>
    <x v="1"/>
    <n v="25"/>
    <n v="300"/>
    <n v="75000"/>
    <n v="26250"/>
    <n v="0.35"/>
    <x v="2"/>
  </r>
  <r>
    <x v="1"/>
    <n v="1197831"/>
    <x v="243"/>
    <x v="1"/>
    <s v="Arkansas"/>
    <s v="Little Rock"/>
    <x v="2"/>
    <n v="15.000000000000002"/>
    <n v="300"/>
    <n v="45000.000000000007"/>
    <n v="18000.000000000004"/>
    <n v="0.4"/>
    <x v="2"/>
  </r>
  <r>
    <x v="1"/>
    <n v="1197831"/>
    <x v="243"/>
    <x v="1"/>
    <s v="Arkansas"/>
    <s v="Little Rock"/>
    <x v="3"/>
    <n v="19.999999999999996"/>
    <n v="225"/>
    <n v="44999.999999999993"/>
    <n v="17999.999999999996"/>
    <n v="0.4"/>
    <x v="2"/>
  </r>
  <r>
    <x v="1"/>
    <n v="1197831"/>
    <x v="243"/>
    <x v="1"/>
    <s v="Arkansas"/>
    <s v="Little Rock"/>
    <x v="4"/>
    <n v="40"/>
    <n v="250"/>
    <n v="100000"/>
    <n v="35000"/>
    <n v="0.35"/>
    <x v="2"/>
  </r>
  <r>
    <x v="1"/>
    <n v="1197831"/>
    <x v="243"/>
    <x v="1"/>
    <s v="Arkansas"/>
    <s v="Little Rock"/>
    <x v="5"/>
    <n v="30.000000000000004"/>
    <n v="400"/>
    <n v="120000.00000000001"/>
    <n v="48000.000000000007"/>
    <n v="0.4"/>
    <x v="2"/>
  </r>
  <r>
    <x v="1"/>
    <n v="1197831"/>
    <x v="272"/>
    <x v="1"/>
    <s v="Arkansas"/>
    <s v="Little Rock"/>
    <x v="0"/>
    <n v="40"/>
    <n v="670"/>
    <n v="268000"/>
    <n v="107200"/>
    <n v="0.4"/>
    <x v="2"/>
  </r>
  <r>
    <x v="1"/>
    <n v="1197831"/>
    <x v="272"/>
    <x v="1"/>
    <s v="Arkansas"/>
    <s v="Little Rock"/>
    <x v="1"/>
    <n v="40"/>
    <n v="375"/>
    <n v="150000"/>
    <n v="52500"/>
    <n v="0.35"/>
    <x v="2"/>
  </r>
  <r>
    <x v="1"/>
    <n v="1197831"/>
    <x v="272"/>
    <x v="1"/>
    <s v="Arkansas"/>
    <s v="Little Rock"/>
    <x v="2"/>
    <n v="35"/>
    <n v="350"/>
    <n v="122500"/>
    <n v="49000"/>
    <n v="0.4"/>
    <x v="2"/>
  </r>
  <r>
    <x v="1"/>
    <n v="1197831"/>
    <x v="272"/>
    <x v="1"/>
    <s v="Arkansas"/>
    <s v="Little Rock"/>
    <x v="3"/>
    <n v="35"/>
    <n v="300"/>
    <n v="105000"/>
    <n v="42000"/>
    <n v="0.4"/>
    <x v="2"/>
  </r>
  <r>
    <x v="1"/>
    <n v="1197831"/>
    <x v="272"/>
    <x v="1"/>
    <s v="Arkansas"/>
    <s v="Little Rock"/>
    <x v="4"/>
    <n v="44.999999999999993"/>
    <n v="325"/>
    <n v="146249.99999999997"/>
    <n v="51187.499999999985"/>
    <n v="0.35"/>
    <x v="2"/>
  </r>
  <r>
    <x v="1"/>
    <n v="1197831"/>
    <x v="272"/>
    <x v="1"/>
    <s v="Arkansas"/>
    <s v="Little Rock"/>
    <x v="5"/>
    <n v="44.999999999999993"/>
    <n v="425"/>
    <n v="191249.99999999997"/>
    <n v="76499.999999999985"/>
    <n v="0.4"/>
    <x v="2"/>
  </r>
  <r>
    <x v="1"/>
    <n v="1197831"/>
    <x v="305"/>
    <x v="1"/>
    <s v="Arkansas"/>
    <s v="Little Rock"/>
    <x v="0"/>
    <n v="40"/>
    <n v="675"/>
    <n v="270000"/>
    <n v="108000"/>
    <n v="0.4"/>
    <x v="2"/>
  </r>
  <r>
    <x v="1"/>
    <n v="1197831"/>
    <x v="305"/>
    <x v="1"/>
    <s v="Arkansas"/>
    <s v="Little Rock"/>
    <x v="1"/>
    <n v="35"/>
    <n v="425"/>
    <n v="148750"/>
    <n v="52062.5"/>
    <n v="0.35"/>
    <x v="2"/>
  </r>
  <r>
    <x v="1"/>
    <n v="1197831"/>
    <x v="305"/>
    <x v="1"/>
    <s v="Arkansas"/>
    <s v="Little Rock"/>
    <x v="2"/>
    <n v="40"/>
    <n v="400"/>
    <n v="160000"/>
    <n v="64000"/>
    <n v="0.4"/>
    <x v="2"/>
  </r>
  <r>
    <x v="1"/>
    <n v="1197831"/>
    <x v="305"/>
    <x v="1"/>
    <s v="Arkansas"/>
    <s v="Little Rock"/>
    <x v="3"/>
    <n v="40"/>
    <n v="375"/>
    <n v="150000"/>
    <n v="60000"/>
    <n v="0.4"/>
    <x v="2"/>
  </r>
  <r>
    <x v="1"/>
    <n v="1197831"/>
    <x v="305"/>
    <x v="1"/>
    <s v="Arkansas"/>
    <s v="Little Rock"/>
    <x v="4"/>
    <n v="54.999999999999993"/>
    <n v="375"/>
    <n v="206249.99999999997"/>
    <n v="72187.499999999985"/>
    <n v="0.35"/>
    <x v="2"/>
  </r>
  <r>
    <x v="1"/>
    <n v="1197831"/>
    <x v="305"/>
    <x v="1"/>
    <s v="Arkansas"/>
    <s v="Little Rock"/>
    <x v="5"/>
    <n v="60"/>
    <n v="550"/>
    <n v="330000"/>
    <n v="132000"/>
    <n v="0.4"/>
    <x v="2"/>
  </r>
  <r>
    <x v="1"/>
    <n v="1197831"/>
    <x v="333"/>
    <x v="1"/>
    <s v="Arkansas"/>
    <s v="Little Rock"/>
    <x v="0"/>
    <n v="54.999999999999993"/>
    <n v="775"/>
    <n v="426249.99999999994"/>
    <n v="170500"/>
    <n v="0.4"/>
    <x v="2"/>
  </r>
  <r>
    <x v="1"/>
    <n v="1197831"/>
    <x v="333"/>
    <x v="1"/>
    <s v="Arkansas"/>
    <s v="Little Rock"/>
    <x v="1"/>
    <n v="50"/>
    <n v="525"/>
    <n v="262500"/>
    <n v="91875"/>
    <n v="0.35"/>
    <x v="2"/>
  </r>
  <r>
    <x v="1"/>
    <n v="1197831"/>
    <x v="333"/>
    <x v="1"/>
    <s v="Arkansas"/>
    <s v="Little Rock"/>
    <x v="2"/>
    <n v="45"/>
    <n v="450"/>
    <n v="202500"/>
    <n v="81000"/>
    <n v="0.4"/>
    <x v="2"/>
  </r>
  <r>
    <x v="1"/>
    <n v="1197831"/>
    <x v="333"/>
    <x v="1"/>
    <s v="Arkansas"/>
    <s v="Little Rock"/>
    <x v="3"/>
    <n v="45"/>
    <n v="400"/>
    <n v="180000"/>
    <n v="72000"/>
    <n v="0.4"/>
    <x v="2"/>
  </r>
  <r>
    <x v="1"/>
    <n v="1197831"/>
    <x v="333"/>
    <x v="1"/>
    <s v="Arkansas"/>
    <s v="Little Rock"/>
    <x v="4"/>
    <n v="60"/>
    <n v="425"/>
    <n v="255000"/>
    <n v="89250"/>
    <n v="0.35"/>
    <x v="2"/>
  </r>
  <r>
    <x v="1"/>
    <n v="1197831"/>
    <x v="333"/>
    <x v="1"/>
    <s v="Arkansas"/>
    <s v="Little Rock"/>
    <x v="5"/>
    <n v="65"/>
    <n v="600"/>
    <n v="390000"/>
    <n v="156000"/>
    <n v="0.4"/>
    <x v="2"/>
  </r>
  <r>
    <x v="1"/>
    <n v="1197831"/>
    <x v="365"/>
    <x v="1"/>
    <s v="Arkansas"/>
    <s v="Little Rock"/>
    <x v="0"/>
    <n v="60"/>
    <n v="750"/>
    <n v="450000"/>
    <n v="180000"/>
    <n v="0.4"/>
    <x v="2"/>
  </r>
  <r>
    <x v="1"/>
    <n v="1197831"/>
    <x v="365"/>
    <x v="1"/>
    <s v="Arkansas"/>
    <s v="Little Rock"/>
    <x v="1"/>
    <n v="55.000000000000007"/>
    <n v="525"/>
    <n v="288750.00000000006"/>
    <n v="101062.50000000001"/>
    <n v="0.35"/>
    <x v="2"/>
  </r>
  <r>
    <x v="1"/>
    <n v="1197831"/>
    <x v="365"/>
    <x v="1"/>
    <s v="Arkansas"/>
    <s v="Little Rock"/>
    <x v="2"/>
    <n v="50"/>
    <n v="450"/>
    <n v="225000"/>
    <n v="90000"/>
    <n v="0.4"/>
    <x v="2"/>
  </r>
  <r>
    <x v="1"/>
    <n v="1197831"/>
    <x v="365"/>
    <x v="1"/>
    <s v="Arkansas"/>
    <s v="Little Rock"/>
    <x v="3"/>
    <n v="40"/>
    <n v="400"/>
    <n v="160000"/>
    <n v="64000"/>
    <n v="0.4"/>
    <x v="2"/>
  </r>
  <r>
    <x v="1"/>
    <n v="1197831"/>
    <x v="365"/>
    <x v="1"/>
    <s v="Arkansas"/>
    <s v="Little Rock"/>
    <x v="4"/>
    <n v="50"/>
    <n v="375"/>
    <n v="187500"/>
    <n v="65625"/>
    <n v="0.35"/>
    <x v="2"/>
  </r>
  <r>
    <x v="1"/>
    <n v="1197831"/>
    <x v="365"/>
    <x v="1"/>
    <s v="Arkansas"/>
    <s v="Little Rock"/>
    <x v="5"/>
    <n v="55.000000000000007"/>
    <n v="550"/>
    <n v="302500.00000000006"/>
    <n v="121000.00000000003"/>
    <n v="0.4"/>
    <x v="2"/>
  </r>
  <r>
    <x v="1"/>
    <n v="1197831"/>
    <x v="395"/>
    <x v="1"/>
    <s v="Arkansas"/>
    <s v="Little Rock"/>
    <x v="0"/>
    <n v="50"/>
    <n v="650"/>
    <n v="325000"/>
    <n v="130000"/>
    <n v="0.4"/>
    <x v="2"/>
  </r>
  <r>
    <x v="1"/>
    <n v="1197831"/>
    <x v="395"/>
    <x v="1"/>
    <s v="Arkansas"/>
    <s v="Little Rock"/>
    <x v="1"/>
    <n v="40.000000000000014"/>
    <n v="450"/>
    <n v="180000.00000000006"/>
    <n v="63000.000000000015"/>
    <n v="0.35"/>
    <x v="2"/>
  </r>
  <r>
    <x v="1"/>
    <n v="1197831"/>
    <x v="395"/>
    <x v="1"/>
    <s v="Arkansas"/>
    <s v="Little Rock"/>
    <x v="2"/>
    <n v="15.000000000000007"/>
    <n v="350"/>
    <n v="52500.000000000022"/>
    <n v="21000.000000000011"/>
    <n v="0.4"/>
    <x v="2"/>
  </r>
  <r>
    <x v="1"/>
    <n v="1197831"/>
    <x v="395"/>
    <x v="1"/>
    <s v="Arkansas"/>
    <s v="Little Rock"/>
    <x v="3"/>
    <n v="15.000000000000007"/>
    <n v="325"/>
    <n v="48750.000000000022"/>
    <n v="19500.000000000011"/>
    <n v="0.4"/>
    <x v="2"/>
  </r>
  <r>
    <x v="1"/>
    <n v="1197831"/>
    <x v="395"/>
    <x v="1"/>
    <s v="Arkansas"/>
    <s v="Little Rock"/>
    <x v="4"/>
    <n v="25.000000000000007"/>
    <n v="325"/>
    <n v="81250.000000000029"/>
    <n v="28437.500000000007"/>
    <n v="0.35"/>
    <x v="2"/>
  </r>
  <r>
    <x v="1"/>
    <n v="1197831"/>
    <x v="395"/>
    <x v="1"/>
    <s v="Arkansas"/>
    <s v="Little Rock"/>
    <x v="5"/>
    <n v="30.000000000000011"/>
    <n v="425"/>
    <n v="127500.00000000004"/>
    <n v="51000.000000000022"/>
    <n v="0.4"/>
    <x v="2"/>
  </r>
  <r>
    <x v="1"/>
    <n v="1197831"/>
    <x v="427"/>
    <x v="1"/>
    <s v="Arkansas"/>
    <s v="Little Rock"/>
    <x v="0"/>
    <n v="30.000000000000011"/>
    <n v="600"/>
    <n v="180000.00000000006"/>
    <n v="72000.000000000029"/>
    <n v="0.4"/>
    <x v="2"/>
  </r>
  <r>
    <x v="1"/>
    <n v="1197831"/>
    <x v="427"/>
    <x v="1"/>
    <s v="Arkansas"/>
    <s v="Little Rock"/>
    <x v="1"/>
    <n v="20.000000000000011"/>
    <n v="425"/>
    <n v="85000.000000000044"/>
    <n v="29750.000000000015"/>
    <n v="0.35"/>
    <x v="2"/>
  </r>
  <r>
    <x v="1"/>
    <n v="1197831"/>
    <x v="427"/>
    <x v="1"/>
    <s v="Arkansas"/>
    <s v="Little Rock"/>
    <x v="2"/>
    <n v="20.000000000000011"/>
    <n v="300"/>
    <n v="60000.000000000029"/>
    <n v="24000.000000000015"/>
    <n v="0.4"/>
    <x v="2"/>
  </r>
  <r>
    <x v="1"/>
    <n v="1197831"/>
    <x v="427"/>
    <x v="1"/>
    <s v="Arkansas"/>
    <s v="Little Rock"/>
    <x v="3"/>
    <n v="20.000000000000011"/>
    <n v="275"/>
    <n v="55000.000000000029"/>
    <n v="22000.000000000015"/>
    <n v="0.4"/>
    <x v="2"/>
  </r>
  <r>
    <x v="1"/>
    <n v="1197831"/>
    <x v="427"/>
    <x v="1"/>
    <s v="Arkansas"/>
    <s v="Little Rock"/>
    <x v="4"/>
    <n v="30.000000000000011"/>
    <n v="275"/>
    <n v="82500.000000000029"/>
    <n v="28875.000000000007"/>
    <n v="0.35"/>
    <x v="2"/>
  </r>
  <r>
    <x v="3"/>
    <n v="1197831"/>
    <x v="427"/>
    <x v="1"/>
    <s v="Arkansas"/>
    <s v="Little Rock"/>
    <x v="5"/>
    <n v="30.000000000000004"/>
    <n v="400"/>
    <n v="120000.00000000001"/>
    <n v="48000.000000000007"/>
    <n v="0.4"/>
    <x v="2"/>
  </r>
  <r>
    <x v="3"/>
    <n v="1197831"/>
    <x v="457"/>
    <x v="1"/>
    <s v="Arkansas"/>
    <s v="Little Rock"/>
    <x v="0"/>
    <n v="25.000000000000011"/>
    <n v="550"/>
    <n v="137500.00000000006"/>
    <n v="55000.000000000029"/>
    <n v="0.4"/>
    <x v="2"/>
  </r>
  <r>
    <x v="3"/>
    <n v="1197831"/>
    <x v="457"/>
    <x v="1"/>
    <s v="Arkansas"/>
    <s v="Little Rock"/>
    <x v="1"/>
    <n v="15.000000000000014"/>
    <n v="375"/>
    <n v="56250.000000000051"/>
    <n v="19687.500000000018"/>
    <n v="0.35"/>
    <x v="2"/>
  </r>
  <r>
    <x v="3"/>
    <n v="1197831"/>
    <x v="457"/>
    <x v="1"/>
    <s v="Arkansas"/>
    <s v="Little Rock"/>
    <x v="2"/>
    <n v="25.000000000000018"/>
    <n v="320"/>
    <n v="80000.000000000058"/>
    <n v="32000.000000000025"/>
    <n v="0.4"/>
    <x v="2"/>
  </r>
  <r>
    <x v="3"/>
    <n v="1197831"/>
    <x v="457"/>
    <x v="1"/>
    <s v="Arkansas"/>
    <s v="Little Rock"/>
    <x v="3"/>
    <n v="55.000000000000014"/>
    <n v="375"/>
    <n v="206250.00000000006"/>
    <n v="82500.000000000029"/>
    <n v="0.4"/>
    <x v="2"/>
  </r>
  <r>
    <x v="3"/>
    <n v="1197831"/>
    <x v="457"/>
    <x v="1"/>
    <s v="Arkansas"/>
    <s v="Little Rock"/>
    <x v="4"/>
    <n v="75.000000000000014"/>
    <n v="350"/>
    <n v="262500.00000000006"/>
    <n v="91875.000000000015"/>
    <n v="0.35"/>
    <x v="2"/>
  </r>
  <r>
    <x v="3"/>
    <n v="1197831"/>
    <x v="457"/>
    <x v="1"/>
    <s v="Arkansas"/>
    <s v="Little Rock"/>
    <x v="5"/>
    <n v="75"/>
    <n v="450"/>
    <n v="337500"/>
    <n v="135000"/>
    <n v="0.4"/>
    <x v="2"/>
  </r>
  <r>
    <x v="3"/>
    <n v="1197831"/>
    <x v="486"/>
    <x v="1"/>
    <s v="Arkansas"/>
    <s v="Little Rock"/>
    <x v="0"/>
    <n v="70"/>
    <n v="700"/>
    <n v="490000"/>
    <n v="196000"/>
    <n v="0.4"/>
    <x v="2"/>
  </r>
  <r>
    <x v="3"/>
    <n v="1197831"/>
    <x v="486"/>
    <x v="1"/>
    <s v="Arkansas"/>
    <s v="Little Rock"/>
    <x v="1"/>
    <n v="60.000000000000007"/>
    <n v="500"/>
    <n v="300000.00000000006"/>
    <n v="105000.00000000001"/>
    <n v="0.35"/>
    <x v="2"/>
  </r>
  <r>
    <x v="3"/>
    <n v="1197831"/>
    <x v="486"/>
    <x v="1"/>
    <s v="Arkansas"/>
    <s v="Little Rock"/>
    <x v="2"/>
    <n v="60.000000000000007"/>
    <n v="450"/>
    <n v="270000.00000000006"/>
    <n v="108000.00000000003"/>
    <n v="0.4"/>
    <x v="2"/>
  </r>
  <r>
    <x v="3"/>
    <n v="1197831"/>
    <x v="486"/>
    <x v="1"/>
    <s v="Arkansas"/>
    <s v="Little Rock"/>
    <x v="3"/>
    <n v="60.000000000000007"/>
    <n v="400"/>
    <n v="240000.00000000003"/>
    <n v="96000.000000000015"/>
    <n v="0.4"/>
    <x v="2"/>
  </r>
  <r>
    <x v="3"/>
    <n v="1197831"/>
    <x v="486"/>
    <x v="1"/>
    <s v="Arkansas"/>
    <s v="Little Rock"/>
    <x v="4"/>
    <n v="70"/>
    <n v="400"/>
    <n v="280000"/>
    <n v="98000"/>
    <n v="0.35"/>
    <x v="2"/>
  </r>
  <r>
    <x v="3"/>
    <n v="1197831"/>
    <x v="486"/>
    <x v="1"/>
    <s v="Arkansas"/>
    <s v="Little Rock"/>
    <x v="5"/>
    <n v="75"/>
    <n v="500"/>
    <n v="375000"/>
    <n v="150000"/>
    <n v="0.4"/>
    <x v="2"/>
  </r>
  <r>
    <x v="3"/>
    <n v="1197831"/>
    <x v="187"/>
    <x v="1"/>
    <s v="Arkansas"/>
    <s v="Little Rock"/>
    <x v="0"/>
    <n v="25.000000000000007"/>
    <n v="575"/>
    <n v="143750.00000000003"/>
    <n v="57500.000000000015"/>
    <n v="0.4"/>
    <x v="2"/>
  </r>
  <r>
    <x v="3"/>
    <n v="1197831"/>
    <x v="187"/>
    <x v="1"/>
    <s v="Arkansas"/>
    <s v="Little Rock"/>
    <x v="1"/>
    <n v="25.000000000000007"/>
    <n v="375"/>
    <n v="93750.000000000029"/>
    <n v="32812.500000000007"/>
    <n v="0.35"/>
    <x v="2"/>
  </r>
  <r>
    <x v="3"/>
    <n v="1197831"/>
    <x v="187"/>
    <x v="1"/>
    <s v="Arkansas"/>
    <s v="Little Rock"/>
    <x v="2"/>
    <n v="15.000000000000007"/>
    <n v="375"/>
    <n v="56250.000000000029"/>
    <n v="22500.000000000015"/>
    <n v="0.4"/>
    <x v="2"/>
  </r>
  <r>
    <x v="3"/>
    <n v="1197831"/>
    <x v="187"/>
    <x v="1"/>
    <s v="Arkansas"/>
    <s v="Little Rock"/>
    <x v="3"/>
    <n v="20"/>
    <n v="225"/>
    <n v="45000"/>
    <n v="18000"/>
    <n v="0.4"/>
    <x v="2"/>
  </r>
  <r>
    <x v="3"/>
    <n v="1197831"/>
    <x v="187"/>
    <x v="1"/>
    <s v="Arkansas"/>
    <s v="Little Rock"/>
    <x v="4"/>
    <n v="35"/>
    <n v="275"/>
    <n v="96250"/>
    <n v="33687.5"/>
    <n v="0.35"/>
    <x v="2"/>
  </r>
  <r>
    <x v="3"/>
    <n v="1197831"/>
    <x v="187"/>
    <x v="1"/>
    <s v="Arkansas"/>
    <s v="Little Rock"/>
    <x v="5"/>
    <n v="25.000000000000007"/>
    <n v="375"/>
    <n v="93750.000000000029"/>
    <n v="37500.000000000015"/>
    <n v="0.4"/>
    <x v="2"/>
  </r>
  <r>
    <x v="3"/>
    <n v="1197831"/>
    <x v="695"/>
    <x v="1"/>
    <s v="Arkansas"/>
    <s v="Little Rock"/>
    <x v="0"/>
    <n v="25.000000000000007"/>
    <n v="625"/>
    <n v="156250.00000000006"/>
    <n v="62500.000000000029"/>
    <n v="0.4"/>
    <x v="2"/>
  </r>
  <r>
    <x v="3"/>
    <n v="1197831"/>
    <x v="695"/>
    <x v="1"/>
    <s v="Arkansas"/>
    <s v="Little Rock"/>
    <x v="1"/>
    <n v="25.000000000000007"/>
    <n v="275"/>
    <n v="68750.000000000015"/>
    <n v="24062.500000000004"/>
    <n v="0.35"/>
    <x v="2"/>
  </r>
  <r>
    <x v="3"/>
    <n v="1197831"/>
    <x v="695"/>
    <x v="1"/>
    <s v="Arkansas"/>
    <s v="Little Rock"/>
    <x v="2"/>
    <n v="15.000000000000007"/>
    <n v="325"/>
    <n v="48750.000000000022"/>
    <n v="19500.000000000011"/>
    <n v="0.4"/>
    <x v="2"/>
  </r>
  <r>
    <x v="3"/>
    <n v="1197831"/>
    <x v="695"/>
    <x v="1"/>
    <s v="Oklahoma"/>
    <s v="Oklahoma City"/>
    <x v="3"/>
    <n v="20"/>
    <n v="175"/>
    <n v="35000"/>
    <n v="14000"/>
    <n v="0.4"/>
    <x v="2"/>
  </r>
  <r>
    <x v="3"/>
    <n v="1197831"/>
    <x v="695"/>
    <x v="1"/>
    <s v="Oklahoma"/>
    <s v="Oklahoma City"/>
    <x v="4"/>
    <n v="35"/>
    <n v="250"/>
    <n v="87500"/>
    <n v="30624.999999999996"/>
    <n v="0.35"/>
    <x v="2"/>
  </r>
  <r>
    <x v="3"/>
    <n v="1197831"/>
    <x v="695"/>
    <x v="1"/>
    <s v="Oklahoma"/>
    <s v="Oklahoma City"/>
    <x v="5"/>
    <n v="20"/>
    <n v="350"/>
    <n v="70000"/>
    <n v="28000"/>
    <n v="0.4"/>
    <x v="2"/>
  </r>
  <r>
    <x v="3"/>
    <n v="1197831"/>
    <x v="224"/>
    <x v="1"/>
    <s v="Oklahoma"/>
    <s v="Oklahoma City"/>
    <x v="0"/>
    <n v="20"/>
    <n v="570"/>
    <n v="114000"/>
    <n v="45600"/>
    <n v="0.4"/>
    <x v="2"/>
  </r>
  <r>
    <x v="3"/>
    <n v="1197831"/>
    <x v="224"/>
    <x v="1"/>
    <s v="Oklahoma"/>
    <s v="Oklahoma City"/>
    <x v="1"/>
    <n v="20"/>
    <n v="250"/>
    <n v="50000"/>
    <n v="17500"/>
    <n v="0.35"/>
    <x v="2"/>
  </r>
  <r>
    <x v="3"/>
    <n v="1197831"/>
    <x v="224"/>
    <x v="1"/>
    <s v="Oklahoma"/>
    <s v="Oklahoma City"/>
    <x v="2"/>
    <n v="10.000000000000002"/>
    <n v="275"/>
    <n v="27500.000000000004"/>
    <n v="11000.000000000002"/>
    <n v="0.4"/>
    <x v="2"/>
  </r>
  <r>
    <x v="3"/>
    <n v="1197831"/>
    <x v="224"/>
    <x v="1"/>
    <s v="Oklahoma"/>
    <s v="Oklahoma City"/>
    <x v="3"/>
    <n v="19.999999999999996"/>
    <n v="125"/>
    <n v="24999.999999999996"/>
    <n v="10000"/>
    <n v="0.4"/>
    <x v="2"/>
  </r>
  <r>
    <x v="3"/>
    <n v="1197831"/>
    <x v="224"/>
    <x v="1"/>
    <s v="Oklahoma"/>
    <s v="Oklahoma City"/>
    <x v="4"/>
    <n v="35.000000000000007"/>
    <n v="175"/>
    <n v="61250.000000000015"/>
    <n v="21437.500000000004"/>
    <n v="0.35"/>
    <x v="2"/>
  </r>
  <r>
    <x v="3"/>
    <n v="1197831"/>
    <x v="224"/>
    <x v="1"/>
    <s v="Oklahoma"/>
    <s v="Oklahoma City"/>
    <x v="5"/>
    <n v="25"/>
    <n v="275"/>
    <n v="68750"/>
    <n v="27500"/>
    <n v="0.4"/>
    <x v="2"/>
  </r>
  <r>
    <x v="3"/>
    <n v="1197831"/>
    <x v="243"/>
    <x v="1"/>
    <s v="Oklahoma"/>
    <s v="Oklahoma City"/>
    <x v="0"/>
    <n v="25"/>
    <n v="525"/>
    <n v="131250"/>
    <n v="52500"/>
    <n v="0.4"/>
    <x v="2"/>
  </r>
  <r>
    <x v="3"/>
    <n v="1197831"/>
    <x v="243"/>
    <x v="1"/>
    <s v="Oklahoma"/>
    <s v="Oklahoma City"/>
    <x v="1"/>
    <n v="25"/>
    <n v="225"/>
    <n v="56250"/>
    <n v="19687.5"/>
    <n v="0.35"/>
    <x v="2"/>
  </r>
  <r>
    <x v="3"/>
    <n v="1197831"/>
    <x v="243"/>
    <x v="1"/>
    <s v="Oklahoma"/>
    <s v="Oklahoma City"/>
    <x v="2"/>
    <n v="15.000000000000002"/>
    <n v="225"/>
    <n v="33750.000000000007"/>
    <n v="13500.000000000004"/>
    <n v="0.4"/>
    <x v="2"/>
  </r>
  <r>
    <x v="3"/>
    <n v="1197831"/>
    <x v="243"/>
    <x v="1"/>
    <s v="Oklahoma"/>
    <s v="Oklahoma City"/>
    <x v="3"/>
    <n v="19.999999999999996"/>
    <n v="150"/>
    <n v="29999.999999999996"/>
    <n v="12000"/>
    <n v="0.4"/>
    <x v="2"/>
  </r>
  <r>
    <x v="3"/>
    <n v="1197831"/>
    <x v="243"/>
    <x v="1"/>
    <s v="Oklahoma"/>
    <s v="Oklahoma City"/>
    <x v="4"/>
    <n v="40"/>
    <n v="175"/>
    <n v="70000"/>
    <n v="24500"/>
    <n v="0.35"/>
    <x v="2"/>
  </r>
  <r>
    <x v="3"/>
    <n v="1197831"/>
    <x v="243"/>
    <x v="1"/>
    <s v="Oklahoma"/>
    <s v="Oklahoma City"/>
    <x v="5"/>
    <n v="30.000000000000004"/>
    <n v="325"/>
    <n v="97500.000000000015"/>
    <n v="39000.000000000007"/>
    <n v="0.4"/>
    <x v="2"/>
  </r>
  <r>
    <x v="3"/>
    <n v="1197831"/>
    <x v="272"/>
    <x v="1"/>
    <s v="Oklahoma"/>
    <s v="Oklahoma City"/>
    <x v="0"/>
    <n v="40"/>
    <n v="595"/>
    <n v="238000"/>
    <n v="95200"/>
    <n v="0.4"/>
    <x v="2"/>
  </r>
  <r>
    <x v="3"/>
    <n v="1197831"/>
    <x v="272"/>
    <x v="1"/>
    <s v="Oklahoma"/>
    <s v="Oklahoma City"/>
    <x v="1"/>
    <n v="40"/>
    <n v="300"/>
    <n v="120000"/>
    <n v="42000"/>
    <n v="0.35"/>
    <x v="2"/>
  </r>
  <r>
    <x v="3"/>
    <n v="1197831"/>
    <x v="272"/>
    <x v="1"/>
    <s v="Oklahoma"/>
    <s v="Oklahoma City"/>
    <x v="2"/>
    <n v="35"/>
    <n v="275"/>
    <n v="96250"/>
    <n v="38500"/>
    <n v="0.4"/>
    <x v="2"/>
  </r>
  <r>
    <x v="3"/>
    <n v="1197831"/>
    <x v="272"/>
    <x v="1"/>
    <s v="Oklahoma"/>
    <s v="Oklahoma City"/>
    <x v="3"/>
    <n v="35"/>
    <n v="225"/>
    <n v="78750"/>
    <n v="31500"/>
    <n v="0.4"/>
    <x v="2"/>
  </r>
  <r>
    <x v="3"/>
    <n v="1197831"/>
    <x v="272"/>
    <x v="1"/>
    <s v="Oklahoma"/>
    <s v="Oklahoma City"/>
    <x v="4"/>
    <n v="44.999999999999993"/>
    <n v="250"/>
    <n v="112499.99999999999"/>
    <n v="39374.999999999993"/>
    <n v="0.35"/>
    <x v="2"/>
  </r>
  <r>
    <x v="3"/>
    <n v="1197831"/>
    <x v="272"/>
    <x v="1"/>
    <s v="Oklahoma"/>
    <s v="Oklahoma City"/>
    <x v="5"/>
    <n v="44.999999999999993"/>
    <n v="350"/>
    <n v="157499.99999999997"/>
    <n v="62999.999999999993"/>
    <n v="0.4"/>
    <x v="2"/>
  </r>
  <r>
    <x v="3"/>
    <n v="1197831"/>
    <x v="305"/>
    <x v="1"/>
    <s v="Oklahoma"/>
    <s v="Oklahoma City"/>
    <x v="0"/>
    <n v="40"/>
    <n v="600"/>
    <n v="240000"/>
    <n v="96000"/>
    <n v="0.4"/>
    <x v="2"/>
  </r>
  <r>
    <x v="3"/>
    <n v="1197831"/>
    <x v="305"/>
    <x v="1"/>
    <s v="Oklahoma"/>
    <s v="Oklahoma City"/>
    <x v="1"/>
    <n v="35"/>
    <n v="350"/>
    <n v="122500"/>
    <n v="42875"/>
    <n v="0.35"/>
    <x v="2"/>
  </r>
  <r>
    <x v="3"/>
    <n v="1197831"/>
    <x v="305"/>
    <x v="1"/>
    <s v="Oklahoma"/>
    <s v="Oklahoma City"/>
    <x v="2"/>
    <n v="40"/>
    <n v="325"/>
    <n v="130000"/>
    <n v="52000"/>
    <n v="0.4"/>
    <x v="2"/>
  </r>
  <r>
    <x v="3"/>
    <n v="1197831"/>
    <x v="305"/>
    <x v="1"/>
    <s v="Oklahoma"/>
    <s v="Oklahoma City"/>
    <x v="3"/>
    <n v="40"/>
    <n v="300"/>
    <n v="120000"/>
    <n v="48000"/>
    <n v="0.4"/>
    <x v="2"/>
  </r>
  <r>
    <x v="3"/>
    <n v="1197831"/>
    <x v="305"/>
    <x v="1"/>
    <s v="Oklahoma"/>
    <s v="Oklahoma City"/>
    <x v="4"/>
    <n v="54.999999999999993"/>
    <n v="300"/>
    <n v="164999.99999999997"/>
    <n v="57749.999999999985"/>
    <n v="0.35"/>
    <x v="2"/>
  </r>
  <r>
    <x v="3"/>
    <n v="1197831"/>
    <x v="305"/>
    <x v="1"/>
    <s v="Oklahoma"/>
    <s v="Oklahoma City"/>
    <x v="5"/>
    <n v="60"/>
    <n v="475"/>
    <n v="285000"/>
    <n v="114000"/>
    <n v="0.4"/>
    <x v="2"/>
  </r>
  <r>
    <x v="3"/>
    <n v="1197831"/>
    <x v="333"/>
    <x v="1"/>
    <s v="Oklahoma"/>
    <s v="Oklahoma City"/>
    <x v="0"/>
    <n v="54.999999999999993"/>
    <n v="700"/>
    <n v="384999.99999999994"/>
    <n v="153999.99999999997"/>
    <n v="0.4"/>
    <x v="2"/>
  </r>
  <r>
    <x v="3"/>
    <n v="1197831"/>
    <x v="333"/>
    <x v="1"/>
    <s v="Oklahoma"/>
    <s v="Oklahoma City"/>
    <x v="1"/>
    <n v="50"/>
    <n v="450"/>
    <n v="225000"/>
    <n v="78750"/>
    <n v="0.35"/>
    <x v="2"/>
  </r>
  <r>
    <x v="3"/>
    <n v="1197831"/>
    <x v="333"/>
    <x v="1"/>
    <s v="Oklahoma"/>
    <s v="Oklahoma City"/>
    <x v="2"/>
    <n v="45"/>
    <n v="375"/>
    <n v="168750"/>
    <n v="67500"/>
    <n v="0.4"/>
    <x v="2"/>
  </r>
  <r>
    <x v="3"/>
    <n v="1197831"/>
    <x v="333"/>
    <x v="1"/>
    <s v="Oklahoma"/>
    <s v="Oklahoma City"/>
    <x v="3"/>
    <n v="45"/>
    <n v="325"/>
    <n v="146250"/>
    <n v="58500"/>
    <n v="0.4"/>
    <x v="2"/>
  </r>
  <r>
    <x v="3"/>
    <n v="1197831"/>
    <x v="333"/>
    <x v="1"/>
    <s v="Oklahoma"/>
    <s v="Oklahoma City"/>
    <x v="4"/>
    <n v="60"/>
    <n v="350"/>
    <n v="210000"/>
    <n v="73500"/>
    <n v="0.35"/>
    <x v="2"/>
  </r>
  <r>
    <x v="3"/>
    <n v="1197831"/>
    <x v="333"/>
    <x v="1"/>
    <s v="Oklahoma"/>
    <s v="Oklahoma City"/>
    <x v="5"/>
    <n v="65"/>
    <n v="525"/>
    <n v="341250"/>
    <n v="136500"/>
    <n v="0.4"/>
    <x v="2"/>
  </r>
  <r>
    <x v="3"/>
    <n v="1197831"/>
    <x v="365"/>
    <x v="1"/>
    <s v="Oklahoma"/>
    <s v="Oklahoma City"/>
    <x v="0"/>
    <n v="60"/>
    <n v="675"/>
    <n v="405000"/>
    <n v="162000"/>
    <n v="0.4"/>
    <x v="2"/>
  </r>
  <r>
    <x v="3"/>
    <n v="1197831"/>
    <x v="365"/>
    <x v="1"/>
    <s v="Oklahoma"/>
    <s v="Oklahoma City"/>
    <x v="1"/>
    <n v="55.000000000000007"/>
    <n v="450"/>
    <n v="247500.00000000003"/>
    <n v="86625"/>
    <n v="0.35"/>
    <x v="2"/>
  </r>
  <r>
    <x v="3"/>
    <n v="1197831"/>
    <x v="365"/>
    <x v="1"/>
    <s v="Oklahoma"/>
    <s v="Oklahoma City"/>
    <x v="2"/>
    <n v="50"/>
    <n v="375"/>
    <n v="187500"/>
    <n v="75000"/>
    <n v="0.4"/>
    <x v="2"/>
  </r>
  <r>
    <x v="3"/>
    <n v="1197831"/>
    <x v="365"/>
    <x v="1"/>
    <s v="Oklahoma"/>
    <s v="Oklahoma City"/>
    <x v="3"/>
    <n v="40"/>
    <n v="325"/>
    <n v="130000"/>
    <n v="52000"/>
    <n v="0.4"/>
    <x v="2"/>
  </r>
  <r>
    <x v="3"/>
    <n v="1197831"/>
    <x v="365"/>
    <x v="1"/>
    <s v="Oklahoma"/>
    <s v="Oklahoma City"/>
    <x v="4"/>
    <n v="50"/>
    <n v="300"/>
    <n v="150000"/>
    <n v="52500"/>
    <n v="0.35"/>
    <x v="2"/>
  </r>
  <r>
    <x v="3"/>
    <n v="1197831"/>
    <x v="365"/>
    <x v="1"/>
    <s v="Oklahoma"/>
    <s v="Oklahoma City"/>
    <x v="5"/>
    <n v="55.000000000000007"/>
    <n v="475"/>
    <n v="261250.00000000003"/>
    <n v="104500.00000000001"/>
    <n v="0.4"/>
    <x v="2"/>
  </r>
  <r>
    <x v="3"/>
    <n v="1197831"/>
    <x v="395"/>
    <x v="1"/>
    <s v="Oklahoma"/>
    <s v="Oklahoma City"/>
    <x v="0"/>
    <n v="50"/>
    <n v="575"/>
    <n v="287500"/>
    <n v="115000"/>
    <n v="0.4"/>
    <x v="2"/>
  </r>
  <r>
    <x v="3"/>
    <n v="1197831"/>
    <x v="395"/>
    <x v="1"/>
    <s v="Oklahoma"/>
    <s v="Oklahoma City"/>
    <x v="1"/>
    <n v="40.000000000000014"/>
    <n v="375"/>
    <n v="150000.00000000006"/>
    <n v="52500.000000000015"/>
    <n v="0.35"/>
    <x v="2"/>
  </r>
  <r>
    <x v="3"/>
    <n v="1197831"/>
    <x v="395"/>
    <x v="1"/>
    <s v="Oklahoma"/>
    <s v="Oklahoma City"/>
    <x v="2"/>
    <n v="15.000000000000007"/>
    <n v="275"/>
    <n v="41250.000000000022"/>
    <n v="16500.000000000011"/>
    <n v="0.4"/>
    <x v="2"/>
  </r>
  <r>
    <x v="3"/>
    <n v="1197831"/>
    <x v="395"/>
    <x v="1"/>
    <s v="Oklahoma"/>
    <s v="Oklahoma City"/>
    <x v="3"/>
    <n v="15.000000000000007"/>
    <n v="250"/>
    <n v="37500.000000000015"/>
    <n v="15000.000000000007"/>
    <n v="0.4"/>
    <x v="2"/>
  </r>
  <r>
    <x v="3"/>
    <n v="1197831"/>
    <x v="395"/>
    <x v="1"/>
    <s v="Oklahoma"/>
    <s v="Oklahoma City"/>
    <x v="4"/>
    <n v="25.000000000000007"/>
    <n v="250"/>
    <n v="62500.000000000015"/>
    <n v="21875.000000000004"/>
    <n v="0.35"/>
    <x v="2"/>
  </r>
  <r>
    <x v="3"/>
    <n v="1197831"/>
    <x v="395"/>
    <x v="1"/>
    <s v="Oklahoma"/>
    <s v="Oklahoma City"/>
    <x v="5"/>
    <n v="30.000000000000011"/>
    <n v="350"/>
    <n v="105000.00000000004"/>
    <n v="42000.000000000022"/>
    <n v="0.4"/>
    <x v="2"/>
  </r>
  <r>
    <x v="3"/>
    <n v="1197831"/>
    <x v="427"/>
    <x v="1"/>
    <s v="Oklahoma"/>
    <s v="Oklahoma City"/>
    <x v="0"/>
    <n v="30.000000000000011"/>
    <n v="525"/>
    <n v="157500.00000000006"/>
    <n v="63000.000000000029"/>
    <n v="0.4"/>
    <x v="2"/>
  </r>
  <r>
    <x v="3"/>
    <n v="1197831"/>
    <x v="427"/>
    <x v="1"/>
    <s v="Oklahoma"/>
    <s v="Oklahoma City"/>
    <x v="1"/>
    <n v="20.000000000000011"/>
    <n v="350"/>
    <n v="70000.000000000044"/>
    <n v="24500.000000000015"/>
    <n v="0.35"/>
    <x v="2"/>
  </r>
  <r>
    <x v="3"/>
    <n v="1197831"/>
    <x v="427"/>
    <x v="1"/>
    <s v="Oklahoma"/>
    <s v="Oklahoma City"/>
    <x v="2"/>
    <n v="20.000000000000011"/>
    <n v="225"/>
    <n v="45000.000000000022"/>
    <n v="18000.000000000011"/>
    <n v="0.4"/>
    <x v="2"/>
  </r>
  <r>
    <x v="3"/>
    <n v="1197831"/>
    <x v="427"/>
    <x v="1"/>
    <s v="Oklahoma"/>
    <s v="Oklahoma City"/>
    <x v="3"/>
    <n v="20.000000000000011"/>
    <n v="200"/>
    <n v="40000.000000000022"/>
    <n v="16000.000000000009"/>
    <n v="0.4"/>
    <x v="2"/>
  </r>
  <r>
    <x v="3"/>
    <n v="1197831"/>
    <x v="427"/>
    <x v="1"/>
    <s v="Oklahoma"/>
    <s v="Oklahoma City"/>
    <x v="4"/>
    <n v="30.000000000000011"/>
    <n v="200"/>
    <n v="60000.000000000022"/>
    <n v="21000.000000000007"/>
    <n v="0.35"/>
    <x v="2"/>
  </r>
  <r>
    <x v="4"/>
    <n v="1197831"/>
    <x v="427"/>
    <x v="1"/>
    <s v="Oklahoma"/>
    <s v="Oklahoma City"/>
    <x v="5"/>
    <n v="30.000000000000004"/>
    <n v="325"/>
    <n v="97500.000000000015"/>
    <n v="39000.000000000007"/>
    <n v="0.4"/>
    <x v="2"/>
  </r>
  <r>
    <x v="4"/>
    <n v="1197831"/>
    <x v="457"/>
    <x v="1"/>
    <s v="Oklahoma"/>
    <s v="Oklahoma City"/>
    <x v="0"/>
    <n v="25.000000000000011"/>
    <n v="475"/>
    <n v="118750.00000000004"/>
    <n v="47500.000000000022"/>
    <n v="0.4"/>
    <x v="2"/>
  </r>
  <r>
    <x v="4"/>
    <n v="1197831"/>
    <x v="457"/>
    <x v="1"/>
    <s v="Oklahoma"/>
    <s v="Oklahoma City"/>
    <x v="1"/>
    <n v="15.000000000000014"/>
    <n v="300"/>
    <n v="45000.000000000044"/>
    <n v="15750.000000000015"/>
    <n v="0.35"/>
    <x v="2"/>
  </r>
  <r>
    <x v="4"/>
    <n v="1197831"/>
    <x v="457"/>
    <x v="1"/>
    <s v="Oklahoma"/>
    <s v="Oklahoma City"/>
    <x v="2"/>
    <n v="25.000000000000018"/>
    <n v="245"/>
    <n v="61250.000000000044"/>
    <n v="24500.000000000018"/>
    <n v="0.4"/>
    <x v="2"/>
  </r>
  <r>
    <x v="4"/>
    <n v="1197831"/>
    <x v="457"/>
    <x v="1"/>
    <s v="Oklahoma"/>
    <s v="Oklahoma City"/>
    <x v="3"/>
    <n v="55.000000000000014"/>
    <n v="300"/>
    <n v="165000.00000000003"/>
    <n v="66000.000000000015"/>
    <n v="0.4"/>
    <x v="2"/>
  </r>
  <r>
    <x v="4"/>
    <n v="1197831"/>
    <x v="457"/>
    <x v="1"/>
    <s v="Oklahoma"/>
    <s v="Oklahoma City"/>
    <x v="4"/>
    <n v="75.000000000000014"/>
    <n v="275"/>
    <n v="206250.00000000003"/>
    <n v="72187.5"/>
    <n v="0.35"/>
    <x v="2"/>
  </r>
  <r>
    <x v="4"/>
    <n v="1197831"/>
    <x v="457"/>
    <x v="1"/>
    <s v="Oklahoma"/>
    <s v="Oklahoma City"/>
    <x v="5"/>
    <n v="75"/>
    <n v="375"/>
    <n v="281250"/>
    <n v="112500"/>
    <n v="0.4"/>
    <x v="2"/>
  </r>
  <r>
    <x v="4"/>
    <n v="1197831"/>
    <x v="486"/>
    <x v="1"/>
    <s v="Oklahoma"/>
    <s v="Oklahoma City"/>
    <x v="0"/>
    <n v="70"/>
    <n v="625"/>
    <n v="437500"/>
    <n v="175000"/>
    <n v="0.4"/>
    <x v="2"/>
  </r>
  <r>
    <x v="4"/>
    <n v="1197831"/>
    <x v="486"/>
    <x v="1"/>
    <s v="Oklahoma"/>
    <s v="Oklahoma City"/>
    <x v="1"/>
    <n v="60.000000000000007"/>
    <n v="425"/>
    <n v="255000.00000000003"/>
    <n v="89250"/>
    <n v="0.35"/>
    <x v="2"/>
  </r>
  <r>
    <x v="4"/>
    <n v="1197831"/>
    <x v="486"/>
    <x v="1"/>
    <s v="Oklahoma"/>
    <s v="Oklahoma City"/>
    <x v="2"/>
    <n v="60.000000000000007"/>
    <n v="375"/>
    <n v="225000.00000000003"/>
    <n v="90000.000000000015"/>
    <n v="0.4"/>
    <x v="2"/>
  </r>
  <r>
    <x v="4"/>
    <n v="1197831"/>
    <x v="486"/>
    <x v="1"/>
    <s v="Oklahoma"/>
    <s v="Oklahoma City"/>
    <x v="3"/>
    <n v="60.000000000000007"/>
    <n v="325"/>
    <n v="195000.00000000003"/>
    <n v="78000.000000000015"/>
    <n v="0.4"/>
    <x v="2"/>
  </r>
  <r>
    <x v="4"/>
    <n v="1197831"/>
    <x v="486"/>
    <x v="1"/>
    <s v="Oklahoma"/>
    <s v="Oklahoma City"/>
    <x v="4"/>
    <n v="70"/>
    <n v="325"/>
    <n v="227500"/>
    <n v="79625"/>
    <n v="0.35"/>
    <x v="2"/>
  </r>
  <r>
    <x v="4"/>
    <n v="1197831"/>
    <x v="486"/>
    <x v="1"/>
    <s v="Oklahoma"/>
    <s v="Oklahoma City"/>
    <x v="5"/>
    <n v="75"/>
    <n v="425"/>
    <n v="318750"/>
    <n v="127500"/>
    <n v="0.4"/>
    <x v="2"/>
  </r>
  <r>
    <x v="4"/>
    <n v="1197831"/>
    <x v="180"/>
    <x v="1"/>
    <s v="Oklahoma"/>
    <s v="Oklahoma City"/>
    <x v="0"/>
    <n v="25.000000000000007"/>
    <n v="550"/>
    <n v="137500.00000000003"/>
    <n v="48125.000000000007"/>
    <n v="0.35"/>
    <x v="2"/>
  </r>
  <r>
    <x v="4"/>
    <n v="1197831"/>
    <x v="180"/>
    <x v="1"/>
    <s v="Oklahoma"/>
    <s v="Oklahoma City"/>
    <x v="1"/>
    <n v="25.000000000000007"/>
    <n v="350"/>
    <n v="87500.000000000029"/>
    <n v="30625.000000000007"/>
    <n v="0.35"/>
    <x v="2"/>
  </r>
  <r>
    <x v="4"/>
    <n v="1197831"/>
    <x v="180"/>
    <x v="1"/>
    <s v="Oklahoma"/>
    <s v="Oklahoma City"/>
    <x v="2"/>
    <n v="15.000000000000007"/>
    <n v="350"/>
    <n v="52500.000000000022"/>
    <n v="18375.000000000007"/>
    <n v="0.35"/>
    <x v="2"/>
  </r>
  <r>
    <x v="4"/>
    <n v="1197831"/>
    <x v="180"/>
    <x v="1"/>
    <s v="Oklahoma"/>
    <s v="Oklahoma City"/>
    <x v="3"/>
    <n v="20"/>
    <n v="200"/>
    <n v="40000"/>
    <n v="14000"/>
    <n v="0.35"/>
    <x v="2"/>
  </r>
  <r>
    <x v="4"/>
    <n v="1197831"/>
    <x v="180"/>
    <x v="1"/>
    <s v="Oklahoma"/>
    <s v="Oklahoma City"/>
    <x v="4"/>
    <n v="35"/>
    <n v="250"/>
    <n v="87500"/>
    <n v="30624.999999999996"/>
    <n v="0.35"/>
    <x v="2"/>
  </r>
  <r>
    <x v="4"/>
    <n v="1197831"/>
    <x v="180"/>
    <x v="1"/>
    <s v="Oklahoma"/>
    <s v="Oklahoma City"/>
    <x v="5"/>
    <n v="25.000000000000007"/>
    <n v="350"/>
    <n v="87500.000000000029"/>
    <n v="30625.000000000007"/>
    <n v="0.35"/>
    <x v="2"/>
  </r>
  <r>
    <x v="4"/>
    <n v="1197831"/>
    <x v="209"/>
    <x v="1"/>
    <s v="Oklahoma"/>
    <s v="Oklahoma City"/>
    <x v="0"/>
    <n v="25.000000000000007"/>
    <n v="600"/>
    <n v="150000.00000000003"/>
    <n v="52500.000000000007"/>
    <n v="0.35"/>
    <x v="2"/>
  </r>
  <r>
    <x v="4"/>
    <n v="1197831"/>
    <x v="209"/>
    <x v="1"/>
    <s v="Oklahoma"/>
    <s v="Oklahoma City"/>
    <x v="1"/>
    <n v="25.000000000000007"/>
    <n v="250"/>
    <n v="62500.000000000015"/>
    <n v="21875.000000000004"/>
    <n v="0.35"/>
    <x v="2"/>
  </r>
  <r>
    <x v="4"/>
    <n v="1197831"/>
    <x v="209"/>
    <x v="1"/>
    <s v="Oklahoma"/>
    <s v="Oklahoma City"/>
    <x v="2"/>
    <n v="15.000000000000007"/>
    <n v="300"/>
    <n v="45000.000000000022"/>
    <n v="15750.000000000007"/>
    <n v="0.35"/>
    <x v="2"/>
  </r>
  <r>
    <x v="4"/>
    <n v="1197831"/>
    <x v="209"/>
    <x v="3"/>
    <s v="Kansas"/>
    <s v="Wichita"/>
    <x v="3"/>
    <n v="20"/>
    <n v="150"/>
    <n v="30000"/>
    <n v="10500"/>
    <n v="0.35"/>
    <x v="2"/>
  </r>
  <r>
    <x v="4"/>
    <n v="1197831"/>
    <x v="209"/>
    <x v="3"/>
    <s v="Kansas"/>
    <s v="Wichita"/>
    <x v="4"/>
    <n v="35"/>
    <n v="225"/>
    <n v="78750"/>
    <n v="27562.5"/>
    <n v="0.35"/>
    <x v="2"/>
  </r>
  <r>
    <x v="4"/>
    <n v="1197831"/>
    <x v="209"/>
    <x v="3"/>
    <s v="Kansas"/>
    <s v="Wichita"/>
    <x v="5"/>
    <n v="20"/>
    <n v="325"/>
    <n v="65000"/>
    <n v="22750"/>
    <n v="0.35"/>
    <x v="2"/>
  </r>
  <r>
    <x v="4"/>
    <n v="1197831"/>
    <x v="217"/>
    <x v="3"/>
    <s v="Kansas"/>
    <s v="Wichita"/>
    <x v="0"/>
    <n v="20"/>
    <n v="545"/>
    <n v="109000"/>
    <n v="38150"/>
    <n v="0.35"/>
    <x v="2"/>
  </r>
  <r>
    <x v="4"/>
    <n v="1197831"/>
    <x v="217"/>
    <x v="3"/>
    <s v="Kansas"/>
    <s v="Wichita"/>
    <x v="1"/>
    <n v="20"/>
    <n v="225"/>
    <n v="45000"/>
    <n v="15749.999999999998"/>
    <n v="0.35"/>
    <x v="2"/>
  </r>
  <r>
    <x v="4"/>
    <n v="1197831"/>
    <x v="217"/>
    <x v="3"/>
    <s v="Kansas"/>
    <s v="Wichita"/>
    <x v="2"/>
    <n v="10.000000000000002"/>
    <n v="250"/>
    <n v="25000.000000000004"/>
    <n v="8750"/>
    <n v="0.35"/>
    <x v="2"/>
  </r>
  <r>
    <x v="4"/>
    <n v="1197831"/>
    <x v="217"/>
    <x v="3"/>
    <s v="Kansas"/>
    <s v="Wichita"/>
    <x v="3"/>
    <n v="19.999999999999996"/>
    <n v="100"/>
    <n v="19999.999999999996"/>
    <n v="6999.9999999999982"/>
    <n v="0.35"/>
    <x v="2"/>
  </r>
  <r>
    <x v="4"/>
    <n v="1197831"/>
    <x v="217"/>
    <x v="3"/>
    <s v="Kansas"/>
    <s v="Wichita"/>
    <x v="4"/>
    <n v="35.000000000000007"/>
    <n v="150"/>
    <n v="52500.000000000007"/>
    <n v="18375"/>
    <n v="0.35"/>
    <x v="2"/>
  </r>
  <r>
    <x v="4"/>
    <n v="1197831"/>
    <x v="217"/>
    <x v="3"/>
    <s v="Kansas"/>
    <s v="Wichita"/>
    <x v="5"/>
    <n v="25"/>
    <n v="250"/>
    <n v="62500"/>
    <n v="21875"/>
    <n v="0.35"/>
    <x v="2"/>
  </r>
  <r>
    <x v="4"/>
    <n v="1197831"/>
    <x v="236"/>
    <x v="3"/>
    <s v="Kansas"/>
    <s v="Wichita"/>
    <x v="0"/>
    <n v="25"/>
    <n v="500"/>
    <n v="125000"/>
    <n v="43750"/>
    <n v="0.35"/>
    <x v="2"/>
  </r>
  <r>
    <x v="4"/>
    <n v="1197831"/>
    <x v="236"/>
    <x v="3"/>
    <s v="Kansas"/>
    <s v="Wichita"/>
    <x v="1"/>
    <n v="25"/>
    <n v="200"/>
    <n v="50000"/>
    <n v="17500"/>
    <n v="0.35"/>
    <x v="2"/>
  </r>
  <r>
    <x v="4"/>
    <n v="1197831"/>
    <x v="236"/>
    <x v="3"/>
    <s v="Kansas"/>
    <s v="Wichita"/>
    <x v="2"/>
    <n v="15.000000000000002"/>
    <n v="200"/>
    <n v="30000.000000000004"/>
    <n v="10500"/>
    <n v="0.35"/>
    <x v="2"/>
  </r>
  <r>
    <x v="4"/>
    <n v="1197831"/>
    <x v="236"/>
    <x v="3"/>
    <s v="Kansas"/>
    <s v="Wichita"/>
    <x v="3"/>
    <n v="19.999999999999996"/>
    <n v="125"/>
    <n v="24999.999999999996"/>
    <n v="8749.9999999999982"/>
    <n v="0.35"/>
    <x v="2"/>
  </r>
  <r>
    <x v="4"/>
    <n v="1197831"/>
    <x v="236"/>
    <x v="3"/>
    <s v="Kansas"/>
    <s v="Wichita"/>
    <x v="4"/>
    <n v="40"/>
    <n v="150"/>
    <n v="60000"/>
    <n v="21000"/>
    <n v="0.35"/>
    <x v="2"/>
  </r>
  <r>
    <x v="4"/>
    <n v="1197831"/>
    <x v="236"/>
    <x v="3"/>
    <s v="Kansas"/>
    <s v="Wichita"/>
    <x v="5"/>
    <n v="30.000000000000004"/>
    <n v="300"/>
    <n v="90000.000000000015"/>
    <n v="31500.000000000004"/>
    <n v="0.35"/>
    <x v="2"/>
  </r>
  <r>
    <x v="4"/>
    <n v="1197831"/>
    <x v="265"/>
    <x v="3"/>
    <s v="Kansas"/>
    <s v="Wichita"/>
    <x v="0"/>
    <n v="40"/>
    <n v="570"/>
    <n v="228000"/>
    <n v="79800"/>
    <n v="0.35"/>
    <x v="2"/>
  </r>
  <r>
    <x v="4"/>
    <n v="1197831"/>
    <x v="265"/>
    <x v="3"/>
    <s v="Kansas"/>
    <s v="Wichita"/>
    <x v="1"/>
    <n v="40"/>
    <n v="275"/>
    <n v="110000"/>
    <n v="38500"/>
    <n v="0.35"/>
    <x v="2"/>
  </r>
  <r>
    <x v="4"/>
    <n v="1197831"/>
    <x v="265"/>
    <x v="3"/>
    <s v="Kansas"/>
    <s v="Wichita"/>
    <x v="2"/>
    <n v="35"/>
    <n v="250"/>
    <n v="87500"/>
    <n v="30624.999999999996"/>
    <n v="0.35"/>
    <x v="2"/>
  </r>
  <r>
    <x v="4"/>
    <n v="1197831"/>
    <x v="265"/>
    <x v="3"/>
    <s v="Kansas"/>
    <s v="Wichita"/>
    <x v="3"/>
    <n v="35"/>
    <n v="200"/>
    <n v="70000"/>
    <n v="24500"/>
    <n v="0.35"/>
    <x v="2"/>
  </r>
  <r>
    <x v="4"/>
    <n v="1197831"/>
    <x v="265"/>
    <x v="3"/>
    <s v="Kansas"/>
    <s v="Wichita"/>
    <x v="4"/>
    <n v="44.999999999999993"/>
    <n v="225"/>
    <n v="101249.99999999999"/>
    <n v="35437.499999999993"/>
    <n v="0.35"/>
    <x v="2"/>
  </r>
  <r>
    <x v="4"/>
    <n v="1197831"/>
    <x v="265"/>
    <x v="3"/>
    <s v="Kansas"/>
    <s v="Wichita"/>
    <x v="5"/>
    <n v="44.999999999999993"/>
    <n v="325"/>
    <n v="146249.99999999997"/>
    <n v="51187.499999999985"/>
    <n v="0.35"/>
    <x v="2"/>
  </r>
  <r>
    <x v="4"/>
    <n v="1197831"/>
    <x v="298"/>
    <x v="3"/>
    <s v="Kansas"/>
    <s v="Wichita"/>
    <x v="0"/>
    <n v="40"/>
    <n v="575"/>
    <n v="230000"/>
    <n v="80500"/>
    <n v="0.35"/>
    <x v="2"/>
  </r>
  <r>
    <x v="4"/>
    <n v="1197831"/>
    <x v="298"/>
    <x v="3"/>
    <s v="Kansas"/>
    <s v="Wichita"/>
    <x v="1"/>
    <n v="35"/>
    <n v="325"/>
    <n v="113750"/>
    <n v="39812.5"/>
    <n v="0.35"/>
    <x v="2"/>
  </r>
  <r>
    <x v="4"/>
    <n v="1197831"/>
    <x v="298"/>
    <x v="3"/>
    <s v="Kansas"/>
    <s v="Wichita"/>
    <x v="2"/>
    <n v="40"/>
    <n v="300"/>
    <n v="120000"/>
    <n v="42000"/>
    <n v="0.35"/>
    <x v="2"/>
  </r>
  <r>
    <x v="4"/>
    <n v="1197831"/>
    <x v="298"/>
    <x v="3"/>
    <s v="Kansas"/>
    <s v="Wichita"/>
    <x v="3"/>
    <n v="40"/>
    <n v="275"/>
    <n v="110000"/>
    <n v="38500"/>
    <n v="0.35"/>
    <x v="2"/>
  </r>
  <r>
    <x v="4"/>
    <n v="1197831"/>
    <x v="298"/>
    <x v="3"/>
    <s v="Kansas"/>
    <s v="Wichita"/>
    <x v="4"/>
    <n v="54.999999999999993"/>
    <n v="275"/>
    <n v="151249.99999999997"/>
    <n v="52937.499999999985"/>
    <n v="0.35"/>
    <x v="2"/>
  </r>
  <r>
    <x v="4"/>
    <n v="1197831"/>
    <x v="298"/>
    <x v="3"/>
    <s v="Kansas"/>
    <s v="Wichita"/>
    <x v="5"/>
    <n v="60"/>
    <n v="450"/>
    <n v="270000"/>
    <n v="94500"/>
    <n v="0.35"/>
    <x v="2"/>
  </r>
  <r>
    <x v="4"/>
    <n v="1197831"/>
    <x v="326"/>
    <x v="3"/>
    <s v="Kansas"/>
    <s v="Wichita"/>
    <x v="0"/>
    <n v="54.999999999999993"/>
    <n v="675"/>
    <n v="371249.99999999994"/>
    <n v="129937.49999999997"/>
    <n v="0.35"/>
    <x v="2"/>
  </r>
  <r>
    <x v="4"/>
    <n v="1197831"/>
    <x v="326"/>
    <x v="3"/>
    <s v="Kansas"/>
    <s v="Wichita"/>
    <x v="1"/>
    <n v="50"/>
    <n v="425"/>
    <n v="212500"/>
    <n v="74375"/>
    <n v="0.35"/>
    <x v="2"/>
  </r>
  <r>
    <x v="4"/>
    <n v="1197831"/>
    <x v="326"/>
    <x v="3"/>
    <s v="Kansas"/>
    <s v="Wichita"/>
    <x v="2"/>
    <n v="45"/>
    <n v="350"/>
    <n v="157500"/>
    <n v="55125"/>
    <n v="0.35"/>
    <x v="2"/>
  </r>
  <r>
    <x v="4"/>
    <n v="1197831"/>
    <x v="326"/>
    <x v="3"/>
    <s v="Kansas"/>
    <s v="Wichita"/>
    <x v="3"/>
    <n v="45"/>
    <n v="300"/>
    <n v="135000"/>
    <n v="47250"/>
    <n v="0.35"/>
    <x v="2"/>
  </r>
  <r>
    <x v="4"/>
    <n v="1197831"/>
    <x v="326"/>
    <x v="3"/>
    <s v="Kansas"/>
    <s v="Wichita"/>
    <x v="4"/>
    <n v="60"/>
    <n v="325"/>
    <n v="195000"/>
    <n v="68250"/>
    <n v="0.35"/>
    <x v="2"/>
  </r>
  <r>
    <x v="4"/>
    <n v="1197831"/>
    <x v="326"/>
    <x v="3"/>
    <s v="Kansas"/>
    <s v="Wichita"/>
    <x v="5"/>
    <n v="65"/>
    <n v="500"/>
    <n v="325000"/>
    <n v="113750"/>
    <n v="0.35"/>
    <x v="2"/>
  </r>
  <r>
    <x v="4"/>
    <n v="1197831"/>
    <x v="358"/>
    <x v="3"/>
    <s v="Kansas"/>
    <s v="Wichita"/>
    <x v="0"/>
    <n v="60"/>
    <n v="650"/>
    <n v="390000"/>
    <n v="136500"/>
    <n v="0.35"/>
    <x v="2"/>
  </r>
  <r>
    <x v="4"/>
    <n v="1197831"/>
    <x v="358"/>
    <x v="3"/>
    <s v="Kansas"/>
    <s v="Wichita"/>
    <x v="1"/>
    <n v="55.000000000000007"/>
    <n v="425"/>
    <n v="233750.00000000003"/>
    <n v="81812.5"/>
    <n v="0.35"/>
    <x v="2"/>
  </r>
  <r>
    <x v="4"/>
    <n v="1197831"/>
    <x v="358"/>
    <x v="3"/>
    <s v="Kansas"/>
    <s v="Wichita"/>
    <x v="2"/>
    <n v="50"/>
    <n v="350"/>
    <n v="175000"/>
    <n v="61249.999999999993"/>
    <n v="0.35"/>
    <x v="2"/>
  </r>
  <r>
    <x v="4"/>
    <n v="1197831"/>
    <x v="358"/>
    <x v="3"/>
    <s v="Kansas"/>
    <s v="Wichita"/>
    <x v="3"/>
    <n v="40"/>
    <n v="300"/>
    <n v="120000"/>
    <n v="42000"/>
    <n v="0.35"/>
    <x v="2"/>
  </r>
  <r>
    <x v="4"/>
    <n v="1197831"/>
    <x v="358"/>
    <x v="3"/>
    <s v="Kansas"/>
    <s v="Wichita"/>
    <x v="4"/>
    <n v="50"/>
    <n v="275"/>
    <n v="137500"/>
    <n v="48125"/>
    <n v="0.35"/>
    <x v="2"/>
  </r>
  <r>
    <x v="4"/>
    <n v="1197831"/>
    <x v="358"/>
    <x v="3"/>
    <s v="Kansas"/>
    <s v="Wichita"/>
    <x v="5"/>
    <n v="55.000000000000007"/>
    <n v="450"/>
    <n v="247500.00000000003"/>
    <n v="86625"/>
    <n v="0.35"/>
    <x v="2"/>
  </r>
  <r>
    <x v="4"/>
    <n v="1197831"/>
    <x v="388"/>
    <x v="3"/>
    <s v="Kansas"/>
    <s v="Wichita"/>
    <x v="0"/>
    <n v="50"/>
    <n v="550"/>
    <n v="275000"/>
    <n v="96250"/>
    <n v="0.35"/>
    <x v="2"/>
  </r>
  <r>
    <x v="4"/>
    <n v="1197831"/>
    <x v="388"/>
    <x v="3"/>
    <s v="Kansas"/>
    <s v="Wichita"/>
    <x v="1"/>
    <n v="40.000000000000014"/>
    <n v="350"/>
    <n v="140000.00000000006"/>
    <n v="49000.000000000015"/>
    <n v="0.35"/>
    <x v="2"/>
  </r>
  <r>
    <x v="4"/>
    <n v="1197831"/>
    <x v="388"/>
    <x v="3"/>
    <s v="Kansas"/>
    <s v="Wichita"/>
    <x v="2"/>
    <n v="15.000000000000007"/>
    <n v="250"/>
    <n v="37500.000000000015"/>
    <n v="13125.000000000004"/>
    <n v="0.35"/>
    <x v="2"/>
  </r>
  <r>
    <x v="4"/>
    <n v="1197831"/>
    <x v="388"/>
    <x v="3"/>
    <s v="Kansas"/>
    <s v="Wichita"/>
    <x v="3"/>
    <n v="15.000000000000007"/>
    <n v="225"/>
    <n v="33750.000000000015"/>
    <n v="11812.500000000004"/>
    <n v="0.35"/>
    <x v="2"/>
  </r>
  <r>
    <x v="4"/>
    <n v="1197831"/>
    <x v="388"/>
    <x v="3"/>
    <s v="Kansas"/>
    <s v="Wichita"/>
    <x v="4"/>
    <n v="25.000000000000007"/>
    <n v="225"/>
    <n v="56250.000000000015"/>
    <n v="19687.500000000004"/>
    <n v="0.35"/>
    <x v="2"/>
  </r>
  <r>
    <x v="4"/>
    <n v="1197831"/>
    <x v="388"/>
    <x v="3"/>
    <s v="Kansas"/>
    <s v="Wichita"/>
    <x v="5"/>
    <n v="30.000000000000011"/>
    <n v="325"/>
    <n v="97500.000000000029"/>
    <n v="34125.000000000007"/>
    <n v="0.35"/>
    <x v="2"/>
  </r>
  <r>
    <x v="4"/>
    <n v="1197831"/>
    <x v="420"/>
    <x v="3"/>
    <s v="Kansas"/>
    <s v="Wichita"/>
    <x v="0"/>
    <n v="30.000000000000011"/>
    <n v="500"/>
    <n v="150000.00000000006"/>
    <n v="52500.000000000015"/>
    <n v="0.35"/>
    <x v="2"/>
  </r>
  <r>
    <x v="4"/>
    <n v="1197831"/>
    <x v="420"/>
    <x v="3"/>
    <s v="Kansas"/>
    <s v="Wichita"/>
    <x v="1"/>
    <n v="20.000000000000011"/>
    <n v="325"/>
    <n v="65000.000000000036"/>
    <n v="22750.000000000011"/>
    <n v="0.35"/>
    <x v="2"/>
  </r>
  <r>
    <x v="4"/>
    <n v="1197831"/>
    <x v="420"/>
    <x v="3"/>
    <s v="Kansas"/>
    <s v="Wichita"/>
    <x v="2"/>
    <n v="20.000000000000011"/>
    <n v="200"/>
    <n v="40000.000000000022"/>
    <n v="14000.000000000007"/>
    <n v="0.35"/>
    <x v="2"/>
  </r>
  <r>
    <x v="4"/>
    <n v="1197831"/>
    <x v="420"/>
    <x v="3"/>
    <s v="Kansas"/>
    <s v="Wichita"/>
    <x v="3"/>
    <n v="20.000000000000011"/>
    <n v="175"/>
    <n v="35000.000000000022"/>
    <n v="12250.000000000007"/>
    <n v="0.35"/>
    <x v="2"/>
  </r>
  <r>
    <x v="4"/>
    <n v="1197831"/>
    <x v="420"/>
    <x v="3"/>
    <s v="Kansas"/>
    <s v="Wichita"/>
    <x v="4"/>
    <n v="30.000000000000011"/>
    <n v="175"/>
    <n v="52500.000000000022"/>
    <n v="18375.000000000007"/>
    <n v="0.35"/>
    <x v="2"/>
  </r>
  <r>
    <x v="0"/>
    <n v="1197831"/>
    <x v="420"/>
    <x v="3"/>
    <s v="Kansas"/>
    <s v="Wichita"/>
    <x v="5"/>
    <n v="30.000000000000004"/>
    <n v="300"/>
    <n v="90000.000000000015"/>
    <n v="31500.000000000004"/>
    <n v="0.35"/>
    <x v="2"/>
  </r>
  <r>
    <x v="0"/>
    <n v="1197831"/>
    <x v="450"/>
    <x v="3"/>
    <s v="Kansas"/>
    <s v="Wichita"/>
    <x v="0"/>
    <n v="25.000000000000011"/>
    <n v="450"/>
    <n v="112500.00000000004"/>
    <n v="39375.000000000015"/>
    <n v="0.35"/>
    <x v="2"/>
  </r>
  <r>
    <x v="0"/>
    <n v="1197831"/>
    <x v="450"/>
    <x v="3"/>
    <s v="Kansas"/>
    <s v="Wichita"/>
    <x v="1"/>
    <n v="15.000000000000014"/>
    <n v="275"/>
    <n v="41250.000000000036"/>
    <n v="14437.500000000011"/>
    <n v="0.35"/>
    <x v="2"/>
  </r>
  <r>
    <x v="0"/>
    <n v="1197831"/>
    <x v="450"/>
    <x v="3"/>
    <s v="Kansas"/>
    <s v="Wichita"/>
    <x v="2"/>
    <n v="25.000000000000018"/>
    <n v="220"/>
    <n v="55000.000000000036"/>
    <n v="19250.000000000011"/>
    <n v="0.35"/>
    <x v="2"/>
  </r>
  <r>
    <x v="0"/>
    <n v="1197831"/>
    <x v="450"/>
    <x v="3"/>
    <s v="Kansas"/>
    <s v="Wichita"/>
    <x v="3"/>
    <n v="55.000000000000014"/>
    <n v="275"/>
    <n v="151250.00000000003"/>
    <n v="52937.500000000007"/>
    <n v="0.35"/>
    <x v="2"/>
  </r>
  <r>
    <x v="0"/>
    <n v="1197831"/>
    <x v="450"/>
    <x v="3"/>
    <s v="Kansas"/>
    <s v="Wichita"/>
    <x v="4"/>
    <n v="75.000000000000014"/>
    <n v="250"/>
    <n v="187500.00000000003"/>
    <n v="65625"/>
    <n v="0.35"/>
    <x v="2"/>
  </r>
  <r>
    <x v="0"/>
    <n v="1197831"/>
    <x v="450"/>
    <x v="3"/>
    <s v="Kansas"/>
    <s v="Wichita"/>
    <x v="5"/>
    <n v="75"/>
    <n v="350"/>
    <n v="262500"/>
    <n v="91875"/>
    <n v="0.35"/>
    <x v="2"/>
  </r>
  <r>
    <x v="0"/>
    <n v="1197831"/>
    <x v="479"/>
    <x v="3"/>
    <s v="Kansas"/>
    <s v="Wichita"/>
    <x v="0"/>
    <n v="70"/>
    <n v="600"/>
    <n v="420000"/>
    <n v="147000"/>
    <n v="0.35"/>
    <x v="2"/>
  </r>
  <r>
    <x v="0"/>
    <n v="1197831"/>
    <x v="479"/>
    <x v="3"/>
    <s v="Kansas"/>
    <s v="Wichita"/>
    <x v="1"/>
    <n v="60.000000000000007"/>
    <n v="400"/>
    <n v="240000.00000000003"/>
    <n v="84000"/>
    <n v="0.35"/>
    <x v="2"/>
  </r>
  <r>
    <x v="0"/>
    <n v="1197831"/>
    <x v="479"/>
    <x v="3"/>
    <s v="Kansas"/>
    <s v="Wichita"/>
    <x v="2"/>
    <n v="60.000000000000007"/>
    <n v="350"/>
    <n v="210000.00000000003"/>
    <n v="73500"/>
    <n v="0.35"/>
    <x v="2"/>
  </r>
  <r>
    <x v="0"/>
    <n v="1197831"/>
    <x v="479"/>
    <x v="3"/>
    <s v="Kansas"/>
    <s v="Wichita"/>
    <x v="3"/>
    <n v="60.000000000000007"/>
    <n v="300"/>
    <n v="180000.00000000003"/>
    <n v="63000.000000000007"/>
    <n v="0.35"/>
    <x v="2"/>
  </r>
  <r>
    <x v="0"/>
    <n v="1197831"/>
    <x v="479"/>
    <x v="3"/>
    <s v="Kansas"/>
    <s v="Wichita"/>
    <x v="4"/>
    <n v="70"/>
    <n v="300"/>
    <n v="210000"/>
    <n v="73500"/>
    <n v="0.35"/>
    <x v="2"/>
  </r>
  <r>
    <x v="0"/>
    <n v="1197831"/>
    <x v="479"/>
    <x v="3"/>
    <s v="Kansas"/>
    <s v="Wichita"/>
    <x v="5"/>
    <n v="75"/>
    <n v="400"/>
    <n v="300000"/>
    <n v="105000"/>
    <n v="0.35"/>
    <x v="2"/>
  </r>
  <r>
    <x v="0"/>
    <n v="1185732"/>
    <x v="176"/>
    <x v="3"/>
    <s v="Kansas"/>
    <s v="Wichita"/>
    <x v="0"/>
    <n v="40"/>
    <n v="475"/>
    <n v="190000"/>
    <n v="66500"/>
    <n v="0.35"/>
    <x v="2"/>
  </r>
  <r>
    <x v="0"/>
    <n v="1185732"/>
    <x v="176"/>
    <x v="3"/>
    <s v="Kansas"/>
    <s v="Wichita"/>
    <x v="1"/>
    <n v="40"/>
    <n v="275"/>
    <n v="110000"/>
    <n v="33000"/>
    <n v="0.3"/>
    <x v="2"/>
  </r>
  <r>
    <x v="0"/>
    <n v="1185732"/>
    <x v="176"/>
    <x v="3"/>
    <s v="Kansas"/>
    <s v="Wichita"/>
    <x v="2"/>
    <n v="30.000000000000004"/>
    <n v="275"/>
    <n v="82500.000000000015"/>
    <n v="24750.000000000004"/>
    <n v="0.3"/>
    <x v="2"/>
  </r>
  <r>
    <x v="0"/>
    <n v="1185732"/>
    <x v="176"/>
    <x v="3"/>
    <s v="Kansas"/>
    <s v="Wichita"/>
    <x v="3"/>
    <n v="35"/>
    <n v="125"/>
    <n v="43750"/>
    <n v="13125"/>
    <n v="0.3"/>
    <x v="2"/>
  </r>
  <r>
    <x v="0"/>
    <n v="1185732"/>
    <x v="176"/>
    <x v="3"/>
    <s v="Kansas"/>
    <s v="Wichita"/>
    <x v="4"/>
    <n v="49.999999999999993"/>
    <n v="175"/>
    <n v="87499.999999999985"/>
    <n v="30624.999999999993"/>
    <n v="0.35"/>
    <x v="2"/>
  </r>
  <r>
    <x v="0"/>
    <n v="1185732"/>
    <x v="176"/>
    <x v="3"/>
    <s v="Kansas"/>
    <s v="Wichita"/>
    <x v="5"/>
    <n v="40"/>
    <n v="275"/>
    <n v="110000"/>
    <n v="44000"/>
    <n v="0.4"/>
    <x v="2"/>
  </r>
  <r>
    <x v="0"/>
    <n v="1185732"/>
    <x v="207"/>
    <x v="3"/>
    <s v="Kansas"/>
    <s v="Wichita"/>
    <x v="0"/>
    <n v="40"/>
    <n v="525"/>
    <n v="210000"/>
    <n v="73500"/>
    <n v="0.35"/>
    <x v="2"/>
  </r>
  <r>
    <x v="0"/>
    <n v="1185732"/>
    <x v="207"/>
    <x v="3"/>
    <s v="Kansas"/>
    <s v="Wichita"/>
    <x v="1"/>
    <n v="40"/>
    <n v="175"/>
    <n v="70000"/>
    <n v="21000"/>
    <n v="0.3"/>
    <x v="2"/>
  </r>
  <r>
    <x v="0"/>
    <n v="1185732"/>
    <x v="207"/>
    <x v="3"/>
    <s v="Kansas"/>
    <s v="Wichita"/>
    <x v="2"/>
    <n v="30.000000000000004"/>
    <n v="225"/>
    <n v="67500.000000000015"/>
    <n v="20250.000000000004"/>
    <n v="0.3"/>
    <x v="2"/>
  </r>
  <r>
    <x v="0"/>
    <n v="1185732"/>
    <x v="207"/>
    <x v="3"/>
    <s v="South Dakota"/>
    <s v="Sioux Falls"/>
    <x v="3"/>
    <n v="35"/>
    <n v="100"/>
    <n v="35000"/>
    <n v="10500"/>
    <n v="0.3"/>
    <x v="2"/>
  </r>
  <r>
    <x v="0"/>
    <n v="1185732"/>
    <x v="207"/>
    <x v="3"/>
    <s v="South Dakota"/>
    <s v="Sioux Falls"/>
    <x v="4"/>
    <n v="49.999999999999993"/>
    <n v="175"/>
    <n v="87499.999999999985"/>
    <n v="30624.999999999993"/>
    <n v="0.35"/>
    <x v="2"/>
  </r>
  <r>
    <x v="0"/>
    <n v="1185732"/>
    <x v="207"/>
    <x v="3"/>
    <s v="South Dakota"/>
    <s v="Sioux Falls"/>
    <x v="5"/>
    <n v="35"/>
    <n v="275"/>
    <n v="96250"/>
    <n v="38500"/>
    <n v="0.4"/>
    <x v="2"/>
  </r>
  <r>
    <x v="0"/>
    <n v="1185732"/>
    <x v="216"/>
    <x v="3"/>
    <s v="South Dakota"/>
    <s v="Sioux Falls"/>
    <x v="0"/>
    <n v="40"/>
    <n v="495"/>
    <n v="198000"/>
    <n v="69300"/>
    <n v="0.35"/>
    <x v="2"/>
  </r>
  <r>
    <x v="0"/>
    <n v="1185732"/>
    <x v="216"/>
    <x v="3"/>
    <s v="South Dakota"/>
    <s v="Sioux Falls"/>
    <x v="1"/>
    <n v="40"/>
    <n v="200"/>
    <n v="80000"/>
    <n v="24000"/>
    <n v="0.3"/>
    <x v="2"/>
  </r>
  <r>
    <x v="0"/>
    <n v="1185732"/>
    <x v="216"/>
    <x v="3"/>
    <s v="South Dakota"/>
    <s v="Sioux Falls"/>
    <x v="2"/>
    <n v="30.000000000000004"/>
    <n v="225"/>
    <n v="67500.000000000015"/>
    <n v="20250.000000000004"/>
    <n v="0.3"/>
    <x v="2"/>
  </r>
  <r>
    <x v="0"/>
    <n v="1185732"/>
    <x v="216"/>
    <x v="3"/>
    <s v="South Dakota"/>
    <s v="Sioux Falls"/>
    <x v="3"/>
    <n v="35"/>
    <n v="75"/>
    <n v="26250"/>
    <n v="7875"/>
    <n v="0.3"/>
    <x v="2"/>
  </r>
  <r>
    <x v="0"/>
    <n v="1185732"/>
    <x v="216"/>
    <x v="3"/>
    <s v="South Dakota"/>
    <s v="Sioux Falls"/>
    <x v="4"/>
    <n v="50"/>
    <n v="125"/>
    <n v="62500"/>
    <n v="21875"/>
    <n v="0.35"/>
    <x v="2"/>
  </r>
  <r>
    <x v="0"/>
    <n v="1185732"/>
    <x v="216"/>
    <x v="3"/>
    <s v="South Dakota"/>
    <s v="Sioux Falls"/>
    <x v="5"/>
    <n v="40"/>
    <n v="225"/>
    <n v="90000"/>
    <n v="36000"/>
    <n v="0.4"/>
    <x v="2"/>
  </r>
  <r>
    <x v="0"/>
    <n v="1185732"/>
    <x v="235"/>
    <x v="3"/>
    <s v="South Dakota"/>
    <s v="Sioux Falls"/>
    <x v="0"/>
    <n v="40"/>
    <n v="450"/>
    <n v="180000"/>
    <n v="62999.999999999993"/>
    <n v="0.35"/>
    <x v="2"/>
  </r>
  <r>
    <x v="0"/>
    <n v="1185732"/>
    <x v="235"/>
    <x v="3"/>
    <s v="South Dakota"/>
    <s v="Sioux Falls"/>
    <x v="1"/>
    <n v="40"/>
    <n v="150"/>
    <n v="60000"/>
    <n v="18000"/>
    <n v="0.3"/>
    <x v="2"/>
  </r>
  <r>
    <x v="0"/>
    <n v="1185732"/>
    <x v="235"/>
    <x v="3"/>
    <s v="South Dakota"/>
    <s v="Sioux Falls"/>
    <x v="2"/>
    <n v="30.000000000000004"/>
    <n v="150"/>
    <n v="45000.000000000007"/>
    <n v="13500.000000000002"/>
    <n v="0.3"/>
    <x v="2"/>
  </r>
  <r>
    <x v="0"/>
    <n v="1185732"/>
    <x v="235"/>
    <x v="3"/>
    <s v="South Dakota"/>
    <s v="Sioux Falls"/>
    <x v="3"/>
    <n v="35"/>
    <n v="75"/>
    <n v="26250"/>
    <n v="7875"/>
    <n v="0.3"/>
    <x v="2"/>
  </r>
  <r>
    <x v="0"/>
    <n v="1185732"/>
    <x v="235"/>
    <x v="3"/>
    <s v="South Dakota"/>
    <s v="Sioux Falls"/>
    <x v="4"/>
    <n v="60"/>
    <n v="100"/>
    <n v="60000"/>
    <n v="21000"/>
    <n v="0.35"/>
    <x v="2"/>
  </r>
  <r>
    <x v="0"/>
    <n v="1185732"/>
    <x v="235"/>
    <x v="3"/>
    <s v="South Dakota"/>
    <s v="Sioux Falls"/>
    <x v="5"/>
    <n v="50"/>
    <n v="225"/>
    <n v="112500"/>
    <n v="45000"/>
    <n v="0.4"/>
    <x v="2"/>
  </r>
  <r>
    <x v="0"/>
    <n v="1185732"/>
    <x v="266"/>
    <x v="3"/>
    <s v="South Dakota"/>
    <s v="Sioux Falls"/>
    <x v="0"/>
    <n v="60"/>
    <n v="495"/>
    <n v="297000"/>
    <n v="103950"/>
    <n v="0.35"/>
    <x v="2"/>
  </r>
  <r>
    <x v="0"/>
    <n v="1185732"/>
    <x v="266"/>
    <x v="3"/>
    <s v="South Dakota"/>
    <s v="Sioux Falls"/>
    <x v="1"/>
    <n v="50"/>
    <n v="200"/>
    <n v="100000"/>
    <n v="30000"/>
    <n v="0.3"/>
    <x v="2"/>
  </r>
  <r>
    <x v="0"/>
    <n v="1185732"/>
    <x v="266"/>
    <x v="3"/>
    <s v="South Dakota"/>
    <s v="Sioux Falls"/>
    <x v="2"/>
    <n v="45"/>
    <n v="175"/>
    <n v="78750"/>
    <n v="23625"/>
    <n v="0.3"/>
    <x v="2"/>
  </r>
  <r>
    <x v="0"/>
    <n v="1185732"/>
    <x v="266"/>
    <x v="3"/>
    <s v="South Dakota"/>
    <s v="Sioux Falls"/>
    <x v="3"/>
    <n v="45"/>
    <n v="100"/>
    <n v="45000"/>
    <n v="13500"/>
    <n v="0.3"/>
    <x v="2"/>
  </r>
  <r>
    <x v="0"/>
    <n v="1185732"/>
    <x v="266"/>
    <x v="3"/>
    <s v="South Dakota"/>
    <s v="Sioux Falls"/>
    <x v="4"/>
    <n v="54.999999999999993"/>
    <n v="125"/>
    <n v="68749.999999999985"/>
    <n v="24062.499999999993"/>
    <n v="0.35"/>
    <x v="2"/>
  </r>
  <r>
    <x v="0"/>
    <n v="1185732"/>
    <x v="266"/>
    <x v="3"/>
    <s v="South Dakota"/>
    <s v="Sioux Falls"/>
    <x v="5"/>
    <n v="60"/>
    <n v="250"/>
    <n v="150000"/>
    <n v="60000"/>
    <n v="0.4"/>
    <x v="2"/>
  </r>
  <r>
    <x v="0"/>
    <n v="1185732"/>
    <x v="296"/>
    <x v="3"/>
    <s v="South Dakota"/>
    <s v="Sioux Falls"/>
    <x v="0"/>
    <n v="45"/>
    <n v="500"/>
    <n v="225000"/>
    <n v="78750"/>
    <n v="0.35"/>
    <x v="2"/>
  </r>
  <r>
    <x v="0"/>
    <n v="1185732"/>
    <x v="296"/>
    <x v="3"/>
    <s v="South Dakota"/>
    <s v="Sioux Falls"/>
    <x v="1"/>
    <n v="40.000000000000007"/>
    <n v="250"/>
    <n v="100000.00000000001"/>
    <n v="30000.000000000004"/>
    <n v="0.3"/>
    <x v="2"/>
  </r>
  <r>
    <x v="0"/>
    <n v="1185732"/>
    <x v="296"/>
    <x v="3"/>
    <s v="South Dakota"/>
    <s v="Sioux Falls"/>
    <x v="2"/>
    <n v="35"/>
    <n v="200"/>
    <n v="70000"/>
    <n v="21000"/>
    <n v="0.3"/>
    <x v="2"/>
  </r>
  <r>
    <x v="0"/>
    <n v="1185732"/>
    <x v="296"/>
    <x v="3"/>
    <s v="South Dakota"/>
    <s v="Sioux Falls"/>
    <x v="3"/>
    <n v="35"/>
    <n v="175"/>
    <n v="61250"/>
    <n v="18375"/>
    <n v="0.3"/>
    <x v="2"/>
  </r>
  <r>
    <x v="0"/>
    <n v="1185732"/>
    <x v="296"/>
    <x v="3"/>
    <s v="South Dakota"/>
    <s v="Sioux Falls"/>
    <x v="4"/>
    <n v="45"/>
    <n v="175"/>
    <n v="78750"/>
    <n v="27562.5"/>
    <n v="0.35"/>
    <x v="2"/>
  </r>
  <r>
    <x v="0"/>
    <n v="1185732"/>
    <x v="296"/>
    <x v="3"/>
    <s v="South Dakota"/>
    <s v="Sioux Falls"/>
    <x v="5"/>
    <n v="55.000000000000007"/>
    <n v="325"/>
    <n v="178750.00000000003"/>
    <n v="71500.000000000015"/>
    <n v="0.4"/>
    <x v="2"/>
  </r>
  <r>
    <x v="0"/>
    <n v="1185732"/>
    <x v="325"/>
    <x v="3"/>
    <s v="South Dakota"/>
    <s v="Sioux Falls"/>
    <x v="0"/>
    <n v="50"/>
    <n v="550"/>
    <n v="275000"/>
    <n v="96250"/>
    <n v="0.35"/>
    <x v="2"/>
  </r>
  <r>
    <x v="0"/>
    <n v="1185732"/>
    <x v="325"/>
    <x v="3"/>
    <s v="South Dakota"/>
    <s v="Sioux Falls"/>
    <x v="1"/>
    <n v="45.000000000000007"/>
    <n v="300"/>
    <n v="135000.00000000003"/>
    <n v="40500.000000000007"/>
    <n v="0.3"/>
    <x v="2"/>
  </r>
  <r>
    <x v="0"/>
    <n v="1185732"/>
    <x v="325"/>
    <x v="3"/>
    <s v="South Dakota"/>
    <s v="Sioux Falls"/>
    <x v="2"/>
    <n v="40"/>
    <n v="225"/>
    <n v="90000"/>
    <n v="27000"/>
    <n v="0.3"/>
    <x v="2"/>
  </r>
  <r>
    <x v="0"/>
    <n v="1185732"/>
    <x v="325"/>
    <x v="3"/>
    <s v="South Dakota"/>
    <s v="Sioux Falls"/>
    <x v="3"/>
    <n v="40"/>
    <n v="175"/>
    <n v="70000"/>
    <n v="21000"/>
    <n v="0.3"/>
    <x v="2"/>
  </r>
  <r>
    <x v="0"/>
    <n v="1185732"/>
    <x v="325"/>
    <x v="3"/>
    <s v="South Dakota"/>
    <s v="Sioux Falls"/>
    <x v="4"/>
    <n v="50"/>
    <n v="200"/>
    <n v="100000"/>
    <n v="35000"/>
    <n v="0.35"/>
    <x v="2"/>
  </r>
  <r>
    <x v="0"/>
    <n v="1185732"/>
    <x v="325"/>
    <x v="3"/>
    <s v="South Dakota"/>
    <s v="Sioux Falls"/>
    <x v="5"/>
    <n v="55.000000000000007"/>
    <n v="375"/>
    <n v="206250.00000000003"/>
    <n v="82500.000000000015"/>
    <n v="0.4"/>
    <x v="2"/>
  </r>
  <r>
    <x v="0"/>
    <n v="1185732"/>
    <x v="357"/>
    <x v="3"/>
    <s v="South Dakota"/>
    <s v="Sioux Falls"/>
    <x v="0"/>
    <n v="50"/>
    <n v="525"/>
    <n v="262500"/>
    <n v="91875"/>
    <n v="0.35"/>
    <x v="2"/>
  </r>
  <r>
    <x v="0"/>
    <n v="1185732"/>
    <x v="357"/>
    <x v="3"/>
    <s v="South Dakota"/>
    <s v="Sioux Falls"/>
    <x v="1"/>
    <n v="45.000000000000007"/>
    <n v="300"/>
    <n v="135000.00000000003"/>
    <n v="40500.000000000007"/>
    <n v="0.3"/>
    <x v="2"/>
  </r>
  <r>
    <x v="0"/>
    <n v="1185732"/>
    <x v="357"/>
    <x v="3"/>
    <s v="South Dakota"/>
    <s v="Sioux Falls"/>
    <x v="2"/>
    <n v="40"/>
    <n v="225"/>
    <n v="90000"/>
    <n v="27000"/>
    <n v="0.3"/>
    <x v="2"/>
  </r>
  <r>
    <x v="0"/>
    <n v="1185732"/>
    <x v="357"/>
    <x v="3"/>
    <s v="South Dakota"/>
    <s v="Sioux Falls"/>
    <x v="3"/>
    <n v="40"/>
    <n v="200"/>
    <n v="80000"/>
    <n v="24000"/>
    <n v="0.3"/>
    <x v="2"/>
  </r>
  <r>
    <x v="0"/>
    <n v="1185732"/>
    <x v="357"/>
    <x v="3"/>
    <s v="South Dakota"/>
    <s v="Sioux Falls"/>
    <x v="4"/>
    <n v="50"/>
    <n v="175"/>
    <n v="87500"/>
    <n v="30624.999999999996"/>
    <n v="0.35"/>
    <x v="2"/>
  </r>
  <r>
    <x v="0"/>
    <n v="1185732"/>
    <x v="357"/>
    <x v="3"/>
    <s v="South Dakota"/>
    <s v="Sioux Falls"/>
    <x v="5"/>
    <n v="55.000000000000007"/>
    <n v="350"/>
    <n v="192500.00000000003"/>
    <n v="77000.000000000015"/>
    <n v="0.4"/>
    <x v="2"/>
  </r>
  <r>
    <x v="0"/>
    <n v="1185732"/>
    <x v="389"/>
    <x v="3"/>
    <s v="South Dakota"/>
    <s v="Sioux Falls"/>
    <x v="0"/>
    <n v="45"/>
    <n v="475"/>
    <n v="213750"/>
    <n v="74812.5"/>
    <n v="0.35"/>
    <x v="2"/>
  </r>
  <r>
    <x v="0"/>
    <n v="1185732"/>
    <x v="389"/>
    <x v="3"/>
    <s v="South Dakota"/>
    <s v="Sioux Falls"/>
    <x v="1"/>
    <n v="40.000000000000007"/>
    <n v="275"/>
    <n v="110000.00000000001"/>
    <n v="33000"/>
    <n v="0.3"/>
    <x v="2"/>
  </r>
  <r>
    <x v="0"/>
    <n v="1185732"/>
    <x v="389"/>
    <x v="3"/>
    <s v="South Dakota"/>
    <s v="Sioux Falls"/>
    <x v="2"/>
    <n v="35"/>
    <n v="175"/>
    <n v="61250"/>
    <n v="18375"/>
    <n v="0.3"/>
    <x v="2"/>
  </r>
  <r>
    <x v="0"/>
    <n v="1185732"/>
    <x v="389"/>
    <x v="3"/>
    <s v="South Dakota"/>
    <s v="Sioux Falls"/>
    <x v="3"/>
    <n v="35"/>
    <n v="150"/>
    <n v="52500"/>
    <n v="15750"/>
    <n v="0.3"/>
    <x v="2"/>
  </r>
  <r>
    <x v="0"/>
    <n v="1185732"/>
    <x v="389"/>
    <x v="3"/>
    <s v="South Dakota"/>
    <s v="Sioux Falls"/>
    <x v="4"/>
    <n v="45"/>
    <n v="150"/>
    <n v="67500"/>
    <n v="23625"/>
    <n v="0.35"/>
    <x v="2"/>
  </r>
  <r>
    <x v="0"/>
    <n v="1185732"/>
    <x v="389"/>
    <x v="3"/>
    <s v="South Dakota"/>
    <s v="Sioux Falls"/>
    <x v="5"/>
    <n v="50"/>
    <n v="225"/>
    <n v="112500"/>
    <n v="45000"/>
    <n v="0.4"/>
    <x v="2"/>
  </r>
  <r>
    <x v="0"/>
    <n v="1185732"/>
    <x v="418"/>
    <x v="3"/>
    <s v="South Dakota"/>
    <s v="Sioux Falls"/>
    <x v="0"/>
    <n v="54.999999999999993"/>
    <n v="400"/>
    <n v="219999.99999999997"/>
    <n v="76999.999999999985"/>
    <n v="0.35"/>
    <x v="2"/>
  </r>
  <r>
    <x v="0"/>
    <n v="1185732"/>
    <x v="418"/>
    <x v="3"/>
    <s v="South Dakota"/>
    <s v="Sioux Falls"/>
    <x v="1"/>
    <n v="45"/>
    <n v="250"/>
    <n v="112500"/>
    <n v="33750"/>
    <n v="0.3"/>
    <x v="2"/>
  </r>
  <r>
    <x v="0"/>
    <n v="1185732"/>
    <x v="418"/>
    <x v="3"/>
    <s v="South Dakota"/>
    <s v="Sioux Falls"/>
    <x v="2"/>
    <n v="45"/>
    <n v="150"/>
    <n v="67500"/>
    <n v="20250"/>
    <n v="0.3"/>
    <x v="2"/>
  </r>
  <r>
    <x v="0"/>
    <n v="1185732"/>
    <x v="418"/>
    <x v="3"/>
    <s v="South Dakota"/>
    <s v="Sioux Falls"/>
    <x v="3"/>
    <n v="45"/>
    <n v="125"/>
    <n v="56250"/>
    <n v="16875"/>
    <n v="0.3"/>
    <x v="2"/>
  </r>
  <r>
    <x v="0"/>
    <n v="1185732"/>
    <x v="418"/>
    <x v="3"/>
    <s v="South Dakota"/>
    <s v="Sioux Falls"/>
    <x v="4"/>
    <n v="54.999999999999993"/>
    <n v="125"/>
    <n v="68749.999999999985"/>
    <n v="24062.499999999993"/>
    <n v="0.35"/>
    <x v="2"/>
  </r>
  <r>
    <x v="2"/>
    <n v="1185732"/>
    <x v="418"/>
    <x v="3"/>
    <s v="South Dakota"/>
    <s v="Sioux Falls"/>
    <x v="5"/>
    <n v="59.999999999999986"/>
    <n v="250"/>
    <n v="149999.99999999997"/>
    <n v="59999.999999999993"/>
    <n v="0.4"/>
    <x v="2"/>
  </r>
  <r>
    <x v="2"/>
    <n v="1185732"/>
    <x v="449"/>
    <x v="3"/>
    <s v="South Dakota"/>
    <s v="Sioux Falls"/>
    <x v="0"/>
    <n v="54.999999999999993"/>
    <n v="400"/>
    <n v="219999.99999999997"/>
    <n v="76999.999999999985"/>
    <n v="0.35"/>
    <x v="2"/>
  </r>
  <r>
    <x v="2"/>
    <n v="1185732"/>
    <x v="449"/>
    <x v="3"/>
    <s v="South Dakota"/>
    <s v="Sioux Falls"/>
    <x v="1"/>
    <n v="45"/>
    <n v="250"/>
    <n v="112500"/>
    <n v="33750"/>
    <n v="0.3"/>
    <x v="2"/>
  </r>
  <r>
    <x v="2"/>
    <n v="1185732"/>
    <x v="449"/>
    <x v="3"/>
    <s v="South Dakota"/>
    <s v="Sioux Falls"/>
    <x v="2"/>
    <n v="45"/>
    <n v="195"/>
    <n v="87750"/>
    <n v="26325"/>
    <n v="0.3"/>
    <x v="2"/>
  </r>
  <r>
    <x v="2"/>
    <n v="1185732"/>
    <x v="449"/>
    <x v="3"/>
    <s v="South Dakota"/>
    <s v="Sioux Falls"/>
    <x v="3"/>
    <n v="45"/>
    <n v="175"/>
    <n v="78750"/>
    <n v="23625"/>
    <n v="0.3"/>
    <x v="2"/>
  </r>
  <r>
    <x v="2"/>
    <n v="1185732"/>
    <x v="449"/>
    <x v="3"/>
    <s v="South Dakota"/>
    <s v="Sioux Falls"/>
    <x v="4"/>
    <n v="60"/>
    <n v="150"/>
    <n v="90000"/>
    <n v="31499.999999999996"/>
    <n v="0.35"/>
    <x v="2"/>
  </r>
  <r>
    <x v="2"/>
    <n v="1185732"/>
    <x v="449"/>
    <x v="3"/>
    <s v="South Dakota"/>
    <s v="Sioux Falls"/>
    <x v="5"/>
    <n v="64.999999999999986"/>
    <n v="250"/>
    <n v="162499.99999999997"/>
    <n v="64999.999999999993"/>
    <n v="0.4"/>
    <x v="2"/>
  </r>
  <r>
    <x v="2"/>
    <n v="1185732"/>
    <x v="478"/>
    <x v="3"/>
    <s v="South Dakota"/>
    <s v="Sioux Falls"/>
    <x v="0"/>
    <n v="60"/>
    <n v="500"/>
    <n v="300000"/>
    <n v="105000"/>
    <n v="0.35"/>
    <x v="2"/>
  </r>
  <r>
    <x v="2"/>
    <n v="1185732"/>
    <x v="478"/>
    <x v="3"/>
    <s v="South Dakota"/>
    <s v="Sioux Falls"/>
    <x v="1"/>
    <n v="50"/>
    <n v="300"/>
    <n v="150000"/>
    <n v="45000"/>
    <n v="0.3"/>
    <x v="2"/>
  </r>
  <r>
    <x v="2"/>
    <n v="1185732"/>
    <x v="478"/>
    <x v="3"/>
    <s v="South Dakota"/>
    <s v="Sioux Falls"/>
    <x v="2"/>
    <n v="50"/>
    <n v="250"/>
    <n v="125000"/>
    <n v="37500"/>
    <n v="0.3"/>
    <x v="2"/>
  </r>
  <r>
    <x v="2"/>
    <n v="1185732"/>
    <x v="478"/>
    <x v="3"/>
    <s v="South Dakota"/>
    <s v="Sioux Falls"/>
    <x v="3"/>
    <n v="50"/>
    <n v="200"/>
    <n v="100000"/>
    <n v="30000"/>
    <n v="0.3"/>
    <x v="2"/>
  </r>
  <r>
    <x v="2"/>
    <n v="1185732"/>
    <x v="478"/>
    <x v="3"/>
    <s v="South Dakota"/>
    <s v="Sioux Falls"/>
    <x v="4"/>
    <n v="60"/>
    <n v="200"/>
    <n v="120000"/>
    <n v="42000"/>
    <n v="0.35"/>
    <x v="2"/>
  </r>
  <r>
    <x v="2"/>
    <n v="1185732"/>
    <x v="478"/>
    <x v="3"/>
    <s v="South Dakota"/>
    <s v="Sioux Falls"/>
    <x v="5"/>
    <n v="64.999999999999986"/>
    <n v="300"/>
    <n v="194999.99999999997"/>
    <n v="77999.999999999985"/>
    <n v="0.4"/>
    <x v="2"/>
  </r>
  <r>
    <x v="2"/>
    <n v="1185732"/>
    <x v="173"/>
    <x v="3"/>
    <s v="South Dakota"/>
    <s v="Sioux Falls"/>
    <x v="0"/>
    <n v="35"/>
    <n v="475"/>
    <n v="166250"/>
    <n v="58187.499999999993"/>
    <n v="0.35"/>
    <x v="2"/>
  </r>
  <r>
    <x v="2"/>
    <n v="1185732"/>
    <x v="173"/>
    <x v="3"/>
    <s v="South Dakota"/>
    <s v="Sioux Falls"/>
    <x v="1"/>
    <n v="35"/>
    <n v="275"/>
    <n v="96250"/>
    <n v="28875"/>
    <n v="0.3"/>
    <x v="2"/>
  </r>
  <r>
    <x v="2"/>
    <n v="1185732"/>
    <x v="173"/>
    <x v="3"/>
    <s v="South Dakota"/>
    <s v="Sioux Falls"/>
    <x v="2"/>
    <n v="25.000000000000007"/>
    <n v="275"/>
    <n v="68750.000000000015"/>
    <n v="20625.000000000004"/>
    <n v="0.3"/>
    <x v="2"/>
  </r>
  <r>
    <x v="2"/>
    <n v="1185732"/>
    <x v="173"/>
    <x v="3"/>
    <s v="South Dakota"/>
    <s v="Sioux Falls"/>
    <x v="3"/>
    <n v="30.000000000000004"/>
    <n v="125"/>
    <n v="37500.000000000007"/>
    <n v="11250.000000000002"/>
    <n v="0.3"/>
    <x v="2"/>
  </r>
  <r>
    <x v="2"/>
    <n v="1185732"/>
    <x v="173"/>
    <x v="3"/>
    <s v="South Dakota"/>
    <s v="Sioux Falls"/>
    <x v="4"/>
    <n v="44.999999999999993"/>
    <n v="175"/>
    <n v="78749.999999999985"/>
    <n v="27562.499999999993"/>
    <n v="0.35"/>
    <x v="2"/>
  </r>
  <r>
    <x v="2"/>
    <n v="1185732"/>
    <x v="173"/>
    <x v="3"/>
    <s v="South Dakota"/>
    <s v="Sioux Falls"/>
    <x v="5"/>
    <n v="35"/>
    <n v="275"/>
    <n v="96250"/>
    <n v="38500"/>
    <n v="0.4"/>
    <x v="2"/>
  </r>
  <r>
    <x v="2"/>
    <n v="1185732"/>
    <x v="204"/>
    <x v="3"/>
    <s v="South Dakota"/>
    <s v="Sioux Falls"/>
    <x v="0"/>
    <n v="35"/>
    <n v="525"/>
    <n v="183750"/>
    <n v="64312.499999999993"/>
    <n v="0.35"/>
    <x v="2"/>
  </r>
  <r>
    <x v="2"/>
    <n v="1185732"/>
    <x v="204"/>
    <x v="3"/>
    <s v="South Dakota"/>
    <s v="Sioux Falls"/>
    <x v="1"/>
    <n v="35"/>
    <n v="175"/>
    <n v="61250"/>
    <n v="18375"/>
    <n v="0.3"/>
    <x v="2"/>
  </r>
  <r>
    <x v="2"/>
    <n v="1185732"/>
    <x v="204"/>
    <x v="3"/>
    <s v="South Dakota"/>
    <s v="Sioux Falls"/>
    <x v="2"/>
    <n v="25.000000000000007"/>
    <n v="225"/>
    <n v="56250.000000000015"/>
    <n v="16875.000000000004"/>
    <n v="0.3"/>
    <x v="2"/>
  </r>
  <r>
    <x v="2"/>
    <n v="1185732"/>
    <x v="204"/>
    <x v="3"/>
    <s v="North Dakota"/>
    <s v="Fargo"/>
    <x v="3"/>
    <n v="30.000000000000004"/>
    <n v="100"/>
    <n v="30000.000000000004"/>
    <n v="9000"/>
    <n v="0.3"/>
    <x v="2"/>
  </r>
  <r>
    <x v="2"/>
    <n v="1185732"/>
    <x v="204"/>
    <x v="3"/>
    <s v="North Dakota"/>
    <s v="Fargo"/>
    <x v="4"/>
    <n v="44.999999999999993"/>
    <n v="175"/>
    <n v="78749.999999999985"/>
    <n v="27562.499999999993"/>
    <n v="0.35"/>
    <x v="2"/>
  </r>
  <r>
    <x v="2"/>
    <n v="1185732"/>
    <x v="204"/>
    <x v="3"/>
    <s v="North Dakota"/>
    <s v="Fargo"/>
    <x v="5"/>
    <n v="24.999999999999996"/>
    <n v="275"/>
    <n v="68749.999999999985"/>
    <n v="27499.999999999996"/>
    <n v="0.4"/>
    <x v="2"/>
  </r>
  <r>
    <x v="2"/>
    <n v="1185732"/>
    <x v="710"/>
    <x v="3"/>
    <s v="North Dakota"/>
    <s v="Fargo"/>
    <x v="0"/>
    <n v="30.000000000000004"/>
    <n v="495"/>
    <n v="148500.00000000003"/>
    <n v="51975.000000000007"/>
    <n v="0.35"/>
    <x v="2"/>
  </r>
  <r>
    <x v="2"/>
    <n v="1185732"/>
    <x v="710"/>
    <x v="3"/>
    <s v="North Dakota"/>
    <s v="Fargo"/>
    <x v="1"/>
    <n v="30.000000000000004"/>
    <n v="200"/>
    <n v="60000.000000000007"/>
    <n v="18000"/>
    <n v="0.3"/>
    <x v="2"/>
  </r>
  <r>
    <x v="2"/>
    <n v="1185732"/>
    <x v="710"/>
    <x v="3"/>
    <s v="North Dakota"/>
    <s v="Fargo"/>
    <x v="2"/>
    <n v="20.000000000000004"/>
    <n v="225"/>
    <n v="45000.000000000007"/>
    <n v="13500.000000000002"/>
    <n v="0.3"/>
    <x v="2"/>
  </r>
  <r>
    <x v="2"/>
    <n v="1185732"/>
    <x v="710"/>
    <x v="3"/>
    <s v="North Dakota"/>
    <s v="Fargo"/>
    <x v="3"/>
    <n v="24.999999999999996"/>
    <n v="75"/>
    <n v="18749.999999999996"/>
    <n v="5624.9999999999991"/>
    <n v="0.3"/>
    <x v="2"/>
  </r>
  <r>
    <x v="2"/>
    <n v="1185732"/>
    <x v="710"/>
    <x v="3"/>
    <s v="North Dakota"/>
    <s v="Fargo"/>
    <x v="4"/>
    <n v="40"/>
    <n v="125"/>
    <n v="50000"/>
    <n v="17500"/>
    <n v="0.35"/>
    <x v="2"/>
  </r>
  <r>
    <x v="2"/>
    <n v="1185732"/>
    <x v="710"/>
    <x v="3"/>
    <s v="North Dakota"/>
    <s v="Fargo"/>
    <x v="5"/>
    <n v="30.000000000000004"/>
    <n v="225"/>
    <n v="67500.000000000015"/>
    <n v="27000.000000000007"/>
    <n v="0.4"/>
    <x v="2"/>
  </r>
  <r>
    <x v="2"/>
    <n v="1185732"/>
    <x v="232"/>
    <x v="3"/>
    <s v="North Dakota"/>
    <s v="Fargo"/>
    <x v="0"/>
    <n v="30.000000000000004"/>
    <n v="450"/>
    <n v="135000.00000000003"/>
    <n v="47250.000000000007"/>
    <n v="0.35"/>
    <x v="2"/>
  </r>
  <r>
    <x v="2"/>
    <n v="1185732"/>
    <x v="232"/>
    <x v="3"/>
    <s v="North Dakota"/>
    <s v="Fargo"/>
    <x v="1"/>
    <n v="30.000000000000004"/>
    <n v="150"/>
    <n v="45000.000000000007"/>
    <n v="13500.000000000002"/>
    <n v="0.3"/>
    <x v="2"/>
  </r>
  <r>
    <x v="2"/>
    <n v="1185732"/>
    <x v="232"/>
    <x v="3"/>
    <s v="North Dakota"/>
    <s v="Fargo"/>
    <x v="2"/>
    <n v="20.000000000000004"/>
    <n v="150"/>
    <n v="30000.000000000004"/>
    <n v="9000"/>
    <n v="0.3"/>
    <x v="2"/>
  </r>
  <r>
    <x v="2"/>
    <n v="1185732"/>
    <x v="232"/>
    <x v="3"/>
    <s v="North Dakota"/>
    <s v="Fargo"/>
    <x v="3"/>
    <n v="24.999999999999996"/>
    <n v="75"/>
    <n v="18749.999999999996"/>
    <n v="5624.9999999999991"/>
    <n v="0.3"/>
    <x v="2"/>
  </r>
  <r>
    <x v="2"/>
    <n v="1185732"/>
    <x v="232"/>
    <x v="3"/>
    <s v="North Dakota"/>
    <s v="Fargo"/>
    <x v="4"/>
    <n v="60"/>
    <n v="100"/>
    <n v="60000"/>
    <n v="21000"/>
    <n v="0.35"/>
    <x v="0"/>
  </r>
  <r>
    <x v="2"/>
    <n v="1185732"/>
    <x v="232"/>
    <x v="3"/>
    <s v="North Dakota"/>
    <s v="Fargo"/>
    <x v="5"/>
    <n v="50"/>
    <n v="225"/>
    <n v="112500"/>
    <n v="45000"/>
    <n v="0.4"/>
    <x v="0"/>
  </r>
  <r>
    <x v="2"/>
    <n v="1185732"/>
    <x v="263"/>
    <x v="3"/>
    <s v="North Dakota"/>
    <s v="Fargo"/>
    <x v="0"/>
    <n v="60"/>
    <n v="495"/>
    <n v="297000"/>
    <n v="103950"/>
    <n v="0.35"/>
    <x v="0"/>
  </r>
  <r>
    <x v="2"/>
    <n v="1185732"/>
    <x v="263"/>
    <x v="3"/>
    <s v="North Dakota"/>
    <s v="Fargo"/>
    <x v="1"/>
    <n v="45"/>
    <n v="200"/>
    <n v="90000"/>
    <n v="27000"/>
    <n v="0.3"/>
    <x v="0"/>
  </r>
  <r>
    <x v="2"/>
    <n v="1185732"/>
    <x v="263"/>
    <x v="3"/>
    <s v="North Dakota"/>
    <s v="Fargo"/>
    <x v="2"/>
    <n v="40"/>
    <n v="175"/>
    <n v="70000"/>
    <n v="21000"/>
    <n v="0.3"/>
    <x v="0"/>
  </r>
  <r>
    <x v="2"/>
    <n v="1185732"/>
    <x v="263"/>
    <x v="3"/>
    <s v="North Dakota"/>
    <s v="Fargo"/>
    <x v="3"/>
    <n v="40"/>
    <n v="100"/>
    <n v="40000"/>
    <n v="12000"/>
    <n v="0.3"/>
    <x v="0"/>
  </r>
  <r>
    <x v="2"/>
    <n v="1185732"/>
    <x v="263"/>
    <x v="3"/>
    <s v="North Dakota"/>
    <s v="Fargo"/>
    <x v="4"/>
    <n v="49.999999999999993"/>
    <n v="125"/>
    <n v="62499.999999999993"/>
    <n v="21874.999999999996"/>
    <n v="0.35"/>
    <x v="0"/>
  </r>
  <r>
    <x v="2"/>
    <n v="1185732"/>
    <x v="263"/>
    <x v="3"/>
    <s v="North Dakota"/>
    <s v="Fargo"/>
    <x v="5"/>
    <n v="54.999999999999993"/>
    <n v="250"/>
    <n v="137499.99999999997"/>
    <n v="54999.999999999993"/>
    <n v="0.4"/>
    <x v="0"/>
  </r>
  <r>
    <x v="2"/>
    <n v="1185732"/>
    <x v="293"/>
    <x v="3"/>
    <s v="North Dakota"/>
    <s v="Fargo"/>
    <x v="0"/>
    <n v="40"/>
    <n v="500"/>
    <n v="200000"/>
    <n v="70000"/>
    <n v="0.35"/>
    <x v="0"/>
  </r>
  <r>
    <x v="2"/>
    <n v="1185732"/>
    <x v="293"/>
    <x v="3"/>
    <s v="North Dakota"/>
    <s v="Fargo"/>
    <x v="1"/>
    <n v="35.000000000000007"/>
    <n v="250"/>
    <n v="87500.000000000015"/>
    <n v="26250.000000000004"/>
    <n v="0.3"/>
    <x v="0"/>
  </r>
  <r>
    <x v="2"/>
    <n v="1185732"/>
    <x v="293"/>
    <x v="3"/>
    <s v="North Dakota"/>
    <s v="Fargo"/>
    <x v="2"/>
    <n v="30.000000000000004"/>
    <n v="200"/>
    <n v="60000.000000000007"/>
    <n v="18000"/>
    <n v="0.3"/>
    <x v="0"/>
  </r>
  <r>
    <x v="2"/>
    <n v="1185732"/>
    <x v="293"/>
    <x v="3"/>
    <s v="North Dakota"/>
    <s v="Fargo"/>
    <x v="3"/>
    <n v="30.000000000000004"/>
    <n v="175"/>
    <n v="52500.000000000007"/>
    <n v="15750.000000000002"/>
    <n v="0.3"/>
    <x v="0"/>
  </r>
  <r>
    <x v="2"/>
    <n v="1185732"/>
    <x v="293"/>
    <x v="3"/>
    <s v="North Dakota"/>
    <s v="Fargo"/>
    <x v="4"/>
    <n v="40"/>
    <n v="175"/>
    <n v="70000"/>
    <n v="24500"/>
    <n v="0.35"/>
    <x v="0"/>
  </r>
  <r>
    <x v="2"/>
    <n v="1185732"/>
    <x v="293"/>
    <x v="3"/>
    <s v="North Dakota"/>
    <s v="Fargo"/>
    <x v="5"/>
    <n v="55.000000000000007"/>
    <n v="325"/>
    <n v="178750.00000000003"/>
    <n v="71500.000000000015"/>
    <n v="0.4"/>
    <x v="0"/>
  </r>
  <r>
    <x v="2"/>
    <n v="1185732"/>
    <x v="322"/>
    <x v="3"/>
    <s v="North Dakota"/>
    <s v="Fargo"/>
    <x v="0"/>
    <n v="50"/>
    <n v="550"/>
    <n v="275000"/>
    <n v="96250"/>
    <n v="0.35"/>
    <x v="0"/>
  </r>
  <r>
    <x v="2"/>
    <n v="1185732"/>
    <x v="322"/>
    <x v="3"/>
    <s v="North Dakota"/>
    <s v="Fargo"/>
    <x v="1"/>
    <n v="45.000000000000007"/>
    <n v="300"/>
    <n v="135000.00000000003"/>
    <n v="40500.000000000007"/>
    <n v="0.3"/>
    <x v="0"/>
  </r>
  <r>
    <x v="2"/>
    <n v="1185732"/>
    <x v="322"/>
    <x v="3"/>
    <s v="North Dakota"/>
    <s v="Fargo"/>
    <x v="2"/>
    <n v="40"/>
    <n v="225"/>
    <n v="90000"/>
    <n v="27000"/>
    <n v="0.3"/>
    <x v="0"/>
  </r>
  <r>
    <x v="2"/>
    <n v="1185732"/>
    <x v="322"/>
    <x v="3"/>
    <s v="North Dakota"/>
    <s v="Fargo"/>
    <x v="3"/>
    <n v="40"/>
    <n v="175"/>
    <n v="70000"/>
    <n v="21000"/>
    <n v="0.3"/>
    <x v="0"/>
  </r>
  <r>
    <x v="2"/>
    <n v="1185732"/>
    <x v="322"/>
    <x v="3"/>
    <s v="North Dakota"/>
    <s v="Fargo"/>
    <x v="4"/>
    <n v="50"/>
    <n v="200"/>
    <n v="100000"/>
    <n v="35000"/>
    <n v="0.35"/>
    <x v="0"/>
  </r>
  <r>
    <x v="2"/>
    <n v="1185732"/>
    <x v="322"/>
    <x v="3"/>
    <s v="North Dakota"/>
    <s v="Fargo"/>
    <x v="5"/>
    <n v="55.000000000000007"/>
    <n v="375"/>
    <n v="206250.00000000003"/>
    <n v="82500.000000000015"/>
    <n v="0.4"/>
    <x v="0"/>
  </r>
  <r>
    <x v="2"/>
    <n v="1185732"/>
    <x v="354"/>
    <x v="3"/>
    <s v="North Dakota"/>
    <s v="Fargo"/>
    <x v="0"/>
    <n v="50"/>
    <n v="525"/>
    <n v="262500"/>
    <n v="91875"/>
    <n v="0.35"/>
    <x v="0"/>
  </r>
  <r>
    <x v="2"/>
    <n v="1185732"/>
    <x v="354"/>
    <x v="3"/>
    <s v="North Dakota"/>
    <s v="Fargo"/>
    <x v="1"/>
    <n v="45.000000000000007"/>
    <n v="300"/>
    <n v="135000.00000000003"/>
    <n v="40500.000000000007"/>
    <n v="0.3"/>
    <x v="0"/>
  </r>
  <r>
    <x v="2"/>
    <n v="1185732"/>
    <x v="354"/>
    <x v="3"/>
    <s v="North Dakota"/>
    <s v="Fargo"/>
    <x v="2"/>
    <n v="40"/>
    <n v="225"/>
    <n v="90000"/>
    <n v="27000"/>
    <n v="0.3"/>
    <x v="0"/>
  </r>
  <r>
    <x v="2"/>
    <n v="1185732"/>
    <x v="354"/>
    <x v="3"/>
    <s v="North Dakota"/>
    <s v="Fargo"/>
    <x v="3"/>
    <n v="40"/>
    <n v="200"/>
    <n v="80000"/>
    <n v="24000"/>
    <n v="0.3"/>
    <x v="0"/>
  </r>
  <r>
    <x v="2"/>
    <n v="1185732"/>
    <x v="354"/>
    <x v="3"/>
    <s v="North Dakota"/>
    <s v="Fargo"/>
    <x v="4"/>
    <n v="50"/>
    <n v="175"/>
    <n v="87500"/>
    <n v="30624.999999999996"/>
    <n v="0.35"/>
    <x v="0"/>
  </r>
  <r>
    <x v="2"/>
    <n v="1185732"/>
    <x v="354"/>
    <x v="3"/>
    <s v="North Dakota"/>
    <s v="Fargo"/>
    <x v="5"/>
    <n v="55.000000000000007"/>
    <n v="350"/>
    <n v="192500.00000000003"/>
    <n v="77000.000000000015"/>
    <n v="0.4"/>
    <x v="0"/>
  </r>
  <r>
    <x v="2"/>
    <n v="1185732"/>
    <x v="386"/>
    <x v="3"/>
    <s v="North Dakota"/>
    <s v="Fargo"/>
    <x v="0"/>
    <n v="40"/>
    <n v="475"/>
    <n v="190000"/>
    <n v="66500"/>
    <n v="0.35"/>
    <x v="0"/>
  </r>
  <r>
    <x v="2"/>
    <n v="1185732"/>
    <x v="386"/>
    <x v="3"/>
    <s v="North Dakota"/>
    <s v="Fargo"/>
    <x v="1"/>
    <n v="35.000000000000007"/>
    <n v="275"/>
    <n v="96250.000000000015"/>
    <n v="28875.000000000004"/>
    <n v="0.3"/>
    <x v="0"/>
  </r>
  <r>
    <x v="2"/>
    <n v="1185732"/>
    <x v="386"/>
    <x v="3"/>
    <s v="North Dakota"/>
    <s v="Fargo"/>
    <x v="2"/>
    <n v="30.000000000000004"/>
    <n v="175"/>
    <n v="52500.000000000007"/>
    <n v="15750.000000000002"/>
    <n v="0.3"/>
    <x v="0"/>
  </r>
  <r>
    <x v="2"/>
    <n v="1185732"/>
    <x v="386"/>
    <x v="3"/>
    <s v="North Dakota"/>
    <s v="Fargo"/>
    <x v="3"/>
    <n v="30.000000000000004"/>
    <n v="150"/>
    <n v="45000.000000000007"/>
    <n v="13500.000000000002"/>
    <n v="0.3"/>
    <x v="0"/>
  </r>
  <r>
    <x v="2"/>
    <n v="1185732"/>
    <x v="386"/>
    <x v="3"/>
    <s v="North Dakota"/>
    <s v="Fargo"/>
    <x v="4"/>
    <n v="40"/>
    <n v="150"/>
    <n v="60000"/>
    <n v="21000"/>
    <n v="0.35"/>
    <x v="0"/>
  </r>
  <r>
    <x v="2"/>
    <n v="1185732"/>
    <x v="386"/>
    <x v="3"/>
    <s v="North Dakota"/>
    <s v="Fargo"/>
    <x v="5"/>
    <n v="45"/>
    <n v="225"/>
    <n v="101250"/>
    <n v="40500"/>
    <n v="0.4"/>
    <x v="0"/>
  </r>
  <r>
    <x v="2"/>
    <n v="1185732"/>
    <x v="415"/>
    <x v="3"/>
    <s v="North Dakota"/>
    <s v="Fargo"/>
    <x v="0"/>
    <n v="49.999999999999993"/>
    <n v="400"/>
    <n v="199999.99999999997"/>
    <n v="69999.999999999985"/>
    <n v="0.35"/>
    <x v="0"/>
  </r>
  <r>
    <x v="2"/>
    <n v="1185732"/>
    <x v="415"/>
    <x v="3"/>
    <s v="North Dakota"/>
    <s v="Fargo"/>
    <x v="1"/>
    <n v="40"/>
    <n v="250"/>
    <n v="100000"/>
    <n v="30000"/>
    <n v="0.3"/>
    <x v="0"/>
  </r>
  <r>
    <x v="2"/>
    <n v="1185732"/>
    <x v="415"/>
    <x v="3"/>
    <s v="North Dakota"/>
    <s v="Fargo"/>
    <x v="2"/>
    <n v="40"/>
    <n v="150"/>
    <n v="60000"/>
    <n v="18000"/>
    <n v="0.3"/>
    <x v="0"/>
  </r>
  <r>
    <x v="2"/>
    <n v="1185732"/>
    <x v="415"/>
    <x v="3"/>
    <s v="North Dakota"/>
    <s v="Fargo"/>
    <x v="3"/>
    <n v="40"/>
    <n v="125"/>
    <n v="50000"/>
    <n v="15000"/>
    <n v="0.3"/>
    <x v="0"/>
  </r>
  <r>
    <x v="2"/>
    <n v="1185732"/>
    <x v="415"/>
    <x v="3"/>
    <s v="North Dakota"/>
    <s v="Fargo"/>
    <x v="4"/>
    <n v="49.999999999999993"/>
    <n v="125"/>
    <n v="62499.999999999993"/>
    <n v="21874.999999999996"/>
    <n v="0.35"/>
    <x v="0"/>
  </r>
  <r>
    <x v="0"/>
    <n v="1185732"/>
    <x v="415"/>
    <x v="3"/>
    <s v="North Dakota"/>
    <s v="Fargo"/>
    <x v="5"/>
    <n v="54.999999999999986"/>
    <n v="250"/>
    <n v="137499.99999999997"/>
    <n v="54999.999999999993"/>
    <n v="0.4"/>
    <x v="0"/>
  </r>
  <r>
    <x v="0"/>
    <n v="1185732"/>
    <x v="446"/>
    <x v="3"/>
    <s v="North Dakota"/>
    <s v="Fargo"/>
    <x v="0"/>
    <n v="49.999999999999993"/>
    <n v="400"/>
    <n v="199999.99999999997"/>
    <n v="69999.999999999985"/>
    <n v="0.35"/>
    <x v="0"/>
  </r>
  <r>
    <x v="0"/>
    <n v="1185732"/>
    <x v="446"/>
    <x v="3"/>
    <s v="North Dakota"/>
    <s v="Fargo"/>
    <x v="1"/>
    <n v="40"/>
    <n v="250"/>
    <n v="100000"/>
    <n v="30000"/>
    <n v="0.3"/>
    <x v="0"/>
  </r>
  <r>
    <x v="0"/>
    <n v="1185732"/>
    <x v="446"/>
    <x v="3"/>
    <s v="North Dakota"/>
    <s v="Fargo"/>
    <x v="2"/>
    <n v="40"/>
    <n v="195"/>
    <n v="78000"/>
    <n v="23400"/>
    <n v="0.3"/>
    <x v="0"/>
  </r>
  <r>
    <x v="0"/>
    <n v="1185732"/>
    <x v="446"/>
    <x v="3"/>
    <s v="North Dakota"/>
    <s v="Fargo"/>
    <x v="3"/>
    <n v="40"/>
    <n v="175"/>
    <n v="70000"/>
    <n v="21000"/>
    <n v="0.3"/>
    <x v="0"/>
  </r>
  <r>
    <x v="0"/>
    <n v="1185732"/>
    <x v="446"/>
    <x v="3"/>
    <s v="North Dakota"/>
    <s v="Fargo"/>
    <x v="4"/>
    <n v="60"/>
    <n v="150"/>
    <n v="90000"/>
    <n v="31499.999999999996"/>
    <n v="0.35"/>
    <x v="0"/>
  </r>
  <r>
    <x v="0"/>
    <n v="1185732"/>
    <x v="446"/>
    <x v="3"/>
    <s v="North Dakota"/>
    <s v="Fargo"/>
    <x v="5"/>
    <n v="64.999999999999986"/>
    <n v="250"/>
    <n v="162499.99999999997"/>
    <n v="64999.999999999993"/>
    <n v="0.4"/>
    <x v="0"/>
  </r>
  <r>
    <x v="0"/>
    <n v="1185732"/>
    <x v="475"/>
    <x v="3"/>
    <s v="North Dakota"/>
    <s v="Fargo"/>
    <x v="0"/>
    <n v="60"/>
    <n v="500"/>
    <n v="300000"/>
    <n v="105000"/>
    <n v="0.35"/>
    <x v="0"/>
  </r>
  <r>
    <x v="0"/>
    <n v="1185732"/>
    <x v="475"/>
    <x v="3"/>
    <s v="North Dakota"/>
    <s v="Fargo"/>
    <x v="1"/>
    <n v="50"/>
    <n v="300"/>
    <n v="150000"/>
    <n v="45000"/>
    <n v="0.3"/>
    <x v="0"/>
  </r>
  <r>
    <x v="0"/>
    <n v="1185732"/>
    <x v="475"/>
    <x v="3"/>
    <s v="North Dakota"/>
    <s v="Fargo"/>
    <x v="2"/>
    <n v="50"/>
    <n v="250"/>
    <n v="125000"/>
    <n v="37500"/>
    <n v="0.3"/>
    <x v="0"/>
  </r>
  <r>
    <x v="0"/>
    <n v="1185732"/>
    <x v="475"/>
    <x v="3"/>
    <s v="North Dakota"/>
    <s v="Fargo"/>
    <x v="3"/>
    <n v="50"/>
    <n v="200"/>
    <n v="100000"/>
    <n v="30000"/>
    <n v="0.3"/>
    <x v="0"/>
  </r>
  <r>
    <x v="0"/>
    <n v="1185732"/>
    <x v="475"/>
    <x v="3"/>
    <s v="North Dakota"/>
    <s v="Fargo"/>
    <x v="4"/>
    <n v="60"/>
    <n v="200"/>
    <n v="120000"/>
    <n v="42000"/>
    <n v="0.35"/>
    <x v="0"/>
  </r>
  <r>
    <x v="0"/>
    <n v="1185732"/>
    <x v="475"/>
    <x v="3"/>
    <s v="North Dakota"/>
    <s v="Fargo"/>
    <x v="5"/>
    <n v="64.999999999999986"/>
    <n v="300"/>
    <n v="194999.99999999997"/>
    <n v="77999.999999999985"/>
    <n v="0.4"/>
    <x v="0"/>
  </r>
  <r>
    <x v="0"/>
    <n v="1185732"/>
    <x v="170"/>
    <x v="3"/>
    <s v="North Dakota"/>
    <s v="Fargo"/>
    <x v="0"/>
    <n v="30.000000000000004"/>
    <n v="450"/>
    <n v="135000.00000000003"/>
    <n v="40500.000000000007"/>
    <n v="0.3"/>
    <x v="0"/>
  </r>
  <r>
    <x v="0"/>
    <n v="1185732"/>
    <x v="170"/>
    <x v="3"/>
    <s v="North Dakota"/>
    <s v="Fargo"/>
    <x v="1"/>
    <n v="30.000000000000004"/>
    <n v="250"/>
    <n v="75000.000000000015"/>
    <n v="26250.000000000004"/>
    <n v="0.35"/>
    <x v="0"/>
  </r>
  <r>
    <x v="0"/>
    <n v="1185732"/>
    <x v="170"/>
    <x v="3"/>
    <s v="North Dakota"/>
    <s v="Fargo"/>
    <x v="2"/>
    <n v="20.000000000000007"/>
    <n v="250"/>
    <n v="50000.000000000015"/>
    <n v="15000.000000000004"/>
    <n v="0.3"/>
    <x v="0"/>
  </r>
  <r>
    <x v="0"/>
    <n v="1185732"/>
    <x v="170"/>
    <x v="3"/>
    <s v="North Dakota"/>
    <s v="Fargo"/>
    <x v="3"/>
    <n v="25.000000000000007"/>
    <n v="100"/>
    <n v="25000.000000000007"/>
    <n v="7500.0000000000018"/>
    <n v="0.3"/>
    <x v="0"/>
  </r>
  <r>
    <x v="0"/>
    <n v="1185732"/>
    <x v="170"/>
    <x v="3"/>
    <s v="North Dakota"/>
    <s v="Fargo"/>
    <x v="4"/>
    <n v="40"/>
    <n v="150"/>
    <n v="60000"/>
    <n v="30000"/>
    <n v="0.5"/>
    <x v="0"/>
  </r>
  <r>
    <x v="0"/>
    <n v="1185732"/>
    <x v="170"/>
    <x v="3"/>
    <s v="North Dakota"/>
    <s v="Fargo"/>
    <x v="5"/>
    <n v="30.000000000000004"/>
    <n v="250"/>
    <n v="75000.000000000015"/>
    <n v="30000.000000000007"/>
    <n v="0.4"/>
    <x v="0"/>
  </r>
  <r>
    <x v="0"/>
    <n v="1185732"/>
    <x v="201"/>
    <x v="3"/>
    <s v="North Dakota"/>
    <s v="Fargo"/>
    <x v="0"/>
    <n v="30.000000000000004"/>
    <n v="500"/>
    <n v="150000.00000000003"/>
    <n v="45000.000000000007"/>
    <n v="0.3"/>
    <x v="0"/>
  </r>
  <r>
    <x v="0"/>
    <n v="1185732"/>
    <x v="201"/>
    <x v="3"/>
    <s v="North Dakota"/>
    <s v="Fargo"/>
    <x v="1"/>
    <n v="30.000000000000004"/>
    <n v="150"/>
    <n v="45000.000000000007"/>
    <n v="15750.000000000002"/>
    <n v="0.35"/>
    <x v="0"/>
  </r>
  <r>
    <x v="0"/>
    <n v="1185732"/>
    <x v="201"/>
    <x v="3"/>
    <s v="North Dakota"/>
    <s v="Fargo"/>
    <x v="2"/>
    <n v="20.000000000000007"/>
    <n v="200"/>
    <n v="40000.000000000015"/>
    <n v="12000.000000000004"/>
    <n v="0.3"/>
    <x v="0"/>
  </r>
  <r>
    <x v="0"/>
    <n v="1185732"/>
    <x v="201"/>
    <x v="3"/>
    <s v="Iowa"/>
    <s v="Des Moines"/>
    <x v="3"/>
    <n v="25.000000000000007"/>
    <n v="75"/>
    <n v="18750.000000000004"/>
    <n v="5625.0000000000009"/>
    <n v="0.3"/>
    <x v="0"/>
  </r>
  <r>
    <x v="0"/>
    <n v="1185732"/>
    <x v="201"/>
    <x v="3"/>
    <s v="Iowa"/>
    <s v="Des Moines"/>
    <x v="4"/>
    <n v="40"/>
    <n v="150"/>
    <n v="60000"/>
    <n v="30000"/>
    <n v="0.5"/>
    <x v="0"/>
  </r>
  <r>
    <x v="0"/>
    <n v="1185732"/>
    <x v="201"/>
    <x v="3"/>
    <s v="Iowa"/>
    <s v="Des Moines"/>
    <x v="5"/>
    <n v="14.999999999999996"/>
    <n v="250"/>
    <n v="37499.999999999993"/>
    <n v="14999.999999999998"/>
    <n v="0.4"/>
    <x v="0"/>
  </r>
  <r>
    <x v="0"/>
    <n v="1185732"/>
    <x v="707"/>
    <x v="3"/>
    <s v="Iowa"/>
    <s v="Des Moines"/>
    <x v="0"/>
    <n v="20.000000000000004"/>
    <n v="470"/>
    <n v="94000.000000000015"/>
    <n v="28200.000000000004"/>
    <n v="0.3"/>
    <x v="0"/>
  </r>
  <r>
    <x v="0"/>
    <n v="1185732"/>
    <x v="707"/>
    <x v="3"/>
    <s v="Iowa"/>
    <s v="Des Moines"/>
    <x v="1"/>
    <n v="20.000000000000004"/>
    <n v="175"/>
    <n v="35000.000000000007"/>
    <n v="12250.000000000002"/>
    <n v="0.35"/>
    <x v="0"/>
  </r>
  <r>
    <x v="0"/>
    <n v="1185732"/>
    <x v="707"/>
    <x v="3"/>
    <s v="Iowa"/>
    <s v="Des Moines"/>
    <x v="2"/>
    <n v="10.000000000000004"/>
    <n v="225"/>
    <n v="22500.000000000007"/>
    <n v="6750.0000000000018"/>
    <n v="0.3"/>
    <x v="0"/>
  </r>
  <r>
    <x v="0"/>
    <n v="1185732"/>
    <x v="707"/>
    <x v="3"/>
    <s v="Iowa"/>
    <s v="Des Moines"/>
    <x v="3"/>
    <n v="14.999999999999996"/>
    <n v="100"/>
    <n v="14999.999999999996"/>
    <n v="4499.9999999999991"/>
    <n v="0.3"/>
    <x v="0"/>
  </r>
  <r>
    <x v="0"/>
    <n v="1185732"/>
    <x v="707"/>
    <x v="3"/>
    <s v="Iowa"/>
    <s v="Des Moines"/>
    <x v="4"/>
    <n v="30.000000000000004"/>
    <n v="150"/>
    <n v="45000.000000000007"/>
    <n v="22500.000000000004"/>
    <n v="0.5"/>
    <x v="0"/>
  </r>
  <r>
    <x v="0"/>
    <n v="1185732"/>
    <x v="707"/>
    <x v="3"/>
    <s v="Iowa"/>
    <s v="Des Moines"/>
    <x v="5"/>
    <n v="20.000000000000004"/>
    <n v="250"/>
    <n v="50000.000000000007"/>
    <n v="20000.000000000004"/>
    <n v="0.4"/>
    <x v="0"/>
  </r>
  <r>
    <x v="0"/>
    <n v="1185732"/>
    <x v="229"/>
    <x v="3"/>
    <s v="Iowa"/>
    <s v="Des Moines"/>
    <x v="0"/>
    <n v="20.000000000000004"/>
    <n v="475"/>
    <n v="95000.000000000015"/>
    <n v="28500.000000000004"/>
    <n v="0.3"/>
    <x v="0"/>
  </r>
  <r>
    <x v="0"/>
    <n v="1185732"/>
    <x v="229"/>
    <x v="3"/>
    <s v="Iowa"/>
    <s v="Des Moines"/>
    <x v="1"/>
    <n v="20.000000000000004"/>
    <n v="175"/>
    <n v="35000.000000000007"/>
    <n v="12250.000000000002"/>
    <n v="0.35"/>
    <x v="0"/>
  </r>
  <r>
    <x v="0"/>
    <n v="1185732"/>
    <x v="229"/>
    <x v="3"/>
    <s v="Iowa"/>
    <s v="Des Moines"/>
    <x v="2"/>
    <n v="10.000000000000004"/>
    <n v="175"/>
    <n v="17500.000000000007"/>
    <n v="5250.0000000000018"/>
    <n v="0.3"/>
    <x v="0"/>
  </r>
  <r>
    <x v="0"/>
    <n v="1185732"/>
    <x v="229"/>
    <x v="3"/>
    <s v="Iowa"/>
    <s v="Des Moines"/>
    <x v="3"/>
    <n v="14.999999999999996"/>
    <n v="100"/>
    <n v="14999.999999999996"/>
    <n v="4499.9999999999991"/>
    <n v="0.3"/>
    <x v="0"/>
  </r>
  <r>
    <x v="0"/>
    <n v="1185732"/>
    <x v="229"/>
    <x v="3"/>
    <s v="Iowa"/>
    <s v="Des Moines"/>
    <x v="4"/>
    <n v="60"/>
    <n v="125"/>
    <n v="75000"/>
    <n v="37500"/>
    <n v="0.5"/>
    <x v="0"/>
  </r>
  <r>
    <x v="0"/>
    <n v="1185732"/>
    <x v="229"/>
    <x v="3"/>
    <s v="Iowa"/>
    <s v="Des Moines"/>
    <x v="5"/>
    <n v="50"/>
    <n v="250"/>
    <n v="125000"/>
    <n v="50000"/>
    <n v="0.4"/>
    <x v="0"/>
  </r>
  <r>
    <x v="0"/>
    <n v="1185732"/>
    <x v="260"/>
    <x v="3"/>
    <s v="Iowa"/>
    <s v="Des Moines"/>
    <x v="0"/>
    <n v="60"/>
    <n v="520"/>
    <n v="312000"/>
    <n v="93600"/>
    <n v="0.3"/>
    <x v="0"/>
  </r>
  <r>
    <x v="0"/>
    <n v="1185732"/>
    <x v="260"/>
    <x v="3"/>
    <s v="Iowa"/>
    <s v="Des Moines"/>
    <x v="1"/>
    <n v="40"/>
    <n v="225"/>
    <n v="90000"/>
    <n v="31499.999999999996"/>
    <n v="0.35"/>
    <x v="0"/>
  </r>
  <r>
    <x v="0"/>
    <n v="1185732"/>
    <x v="260"/>
    <x v="3"/>
    <s v="Iowa"/>
    <s v="Des Moines"/>
    <x v="2"/>
    <n v="35"/>
    <n v="200"/>
    <n v="70000"/>
    <n v="21000"/>
    <n v="0.3"/>
    <x v="0"/>
  </r>
  <r>
    <x v="0"/>
    <n v="1185732"/>
    <x v="260"/>
    <x v="3"/>
    <s v="Iowa"/>
    <s v="Des Moines"/>
    <x v="3"/>
    <n v="35"/>
    <n v="125"/>
    <n v="43750"/>
    <n v="13125"/>
    <n v="0.3"/>
    <x v="0"/>
  </r>
  <r>
    <x v="0"/>
    <n v="1185732"/>
    <x v="260"/>
    <x v="3"/>
    <s v="Iowa"/>
    <s v="Des Moines"/>
    <x v="4"/>
    <n v="44.999999999999993"/>
    <n v="150"/>
    <n v="67499.999999999985"/>
    <n v="33749.999999999993"/>
    <n v="0.5"/>
    <x v="0"/>
  </r>
  <r>
    <x v="0"/>
    <n v="1185732"/>
    <x v="260"/>
    <x v="3"/>
    <s v="Iowa"/>
    <s v="Des Moines"/>
    <x v="5"/>
    <n v="49.999999999999993"/>
    <n v="275"/>
    <n v="137499.99999999997"/>
    <n v="54999.999999999993"/>
    <n v="0.4"/>
    <x v="0"/>
  </r>
  <r>
    <x v="0"/>
    <n v="1185732"/>
    <x v="290"/>
    <x v="3"/>
    <s v="Iowa"/>
    <s v="Des Moines"/>
    <x v="0"/>
    <n v="35"/>
    <n v="525"/>
    <n v="183750"/>
    <n v="55125"/>
    <n v="0.3"/>
    <x v="0"/>
  </r>
  <r>
    <x v="0"/>
    <n v="1185732"/>
    <x v="290"/>
    <x v="3"/>
    <s v="Iowa"/>
    <s v="Des Moines"/>
    <x v="1"/>
    <n v="30.000000000000011"/>
    <n v="275"/>
    <n v="82500.000000000029"/>
    <n v="28875.000000000007"/>
    <n v="0.35"/>
    <x v="0"/>
  </r>
  <r>
    <x v="0"/>
    <n v="1185732"/>
    <x v="290"/>
    <x v="3"/>
    <s v="Iowa"/>
    <s v="Des Moines"/>
    <x v="2"/>
    <n v="25.000000000000007"/>
    <n v="200"/>
    <n v="50000.000000000015"/>
    <n v="15000.000000000004"/>
    <n v="0.3"/>
    <x v="0"/>
  </r>
  <r>
    <x v="0"/>
    <n v="1185732"/>
    <x v="290"/>
    <x v="3"/>
    <s v="Iowa"/>
    <s v="Des Moines"/>
    <x v="3"/>
    <n v="25.000000000000007"/>
    <n v="175"/>
    <n v="43750.000000000015"/>
    <n v="13125.000000000004"/>
    <n v="0.3"/>
    <x v="0"/>
  </r>
  <r>
    <x v="0"/>
    <n v="1185732"/>
    <x v="290"/>
    <x v="3"/>
    <s v="Iowa"/>
    <s v="Des Moines"/>
    <x v="4"/>
    <n v="35"/>
    <n v="175"/>
    <n v="61250"/>
    <n v="30625"/>
    <n v="0.5"/>
    <x v="0"/>
  </r>
  <r>
    <x v="0"/>
    <n v="1185732"/>
    <x v="290"/>
    <x v="3"/>
    <s v="Iowa"/>
    <s v="Des Moines"/>
    <x v="5"/>
    <n v="55.000000000000007"/>
    <n v="325"/>
    <n v="178750.00000000003"/>
    <n v="71500.000000000015"/>
    <n v="0.4"/>
    <x v="0"/>
  </r>
  <r>
    <x v="0"/>
    <n v="1185732"/>
    <x v="319"/>
    <x v="3"/>
    <s v="Iowa"/>
    <s v="Des Moines"/>
    <x v="0"/>
    <n v="50"/>
    <n v="550"/>
    <n v="275000"/>
    <n v="82500"/>
    <n v="0.3"/>
    <x v="0"/>
  </r>
  <r>
    <x v="0"/>
    <n v="1185732"/>
    <x v="319"/>
    <x v="3"/>
    <s v="Iowa"/>
    <s v="Des Moines"/>
    <x v="1"/>
    <n v="45.000000000000007"/>
    <n v="300"/>
    <n v="135000.00000000003"/>
    <n v="47250.000000000007"/>
    <n v="0.35"/>
    <x v="0"/>
  </r>
  <r>
    <x v="0"/>
    <n v="1185732"/>
    <x v="319"/>
    <x v="3"/>
    <s v="Iowa"/>
    <s v="Des Moines"/>
    <x v="2"/>
    <n v="40"/>
    <n v="225"/>
    <n v="90000"/>
    <n v="27000"/>
    <n v="0.3"/>
    <x v="0"/>
  </r>
  <r>
    <x v="0"/>
    <n v="1185732"/>
    <x v="319"/>
    <x v="3"/>
    <s v="Iowa"/>
    <s v="Des Moines"/>
    <x v="3"/>
    <n v="40"/>
    <n v="175"/>
    <n v="70000"/>
    <n v="21000"/>
    <n v="0.3"/>
    <x v="0"/>
  </r>
  <r>
    <x v="0"/>
    <n v="1185732"/>
    <x v="319"/>
    <x v="3"/>
    <s v="Iowa"/>
    <s v="Des Moines"/>
    <x v="4"/>
    <n v="50"/>
    <n v="200"/>
    <n v="100000"/>
    <n v="50000"/>
    <n v="0.5"/>
    <x v="0"/>
  </r>
  <r>
    <x v="0"/>
    <n v="1185732"/>
    <x v="319"/>
    <x v="3"/>
    <s v="Iowa"/>
    <s v="Des Moines"/>
    <x v="5"/>
    <n v="55.000000000000007"/>
    <n v="375"/>
    <n v="206250.00000000003"/>
    <n v="82500.000000000015"/>
    <n v="0.4"/>
    <x v="0"/>
  </r>
  <r>
    <x v="0"/>
    <n v="1185732"/>
    <x v="351"/>
    <x v="3"/>
    <s v="Iowa"/>
    <s v="Des Moines"/>
    <x v="0"/>
    <n v="50"/>
    <n v="525"/>
    <n v="262500"/>
    <n v="78750"/>
    <n v="0.3"/>
    <x v="0"/>
  </r>
  <r>
    <x v="0"/>
    <n v="1185732"/>
    <x v="351"/>
    <x v="3"/>
    <s v="Iowa"/>
    <s v="Des Moines"/>
    <x v="1"/>
    <n v="45.000000000000007"/>
    <n v="300"/>
    <n v="135000.00000000003"/>
    <n v="47250.000000000007"/>
    <n v="0.35"/>
    <x v="0"/>
  </r>
  <r>
    <x v="0"/>
    <n v="1185732"/>
    <x v="351"/>
    <x v="3"/>
    <s v="Iowa"/>
    <s v="Des Moines"/>
    <x v="2"/>
    <n v="40"/>
    <n v="225"/>
    <n v="90000"/>
    <n v="27000"/>
    <n v="0.3"/>
    <x v="0"/>
  </r>
  <r>
    <x v="0"/>
    <n v="1185732"/>
    <x v="351"/>
    <x v="3"/>
    <s v="Iowa"/>
    <s v="Des Moines"/>
    <x v="3"/>
    <n v="40"/>
    <n v="200"/>
    <n v="80000"/>
    <n v="24000"/>
    <n v="0.3"/>
    <x v="0"/>
  </r>
  <r>
    <x v="0"/>
    <n v="1185732"/>
    <x v="351"/>
    <x v="3"/>
    <s v="Iowa"/>
    <s v="Des Moines"/>
    <x v="4"/>
    <n v="50"/>
    <n v="175"/>
    <n v="87500"/>
    <n v="43750"/>
    <n v="0.5"/>
    <x v="0"/>
  </r>
  <r>
    <x v="0"/>
    <n v="1185732"/>
    <x v="351"/>
    <x v="3"/>
    <s v="Iowa"/>
    <s v="Des Moines"/>
    <x v="5"/>
    <n v="55.000000000000007"/>
    <n v="350"/>
    <n v="192500.00000000003"/>
    <n v="77000.000000000015"/>
    <n v="0.4"/>
    <x v="0"/>
  </r>
  <r>
    <x v="0"/>
    <n v="1185732"/>
    <x v="383"/>
    <x v="3"/>
    <s v="Iowa"/>
    <s v="Des Moines"/>
    <x v="0"/>
    <n v="35"/>
    <n v="475"/>
    <n v="166250"/>
    <n v="49875"/>
    <n v="0.3"/>
    <x v="0"/>
  </r>
  <r>
    <x v="0"/>
    <n v="1185732"/>
    <x v="383"/>
    <x v="3"/>
    <s v="Iowa"/>
    <s v="Des Moines"/>
    <x v="1"/>
    <n v="30.000000000000011"/>
    <n v="275"/>
    <n v="82500.000000000029"/>
    <n v="28875.000000000007"/>
    <n v="0.35"/>
    <x v="0"/>
  </r>
  <r>
    <x v="0"/>
    <n v="1185732"/>
    <x v="383"/>
    <x v="3"/>
    <s v="Iowa"/>
    <s v="Des Moines"/>
    <x v="2"/>
    <n v="25.000000000000007"/>
    <n v="175"/>
    <n v="43750.000000000015"/>
    <n v="13125.000000000004"/>
    <n v="0.3"/>
    <x v="0"/>
  </r>
  <r>
    <x v="0"/>
    <n v="1185732"/>
    <x v="383"/>
    <x v="3"/>
    <s v="Iowa"/>
    <s v="Des Moines"/>
    <x v="3"/>
    <n v="25.000000000000007"/>
    <n v="150"/>
    <n v="37500.000000000007"/>
    <n v="11250.000000000002"/>
    <n v="0.3"/>
    <x v="0"/>
  </r>
  <r>
    <x v="0"/>
    <n v="1185732"/>
    <x v="383"/>
    <x v="3"/>
    <s v="Iowa"/>
    <s v="Des Moines"/>
    <x v="4"/>
    <n v="35"/>
    <n v="150"/>
    <n v="52500"/>
    <n v="26250"/>
    <n v="0.5"/>
    <x v="0"/>
  </r>
  <r>
    <x v="0"/>
    <n v="1185732"/>
    <x v="383"/>
    <x v="3"/>
    <s v="Iowa"/>
    <s v="Des Moines"/>
    <x v="5"/>
    <n v="40"/>
    <n v="225"/>
    <n v="90000"/>
    <n v="36000"/>
    <n v="0.4"/>
    <x v="0"/>
  </r>
  <r>
    <x v="0"/>
    <n v="1185732"/>
    <x v="412"/>
    <x v="3"/>
    <s v="Iowa"/>
    <s v="Des Moines"/>
    <x v="0"/>
    <n v="44.999999999999993"/>
    <n v="400"/>
    <n v="179999.99999999997"/>
    <n v="53999.999999999993"/>
    <n v="0.3"/>
    <x v="0"/>
  </r>
  <r>
    <x v="0"/>
    <n v="1185732"/>
    <x v="412"/>
    <x v="3"/>
    <s v="Iowa"/>
    <s v="Des Moines"/>
    <x v="1"/>
    <n v="35"/>
    <n v="250"/>
    <n v="87500"/>
    <n v="30624.999999999996"/>
    <n v="0.35"/>
    <x v="0"/>
  </r>
  <r>
    <x v="0"/>
    <n v="1185732"/>
    <x v="412"/>
    <x v="3"/>
    <s v="Iowa"/>
    <s v="Des Moines"/>
    <x v="2"/>
    <n v="35"/>
    <n v="150"/>
    <n v="52500"/>
    <n v="15750"/>
    <n v="0.3"/>
    <x v="0"/>
  </r>
  <r>
    <x v="0"/>
    <n v="1185732"/>
    <x v="412"/>
    <x v="3"/>
    <s v="Iowa"/>
    <s v="Des Moines"/>
    <x v="3"/>
    <n v="35"/>
    <n v="125"/>
    <n v="43750"/>
    <n v="13125"/>
    <n v="0.3"/>
    <x v="0"/>
  </r>
  <r>
    <x v="0"/>
    <n v="1185732"/>
    <x v="412"/>
    <x v="3"/>
    <s v="Iowa"/>
    <s v="Des Moines"/>
    <x v="4"/>
    <n v="44.999999999999993"/>
    <n v="125"/>
    <n v="56249.999999999993"/>
    <n v="28124.999999999996"/>
    <n v="0.5"/>
    <x v="0"/>
  </r>
  <r>
    <x v="3"/>
    <n v="1185732"/>
    <x v="412"/>
    <x v="3"/>
    <s v="Iowa"/>
    <s v="Des Moines"/>
    <x v="5"/>
    <n v="49.999999999999986"/>
    <n v="250"/>
    <n v="124999.99999999997"/>
    <n v="49999.999999999993"/>
    <n v="0.4"/>
    <x v="0"/>
  </r>
  <r>
    <x v="3"/>
    <n v="1185732"/>
    <x v="443"/>
    <x v="3"/>
    <s v="Iowa"/>
    <s v="Des Moines"/>
    <x v="0"/>
    <n v="44.999999999999993"/>
    <n v="400"/>
    <n v="179999.99999999997"/>
    <n v="53999.999999999993"/>
    <n v="0.3"/>
    <x v="0"/>
  </r>
  <r>
    <x v="3"/>
    <n v="1185732"/>
    <x v="443"/>
    <x v="3"/>
    <s v="Iowa"/>
    <s v="Des Moines"/>
    <x v="1"/>
    <n v="35"/>
    <n v="275"/>
    <n v="96250"/>
    <n v="33687.5"/>
    <n v="0.35"/>
    <x v="0"/>
  </r>
  <r>
    <x v="3"/>
    <n v="1185732"/>
    <x v="443"/>
    <x v="3"/>
    <s v="Iowa"/>
    <s v="Des Moines"/>
    <x v="2"/>
    <n v="35"/>
    <n v="220"/>
    <n v="77000"/>
    <n v="23100"/>
    <n v="0.3"/>
    <x v="0"/>
  </r>
  <r>
    <x v="3"/>
    <n v="1185732"/>
    <x v="443"/>
    <x v="3"/>
    <s v="Iowa"/>
    <s v="Des Moines"/>
    <x v="3"/>
    <n v="35"/>
    <n v="200"/>
    <n v="70000"/>
    <n v="21000"/>
    <n v="0.3"/>
    <x v="0"/>
  </r>
  <r>
    <x v="3"/>
    <n v="1185732"/>
    <x v="443"/>
    <x v="3"/>
    <s v="Iowa"/>
    <s v="Des Moines"/>
    <x v="4"/>
    <n v="60"/>
    <n v="175"/>
    <n v="105000"/>
    <n v="52500"/>
    <n v="0.5"/>
    <x v="0"/>
  </r>
  <r>
    <x v="3"/>
    <n v="1185732"/>
    <x v="443"/>
    <x v="3"/>
    <s v="Iowa"/>
    <s v="Des Moines"/>
    <x v="5"/>
    <n v="64.999999999999986"/>
    <n v="275"/>
    <n v="178749.99999999997"/>
    <n v="71499.999999999985"/>
    <n v="0.4"/>
    <x v="0"/>
  </r>
  <r>
    <x v="3"/>
    <n v="1185732"/>
    <x v="472"/>
    <x v="3"/>
    <s v="Iowa"/>
    <s v="Des Moines"/>
    <x v="0"/>
    <n v="60"/>
    <n v="525"/>
    <n v="315000"/>
    <n v="94500"/>
    <n v="0.3"/>
    <x v="0"/>
  </r>
  <r>
    <x v="3"/>
    <n v="1185732"/>
    <x v="472"/>
    <x v="3"/>
    <s v="Iowa"/>
    <s v="Des Moines"/>
    <x v="1"/>
    <n v="50"/>
    <n v="325"/>
    <n v="162500"/>
    <n v="56875"/>
    <n v="0.35"/>
    <x v="0"/>
  </r>
  <r>
    <x v="3"/>
    <n v="1185732"/>
    <x v="472"/>
    <x v="3"/>
    <s v="Iowa"/>
    <s v="Des Moines"/>
    <x v="2"/>
    <n v="50"/>
    <n v="275"/>
    <n v="137500"/>
    <n v="41250"/>
    <n v="0.3"/>
    <x v="0"/>
  </r>
  <r>
    <x v="3"/>
    <n v="1185732"/>
    <x v="472"/>
    <x v="3"/>
    <s v="Iowa"/>
    <s v="Des Moines"/>
    <x v="3"/>
    <n v="50"/>
    <n v="225"/>
    <n v="112500"/>
    <n v="33750"/>
    <n v="0.3"/>
    <x v="0"/>
  </r>
  <r>
    <x v="3"/>
    <n v="1185732"/>
    <x v="472"/>
    <x v="3"/>
    <s v="Iowa"/>
    <s v="Des Moines"/>
    <x v="4"/>
    <n v="60"/>
    <n v="225"/>
    <n v="135000"/>
    <n v="67500"/>
    <n v="0.5"/>
    <x v="0"/>
  </r>
  <r>
    <x v="3"/>
    <n v="1185732"/>
    <x v="472"/>
    <x v="3"/>
    <s v="Iowa"/>
    <s v="Des Moines"/>
    <x v="5"/>
    <n v="64.999999999999986"/>
    <n v="325"/>
    <n v="211249.99999999994"/>
    <n v="84499.999999999985"/>
    <n v="0.4"/>
    <x v="0"/>
  </r>
  <r>
    <x v="3"/>
    <n v="1185732"/>
    <x v="167"/>
    <x v="3"/>
    <s v="Iowa"/>
    <s v="Des Moines"/>
    <x v="0"/>
    <n v="30.000000000000004"/>
    <n v="450"/>
    <n v="135000.00000000003"/>
    <n v="40500.000000000007"/>
    <n v="0.3"/>
    <x v="0"/>
  </r>
  <r>
    <x v="3"/>
    <n v="1185732"/>
    <x v="167"/>
    <x v="3"/>
    <s v="Iowa"/>
    <s v="Des Moines"/>
    <x v="1"/>
    <n v="30.000000000000004"/>
    <n v="250"/>
    <n v="75000.000000000015"/>
    <n v="26250.000000000004"/>
    <n v="0.35"/>
    <x v="0"/>
  </r>
  <r>
    <x v="3"/>
    <n v="1185732"/>
    <x v="167"/>
    <x v="3"/>
    <s v="Iowa"/>
    <s v="Des Moines"/>
    <x v="2"/>
    <n v="20.000000000000007"/>
    <n v="250"/>
    <n v="50000.000000000015"/>
    <n v="15000.000000000004"/>
    <n v="0.3"/>
    <x v="0"/>
  </r>
  <r>
    <x v="3"/>
    <n v="1185732"/>
    <x v="167"/>
    <x v="3"/>
    <s v="Iowa"/>
    <s v="Des Moines"/>
    <x v="3"/>
    <n v="25.000000000000007"/>
    <n v="100"/>
    <n v="25000.000000000007"/>
    <n v="7500.0000000000018"/>
    <n v="0.3"/>
    <x v="0"/>
  </r>
  <r>
    <x v="3"/>
    <n v="1185732"/>
    <x v="167"/>
    <x v="3"/>
    <s v="Iowa"/>
    <s v="Des Moines"/>
    <x v="4"/>
    <n v="40"/>
    <n v="150"/>
    <n v="60000"/>
    <n v="30000"/>
    <n v="0.5"/>
    <x v="0"/>
  </r>
  <r>
    <x v="3"/>
    <n v="1185732"/>
    <x v="167"/>
    <x v="3"/>
    <s v="Iowa"/>
    <s v="Des Moines"/>
    <x v="5"/>
    <n v="30.000000000000004"/>
    <n v="250"/>
    <n v="75000.000000000015"/>
    <n v="30000.000000000007"/>
    <n v="0.4"/>
    <x v="0"/>
  </r>
  <r>
    <x v="3"/>
    <n v="1185732"/>
    <x v="198"/>
    <x v="3"/>
    <s v="Iowa"/>
    <s v="Des Moines"/>
    <x v="0"/>
    <n v="30.000000000000004"/>
    <n v="500"/>
    <n v="150000.00000000003"/>
    <n v="45000.000000000007"/>
    <n v="0.3"/>
    <x v="0"/>
  </r>
  <r>
    <x v="3"/>
    <n v="1185732"/>
    <x v="198"/>
    <x v="3"/>
    <s v="Iowa"/>
    <s v="Des Moines"/>
    <x v="1"/>
    <n v="30.000000000000004"/>
    <n v="150"/>
    <n v="45000.000000000007"/>
    <n v="15750.000000000002"/>
    <n v="0.35"/>
    <x v="0"/>
  </r>
  <r>
    <x v="3"/>
    <n v="1185732"/>
    <x v="198"/>
    <x v="3"/>
    <s v="Iowa"/>
    <s v="Des Moines"/>
    <x v="2"/>
    <n v="20.000000000000007"/>
    <n v="200"/>
    <n v="40000.000000000015"/>
    <n v="12000.000000000004"/>
    <n v="0.3"/>
    <x v="0"/>
  </r>
  <r>
    <x v="3"/>
    <n v="1185732"/>
    <x v="198"/>
    <x v="3"/>
    <s v="Wisconsin"/>
    <s v="Milwaukee"/>
    <x v="3"/>
    <n v="25.000000000000007"/>
    <n v="75"/>
    <n v="18750.000000000004"/>
    <n v="5625.0000000000009"/>
    <n v="0.3"/>
    <x v="0"/>
  </r>
  <r>
    <x v="3"/>
    <n v="1185732"/>
    <x v="198"/>
    <x v="3"/>
    <s v="Wisconsin"/>
    <s v="Milwaukee"/>
    <x v="4"/>
    <n v="40"/>
    <n v="150"/>
    <n v="60000"/>
    <n v="30000"/>
    <n v="0.5"/>
    <x v="0"/>
  </r>
  <r>
    <x v="3"/>
    <n v="1185732"/>
    <x v="198"/>
    <x v="3"/>
    <s v="Wisconsin"/>
    <s v="Milwaukee"/>
    <x v="5"/>
    <n v="14.999999999999996"/>
    <n v="250"/>
    <n v="37499.999999999993"/>
    <n v="14999.999999999998"/>
    <n v="0.4"/>
    <x v="0"/>
  </r>
  <r>
    <x v="3"/>
    <n v="1185732"/>
    <x v="704"/>
    <x v="3"/>
    <s v="Wisconsin"/>
    <s v="Milwaukee"/>
    <x v="0"/>
    <n v="20.000000000000004"/>
    <n v="470"/>
    <n v="94000.000000000015"/>
    <n v="28200.000000000004"/>
    <n v="0.3"/>
    <x v="0"/>
  </r>
  <r>
    <x v="3"/>
    <n v="1185732"/>
    <x v="704"/>
    <x v="3"/>
    <s v="Wisconsin"/>
    <s v="Milwaukee"/>
    <x v="1"/>
    <n v="20.000000000000004"/>
    <n v="175"/>
    <n v="35000.000000000007"/>
    <n v="12250.000000000002"/>
    <n v="0.35"/>
    <x v="0"/>
  </r>
  <r>
    <x v="3"/>
    <n v="1185732"/>
    <x v="704"/>
    <x v="3"/>
    <s v="Wisconsin"/>
    <s v="Milwaukee"/>
    <x v="2"/>
    <n v="10.000000000000004"/>
    <n v="225"/>
    <n v="22500.000000000007"/>
    <n v="6750.0000000000018"/>
    <n v="0.3"/>
    <x v="0"/>
  </r>
  <r>
    <x v="3"/>
    <n v="1185732"/>
    <x v="704"/>
    <x v="3"/>
    <s v="Wisconsin"/>
    <s v="Milwaukee"/>
    <x v="3"/>
    <n v="14.999999999999996"/>
    <n v="75"/>
    <n v="11249.999999999998"/>
    <n v="3374.9999999999995"/>
    <n v="0.3"/>
    <x v="0"/>
  </r>
  <r>
    <x v="3"/>
    <n v="1185732"/>
    <x v="704"/>
    <x v="3"/>
    <s v="Wisconsin"/>
    <s v="Milwaukee"/>
    <x v="4"/>
    <n v="30.000000000000004"/>
    <n v="125"/>
    <n v="37500.000000000007"/>
    <n v="18750.000000000004"/>
    <n v="0.5"/>
    <x v="0"/>
  </r>
  <r>
    <x v="3"/>
    <n v="1185732"/>
    <x v="704"/>
    <x v="3"/>
    <s v="Wisconsin"/>
    <s v="Milwaukee"/>
    <x v="5"/>
    <n v="20.000000000000004"/>
    <n v="225"/>
    <n v="45000.000000000007"/>
    <n v="18000.000000000004"/>
    <n v="0.4"/>
    <x v="0"/>
  </r>
  <r>
    <x v="3"/>
    <n v="1185732"/>
    <x v="721"/>
    <x v="3"/>
    <s v="Wisconsin"/>
    <s v="Milwaukee"/>
    <x v="0"/>
    <n v="20.000000000000004"/>
    <n v="450"/>
    <n v="90000.000000000015"/>
    <n v="27000.000000000004"/>
    <n v="0.3"/>
    <x v="0"/>
  </r>
  <r>
    <x v="3"/>
    <n v="1185732"/>
    <x v="721"/>
    <x v="3"/>
    <s v="Wisconsin"/>
    <s v="Milwaukee"/>
    <x v="1"/>
    <n v="20.000000000000004"/>
    <n v="150"/>
    <n v="30000.000000000004"/>
    <n v="10500"/>
    <n v="0.35"/>
    <x v="0"/>
  </r>
  <r>
    <x v="3"/>
    <n v="1185732"/>
    <x v="721"/>
    <x v="3"/>
    <s v="Wisconsin"/>
    <s v="Milwaukee"/>
    <x v="2"/>
    <n v="10.000000000000004"/>
    <n v="150"/>
    <n v="15000.000000000005"/>
    <n v="4500.0000000000018"/>
    <n v="0.3"/>
    <x v="0"/>
  </r>
  <r>
    <x v="3"/>
    <n v="1185732"/>
    <x v="721"/>
    <x v="3"/>
    <s v="Wisconsin"/>
    <s v="Milwaukee"/>
    <x v="3"/>
    <n v="14.999999999999996"/>
    <n v="75"/>
    <n v="11249.999999999998"/>
    <n v="3374.9999999999995"/>
    <n v="0.3"/>
    <x v="0"/>
  </r>
  <r>
    <x v="3"/>
    <n v="1185732"/>
    <x v="721"/>
    <x v="3"/>
    <s v="Wisconsin"/>
    <s v="Milwaukee"/>
    <x v="4"/>
    <n v="60"/>
    <n v="100"/>
    <n v="60000"/>
    <n v="30000"/>
    <n v="0.5"/>
    <x v="0"/>
  </r>
  <r>
    <x v="3"/>
    <n v="1185732"/>
    <x v="721"/>
    <x v="3"/>
    <s v="Wisconsin"/>
    <s v="Milwaukee"/>
    <x v="5"/>
    <n v="50"/>
    <n v="225"/>
    <n v="112500"/>
    <n v="45000"/>
    <n v="0.4"/>
    <x v="0"/>
  </r>
  <r>
    <x v="3"/>
    <n v="1185732"/>
    <x v="257"/>
    <x v="3"/>
    <s v="Wisconsin"/>
    <s v="Milwaukee"/>
    <x v="0"/>
    <n v="60"/>
    <n v="495"/>
    <n v="297000"/>
    <n v="89100"/>
    <n v="0.3"/>
    <x v="0"/>
  </r>
  <r>
    <x v="3"/>
    <n v="1185732"/>
    <x v="257"/>
    <x v="3"/>
    <s v="Wisconsin"/>
    <s v="Milwaukee"/>
    <x v="1"/>
    <n v="40"/>
    <n v="200"/>
    <n v="80000"/>
    <n v="28000"/>
    <n v="0.35"/>
    <x v="0"/>
  </r>
  <r>
    <x v="3"/>
    <n v="1185732"/>
    <x v="257"/>
    <x v="3"/>
    <s v="Wisconsin"/>
    <s v="Milwaukee"/>
    <x v="2"/>
    <n v="35"/>
    <n v="175"/>
    <n v="61250"/>
    <n v="18375"/>
    <n v="0.3"/>
    <x v="0"/>
  </r>
  <r>
    <x v="3"/>
    <n v="1185732"/>
    <x v="257"/>
    <x v="3"/>
    <s v="Wisconsin"/>
    <s v="Milwaukee"/>
    <x v="3"/>
    <n v="35"/>
    <n v="150"/>
    <n v="52500"/>
    <n v="15750"/>
    <n v="0.3"/>
    <x v="0"/>
  </r>
  <r>
    <x v="3"/>
    <n v="1185732"/>
    <x v="257"/>
    <x v="3"/>
    <s v="Wisconsin"/>
    <s v="Milwaukee"/>
    <x v="4"/>
    <n v="44.999999999999993"/>
    <n v="175"/>
    <n v="78749.999999999985"/>
    <n v="39374.999999999993"/>
    <n v="0.5"/>
    <x v="0"/>
  </r>
  <r>
    <x v="3"/>
    <n v="1185732"/>
    <x v="257"/>
    <x v="3"/>
    <s v="Wisconsin"/>
    <s v="Milwaukee"/>
    <x v="5"/>
    <n v="49.999999999999993"/>
    <n v="300"/>
    <n v="149999.99999999997"/>
    <n v="59999.999999999993"/>
    <n v="0.4"/>
    <x v="0"/>
  </r>
  <r>
    <x v="3"/>
    <n v="1185732"/>
    <x v="287"/>
    <x v="3"/>
    <s v="Wisconsin"/>
    <s v="Milwaukee"/>
    <x v="0"/>
    <n v="35"/>
    <n v="550"/>
    <n v="192500"/>
    <n v="57750"/>
    <n v="0.3"/>
    <x v="0"/>
  </r>
  <r>
    <x v="3"/>
    <n v="1185732"/>
    <x v="287"/>
    <x v="3"/>
    <s v="Wisconsin"/>
    <s v="Milwaukee"/>
    <x v="1"/>
    <n v="30.000000000000011"/>
    <n v="300"/>
    <n v="90000.000000000029"/>
    <n v="31500.000000000007"/>
    <n v="0.35"/>
    <x v="0"/>
  </r>
  <r>
    <x v="3"/>
    <n v="1185732"/>
    <x v="287"/>
    <x v="3"/>
    <s v="Wisconsin"/>
    <s v="Milwaukee"/>
    <x v="2"/>
    <n v="25.000000000000007"/>
    <n v="200"/>
    <n v="50000.000000000015"/>
    <n v="15000.000000000004"/>
    <n v="0.3"/>
    <x v="0"/>
  </r>
  <r>
    <x v="3"/>
    <n v="1185732"/>
    <x v="287"/>
    <x v="3"/>
    <s v="Wisconsin"/>
    <s v="Milwaukee"/>
    <x v="3"/>
    <n v="25.000000000000007"/>
    <n v="175"/>
    <n v="43750.000000000015"/>
    <n v="13125.000000000004"/>
    <n v="0.3"/>
    <x v="0"/>
  </r>
  <r>
    <x v="3"/>
    <n v="1185732"/>
    <x v="287"/>
    <x v="3"/>
    <s v="Wisconsin"/>
    <s v="Milwaukee"/>
    <x v="4"/>
    <n v="35"/>
    <n v="175"/>
    <n v="61250"/>
    <n v="30625"/>
    <n v="0.5"/>
    <x v="0"/>
  </r>
  <r>
    <x v="3"/>
    <n v="1185732"/>
    <x v="287"/>
    <x v="3"/>
    <s v="Wisconsin"/>
    <s v="Milwaukee"/>
    <x v="5"/>
    <n v="55.000000000000007"/>
    <n v="325"/>
    <n v="178750.00000000003"/>
    <n v="71500.000000000015"/>
    <n v="0.4"/>
    <x v="0"/>
  </r>
  <r>
    <x v="3"/>
    <n v="1185732"/>
    <x v="316"/>
    <x v="3"/>
    <s v="Wisconsin"/>
    <s v="Milwaukee"/>
    <x v="0"/>
    <n v="50"/>
    <n v="550"/>
    <n v="275000"/>
    <n v="82500"/>
    <n v="0.3"/>
    <x v="0"/>
  </r>
  <r>
    <x v="3"/>
    <n v="1185732"/>
    <x v="316"/>
    <x v="3"/>
    <s v="Wisconsin"/>
    <s v="Milwaukee"/>
    <x v="1"/>
    <n v="45.000000000000007"/>
    <n v="300"/>
    <n v="135000.00000000003"/>
    <n v="47250.000000000007"/>
    <n v="0.35"/>
    <x v="0"/>
  </r>
  <r>
    <x v="3"/>
    <n v="1185732"/>
    <x v="316"/>
    <x v="3"/>
    <s v="Wisconsin"/>
    <s v="Milwaukee"/>
    <x v="2"/>
    <n v="40"/>
    <n v="225"/>
    <n v="90000"/>
    <n v="27000"/>
    <n v="0.3"/>
    <x v="0"/>
  </r>
  <r>
    <x v="3"/>
    <n v="1185732"/>
    <x v="316"/>
    <x v="3"/>
    <s v="Wisconsin"/>
    <s v="Milwaukee"/>
    <x v="3"/>
    <n v="40"/>
    <n v="175"/>
    <n v="70000"/>
    <n v="21000"/>
    <n v="0.3"/>
    <x v="0"/>
  </r>
  <r>
    <x v="3"/>
    <n v="1185732"/>
    <x v="316"/>
    <x v="3"/>
    <s v="Wisconsin"/>
    <s v="Milwaukee"/>
    <x v="4"/>
    <n v="50"/>
    <n v="200"/>
    <n v="100000"/>
    <n v="50000"/>
    <n v="0.5"/>
    <x v="0"/>
  </r>
  <r>
    <x v="3"/>
    <n v="1185732"/>
    <x v="316"/>
    <x v="3"/>
    <s v="Wisconsin"/>
    <s v="Milwaukee"/>
    <x v="5"/>
    <n v="55.000000000000007"/>
    <n v="375"/>
    <n v="206250.00000000003"/>
    <n v="82500.000000000015"/>
    <n v="0.4"/>
    <x v="0"/>
  </r>
  <r>
    <x v="3"/>
    <n v="1185732"/>
    <x v="348"/>
    <x v="3"/>
    <s v="Wisconsin"/>
    <s v="Milwaukee"/>
    <x v="0"/>
    <n v="50"/>
    <n v="525"/>
    <n v="262500"/>
    <n v="78750"/>
    <n v="0.3"/>
    <x v="0"/>
  </r>
  <r>
    <x v="3"/>
    <n v="1185732"/>
    <x v="348"/>
    <x v="3"/>
    <s v="Wisconsin"/>
    <s v="Milwaukee"/>
    <x v="1"/>
    <n v="45.000000000000007"/>
    <n v="300"/>
    <n v="135000.00000000003"/>
    <n v="47250.000000000007"/>
    <n v="0.35"/>
    <x v="0"/>
  </r>
  <r>
    <x v="3"/>
    <n v="1185732"/>
    <x v="348"/>
    <x v="3"/>
    <s v="Wisconsin"/>
    <s v="Milwaukee"/>
    <x v="2"/>
    <n v="40"/>
    <n v="225"/>
    <n v="90000"/>
    <n v="27000"/>
    <n v="0.3"/>
    <x v="0"/>
  </r>
  <r>
    <x v="3"/>
    <n v="1185732"/>
    <x v="348"/>
    <x v="3"/>
    <s v="Wisconsin"/>
    <s v="Milwaukee"/>
    <x v="3"/>
    <n v="40"/>
    <n v="200"/>
    <n v="80000"/>
    <n v="24000"/>
    <n v="0.3"/>
    <x v="0"/>
  </r>
  <r>
    <x v="3"/>
    <n v="1185732"/>
    <x v="348"/>
    <x v="3"/>
    <s v="Wisconsin"/>
    <s v="Milwaukee"/>
    <x v="4"/>
    <n v="50"/>
    <n v="175"/>
    <n v="87500"/>
    <n v="43750"/>
    <n v="0.5"/>
    <x v="0"/>
  </r>
  <r>
    <x v="3"/>
    <n v="1185732"/>
    <x v="348"/>
    <x v="3"/>
    <s v="Wisconsin"/>
    <s v="Milwaukee"/>
    <x v="5"/>
    <n v="55.000000000000007"/>
    <n v="350"/>
    <n v="192500.00000000003"/>
    <n v="77000.000000000015"/>
    <n v="0.4"/>
    <x v="0"/>
  </r>
  <r>
    <x v="3"/>
    <n v="1185732"/>
    <x v="380"/>
    <x v="3"/>
    <s v="Wisconsin"/>
    <s v="Milwaukee"/>
    <x v="0"/>
    <n v="35"/>
    <n v="475"/>
    <n v="166250"/>
    <n v="49875"/>
    <n v="0.3"/>
    <x v="0"/>
  </r>
  <r>
    <x v="3"/>
    <n v="1185732"/>
    <x v="380"/>
    <x v="3"/>
    <s v="Wisconsin"/>
    <s v="Milwaukee"/>
    <x v="1"/>
    <n v="30.000000000000011"/>
    <n v="250"/>
    <n v="75000.000000000029"/>
    <n v="26250.000000000007"/>
    <n v="0.35"/>
    <x v="0"/>
  </r>
  <r>
    <x v="3"/>
    <n v="1185732"/>
    <x v="380"/>
    <x v="3"/>
    <s v="Wisconsin"/>
    <s v="Milwaukee"/>
    <x v="2"/>
    <n v="25.000000000000007"/>
    <n v="150"/>
    <n v="37500.000000000007"/>
    <n v="11250.000000000002"/>
    <n v="0.3"/>
    <x v="0"/>
  </r>
  <r>
    <x v="3"/>
    <n v="1185732"/>
    <x v="380"/>
    <x v="3"/>
    <s v="Wisconsin"/>
    <s v="Milwaukee"/>
    <x v="3"/>
    <n v="25.000000000000007"/>
    <n v="125"/>
    <n v="31250.000000000007"/>
    <n v="9375.0000000000018"/>
    <n v="0.3"/>
    <x v="0"/>
  </r>
  <r>
    <x v="3"/>
    <n v="1185732"/>
    <x v="380"/>
    <x v="3"/>
    <s v="Wisconsin"/>
    <s v="Milwaukee"/>
    <x v="4"/>
    <n v="35"/>
    <n v="125"/>
    <n v="43750"/>
    <n v="21875"/>
    <n v="0.5"/>
    <x v="0"/>
  </r>
  <r>
    <x v="3"/>
    <n v="1185732"/>
    <x v="380"/>
    <x v="3"/>
    <s v="Wisconsin"/>
    <s v="Milwaukee"/>
    <x v="5"/>
    <n v="40"/>
    <n v="200"/>
    <n v="80000"/>
    <n v="32000"/>
    <n v="0.4"/>
    <x v="0"/>
  </r>
  <r>
    <x v="3"/>
    <n v="1185732"/>
    <x v="409"/>
    <x v="3"/>
    <s v="Wisconsin"/>
    <s v="Milwaukee"/>
    <x v="0"/>
    <n v="44.999999999999993"/>
    <n v="375"/>
    <n v="168749.99999999997"/>
    <n v="50624.999999999993"/>
    <n v="0.3"/>
    <x v="0"/>
  </r>
  <r>
    <x v="3"/>
    <n v="1185732"/>
    <x v="409"/>
    <x v="3"/>
    <s v="Wisconsin"/>
    <s v="Milwaukee"/>
    <x v="1"/>
    <n v="35"/>
    <n v="225"/>
    <n v="78750"/>
    <n v="27562.5"/>
    <n v="0.35"/>
    <x v="0"/>
  </r>
  <r>
    <x v="3"/>
    <n v="1185732"/>
    <x v="409"/>
    <x v="3"/>
    <s v="Wisconsin"/>
    <s v="Milwaukee"/>
    <x v="2"/>
    <n v="35"/>
    <n v="125"/>
    <n v="43750"/>
    <n v="13125"/>
    <n v="0.3"/>
    <x v="0"/>
  </r>
  <r>
    <x v="3"/>
    <n v="1185732"/>
    <x v="409"/>
    <x v="3"/>
    <s v="Wisconsin"/>
    <s v="Milwaukee"/>
    <x v="3"/>
    <n v="35"/>
    <n v="125"/>
    <n v="43750"/>
    <n v="13125"/>
    <n v="0.3"/>
    <x v="0"/>
  </r>
  <r>
    <x v="3"/>
    <n v="1185732"/>
    <x v="409"/>
    <x v="3"/>
    <s v="Wisconsin"/>
    <s v="Milwaukee"/>
    <x v="4"/>
    <n v="44.999999999999993"/>
    <n v="125"/>
    <n v="56249.999999999993"/>
    <n v="28124.999999999996"/>
    <n v="0.5"/>
    <x v="0"/>
  </r>
  <r>
    <x v="3"/>
    <n v="1185732"/>
    <x v="409"/>
    <x v="3"/>
    <s v="Wisconsin"/>
    <s v="Milwaukee"/>
    <x v="5"/>
    <n v="49.999999999999986"/>
    <n v="250"/>
    <n v="124999.99999999997"/>
    <n v="49999.999999999993"/>
    <n v="0.4"/>
    <x v="0"/>
  </r>
  <r>
    <x v="3"/>
    <n v="1185732"/>
    <x v="440"/>
    <x v="3"/>
    <s v="Wisconsin"/>
    <s v="Milwaukee"/>
    <x v="0"/>
    <n v="44.999999999999993"/>
    <n v="400"/>
    <n v="179999.99999999997"/>
    <n v="53999.999999999993"/>
    <n v="0.3"/>
    <x v="0"/>
  </r>
  <r>
    <x v="3"/>
    <n v="1185732"/>
    <x v="440"/>
    <x v="3"/>
    <s v="Wisconsin"/>
    <s v="Milwaukee"/>
    <x v="1"/>
    <n v="35"/>
    <n v="300"/>
    <n v="105000"/>
    <n v="36750"/>
    <n v="0.35"/>
    <x v="0"/>
  </r>
  <r>
    <x v="3"/>
    <n v="1185732"/>
    <x v="440"/>
    <x v="3"/>
    <s v="Wisconsin"/>
    <s v="Milwaukee"/>
    <x v="2"/>
    <n v="35"/>
    <n v="245"/>
    <n v="85750"/>
    <n v="25725"/>
    <n v="0.3"/>
    <x v="0"/>
  </r>
  <r>
    <x v="3"/>
    <n v="1185732"/>
    <x v="440"/>
    <x v="3"/>
    <s v="Wisconsin"/>
    <s v="Milwaukee"/>
    <x v="3"/>
    <n v="35"/>
    <n v="225"/>
    <n v="78750"/>
    <n v="23625"/>
    <n v="0.3"/>
    <x v="0"/>
  </r>
  <r>
    <x v="3"/>
    <n v="1185732"/>
    <x v="440"/>
    <x v="3"/>
    <s v="Wisconsin"/>
    <s v="Milwaukee"/>
    <x v="4"/>
    <n v="60"/>
    <n v="200"/>
    <n v="120000"/>
    <n v="60000"/>
    <n v="0.5"/>
    <x v="0"/>
  </r>
  <r>
    <x v="3"/>
    <n v="1185732"/>
    <x v="440"/>
    <x v="3"/>
    <s v="Wisconsin"/>
    <s v="Milwaukee"/>
    <x v="5"/>
    <n v="64.999999999999986"/>
    <n v="300"/>
    <n v="194999.99999999997"/>
    <n v="77999.999999999985"/>
    <n v="0.4"/>
    <x v="0"/>
  </r>
  <r>
    <x v="3"/>
    <n v="1185732"/>
    <x v="469"/>
    <x v="3"/>
    <s v="Wisconsin"/>
    <s v="Milwaukee"/>
    <x v="0"/>
    <n v="60"/>
    <n v="550"/>
    <n v="330000"/>
    <n v="99000"/>
    <n v="0.3"/>
    <x v="0"/>
  </r>
  <r>
    <x v="3"/>
    <n v="1185732"/>
    <x v="469"/>
    <x v="3"/>
    <s v="Wisconsin"/>
    <s v="Milwaukee"/>
    <x v="1"/>
    <n v="50"/>
    <n v="350"/>
    <n v="175000"/>
    <n v="61249.999999999993"/>
    <n v="0.35"/>
    <x v="0"/>
  </r>
  <r>
    <x v="3"/>
    <n v="1185732"/>
    <x v="469"/>
    <x v="3"/>
    <s v="Wisconsin"/>
    <s v="Milwaukee"/>
    <x v="2"/>
    <n v="50"/>
    <n v="300"/>
    <n v="150000"/>
    <n v="45000"/>
    <n v="0.3"/>
    <x v="0"/>
  </r>
  <r>
    <x v="3"/>
    <n v="1185732"/>
    <x v="469"/>
    <x v="3"/>
    <s v="Wisconsin"/>
    <s v="Milwaukee"/>
    <x v="3"/>
    <n v="50"/>
    <n v="250"/>
    <n v="125000"/>
    <n v="37500"/>
    <n v="0.3"/>
    <x v="0"/>
  </r>
  <r>
    <x v="3"/>
    <n v="1185732"/>
    <x v="469"/>
    <x v="3"/>
    <s v="Wisconsin"/>
    <s v="Milwaukee"/>
    <x v="4"/>
    <n v="60"/>
    <n v="250"/>
    <n v="150000"/>
    <n v="75000"/>
    <n v="0.5"/>
    <x v="0"/>
  </r>
  <r>
    <x v="3"/>
    <n v="1185732"/>
    <x v="469"/>
    <x v="3"/>
    <s v="Wisconsin"/>
    <s v="Milwaukee"/>
    <x v="5"/>
    <n v="64.999999999999986"/>
    <n v="350"/>
    <n v="227499.99999999994"/>
    <n v="90999.999999999985"/>
    <n v="0.4"/>
    <x v="0"/>
  </r>
  <r>
    <x v="3"/>
    <n v="1185732"/>
    <x v="174"/>
    <x v="3"/>
    <s v="Wisconsin"/>
    <s v="Milwaukee"/>
    <x v="0"/>
    <n v="35"/>
    <n v="500"/>
    <n v="175000"/>
    <n v="70000"/>
    <n v="0.4"/>
    <x v="0"/>
  </r>
  <r>
    <x v="3"/>
    <n v="1185732"/>
    <x v="174"/>
    <x v="3"/>
    <s v="Wisconsin"/>
    <s v="Milwaukee"/>
    <x v="1"/>
    <n v="35"/>
    <n v="300"/>
    <n v="105000"/>
    <n v="42000"/>
    <n v="0.4"/>
    <x v="0"/>
  </r>
  <r>
    <x v="3"/>
    <n v="1185732"/>
    <x v="174"/>
    <x v="3"/>
    <s v="Wisconsin"/>
    <s v="Milwaukee"/>
    <x v="2"/>
    <n v="25.000000000000007"/>
    <n v="300"/>
    <n v="75000.000000000015"/>
    <n v="26250.000000000004"/>
    <n v="0.35"/>
    <x v="0"/>
  </r>
  <r>
    <x v="3"/>
    <n v="1185732"/>
    <x v="174"/>
    <x v="3"/>
    <s v="Wisconsin"/>
    <s v="Milwaukee"/>
    <x v="3"/>
    <n v="30.000000000000004"/>
    <n v="150"/>
    <n v="45000.000000000007"/>
    <n v="15750.000000000002"/>
    <n v="0.35"/>
    <x v="0"/>
  </r>
  <r>
    <x v="3"/>
    <n v="1185732"/>
    <x v="174"/>
    <x v="3"/>
    <s v="Wisconsin"/>
    <s v="Milwaukee"/>
    <x v="4"/>
    <n v="44.999999999999993"/>
    <n v="200"/>
    <n v="89999.999999999985"/>
    <n v="26999.999999999996"/>
    <n v="0.3"/>
    <x v="0"/>
  </r>
  <r>
    <x v="3"/>
    <n v="1185732"/>
    <x v="174"/>
    <x v="3"/>
    <s v="Wisconsin"/>
    <s v="Milwaukee"/>
    <x v="5"/>
    <n v="35"/>
    <n v="300"/>
    <n v="105000"/>
    <n v="42000"/>
    <n v="0.4"/>
    <x v="0"/>
  </r>
  <r>
    <x v="3"/>
    <n v="1185732"/>
    <x v="205"/>
    <x v="3"/>
    <s v="Wisconsin"/>
    <s v="Milwaukee"/>
    <x v="0"/>
    <n v="35"/>
    <n v="550"/>
    <n v="192500"/>
    <n v="77000"/>
    <n v="0.4"/>
    <x v="0"/>
  </r>
  <r>
    <x v="3"/>
    <n v="1185732"/>
    <x v="205"/>
    <x v="3"/>
    <s v="Wisconsin"/>
    <s v="Milwaukee"/>
    <x v="1"/>
    <n v="35"/>
    <n v="200"/>
    <n v="70000"/>
    <n v="28000"/>
    <n v="0.4"/>
    <x v="0"/>
  </r>
  <r>
    <x v="3"/>
    <n v="1185732"/>
    <x v="205"/>
    <x v="3"/>
    <s v="Wisconsin"/>
    <s v="Milwaukee"/>
    <x v="2"/>
    <n v="25.000000000000007"/>
    <n v="250"/>
    <n v="62500.000000000015"/>
    <n v="21875.000000000004"/>
    <n v="0.35"/>
    <x v="0"/>
  </r>
  <r>
    <x v="3"/>
    <n v="1185732"/>
    <x v="205"/>
    <x v="3"/>
    <s v="Indiana"/>
    <s v="Indianapolis"/>
    <x v="3"/>
    <n v="30.000000000000004"/>
    <n v="125"/>
    <n v="37500.000000000007"/>
    <n v="13125.000000000002"/>
    <n v="0.35"/>
    <x v="0"/>
  </r>
  <r>
    <x v="3"/>
    <n v="1185732"/>
    <x v="205"/>
    <x v="3"/>
    <s v="Indiana"/>
    <s v="Indianapolis"/>
    <x v="4"/>
    <n v="44.999999999999993"/>
    <n v="200"/>
    <n v="89999.999999999985"/>
    <n v="26999.999999999996"/>
    <n v="0.3"/>
    <x v="0"/>
  </r>
  <r>
    <x v="3"/>
    <n v="1185732"/>
    <x v="205"/>
    <x v="3"/>
    <s v="Indiana"/>
    <s v="Indianapolis"/>
    <x v="5"/>
    <n v="19.999999999999996"/>
    <n v="300"/>
    <n v="59999.999999999993"/>
    <n v="24000"/>
    <n v="0.4"/>
    <x v="0"/>
  </r>
  <r>
    <x v="3"/>
    <n v="1185732"/>
    <x v="214"/>
    <x v="3"/>
    <s v="Indiana"/>
    <s v="Indianapolis"/>
    <x v="0"/>
    <n v="25.000000000000007"/>
    <n v="520"/>
    <n v="130000.00000000004"/>
    <n v="52000.000000000022"/>
    <n v="0.4"/>
    <x v="0"/>
  </r>
  <r>
    <x v="3"/>
    <n v="1185732"/>
    <x v="214"/>
    <x v="3"/>
    <s v="Indiana"/>
    <s v="Indianapolis"/>
    <x v="1"/>
    <n v="25.000000000000007"/>
    <n v="225"/>
    <n v="56250.000000000015"/>
    <n v="22500.000000000007"/>
    <n v="0.4"/>
    <x v="0"/>
  </r>
  <r>
    <x v="3"/>
    <n v="1185732"/>
    <x v="214"/>
    <x v="3"/>
    <s v="Indiana"/>
    <s v="Indianapolis"/>
    <x v="2"/>
    <n v="15.000000000000002"/>
    <n v="275"/>
    <n v="41250.000000000007"/>
    <n v="14437.500000000002"/>
    <n v="0.35"/>
    <x v="0"/>
  </r>
  <r>
    <x v="3"/>
    <n v="1185732"/>
    <x v="214"/>
    <x v="3"/>
    <s v="Indiana"/>
    <s v="Indianapolis"/>
    <x v="3"/>
    <n v="19.999999999999996"/>
    <n v="125"/>
    <n v="24999.999999999996"/>
    <n v="8749.9999999999982"/>
    <n v="0.35"/>
    <x v="0"/>
  </r>
  <r>
    <x v="3"/>
    <n v="1185732"/>
    <x v="214"/>
    <x v="3"/>
    <s v="Indiana"/>
    <s v="Indianapolis"/>
    <x v="4"/>
    <n v="35"/>
    <n v="175"/>
    <n v="61250"/>
    <n v="18375"/>
    <n v="0.3"/>
    <x v="0"/>
  </r>
  <r>
    <x v="3"/>
    <n v="1185732"/>
    <x v="214"/>
    <x v="3"/>
    <s v="Indiana"/>
    <s v="Indianapolis"/>
    <x v="5"/>
    <n v="25.000000000000007"/>
    <n v="275"/>
    <n v="68750.000000000015"/>
    <n v="27500.000000000007"/>
    <n v="0.4"/>
    <x v="0"/>
  </r>
  <r>
    <x v="3"/>
    <n v="1185732"/>
    <x v="233"/>
    <x v="3"/>
    <s v="Indiana"/>
    <s v="Indianapolis"/>
    <x v="0"/>
    <n v="25.000000000000007"/>
    <n v="500"/>
    <n v="125000.00000000003"/>
    <n v="50000.000000000015"/>
    <n v="0.4"/>
    <x v="0"/>
  </r>
  <r>
    <x v="3"/>
    <n v="1185732"/>
    <x v="233"/>
    <x v="3"/>
    <s v="Indiana"/>
    <s v="Indianapolis"/>
    <x v="1"/>
    <n v="25.000000000000007"/>
    <n v="200"/>
    <n v="50000.000000000015"/>
    <n v="20000.000000000007"/>
    <n v="0.4"/>
    <x v="0"/>
  </r>
  <r>
    <x v="3"/>
    <n v="1185732"/>
    <x v="233"/>
    <x v="3"/>
    <s v="Indiana"/>
    <s v="Indianapolis"/>
    <x v="2"/>
    <n v="15.000000000000002"/>
    <n v="200"/>
    <n v="30000.000000000004"/>
    <n v="10500"/>
    <n v="0.35"/>
    <x v="0"/>
  </r>
  <r>
    <x v="3"/>
    <n v="1185732"/>
    <x v="233"/>
    <x v="3"/>
    <s v="Indiana"/>
    <s v="Indianapolis"/>
    <x v="3"/>
    <n v="19.999999999999996"/>
    <n v="125"/>
    <n v="24999.999999999996"/>
    <n v="8749.9999999999982"/>
    <n v="0.35"/>
    <x v="0"/>
  </r>
  <r>
    <x v="3"/>
    <n v="1185732"/>
    <x v="233"/>
    <x v="3"/>
    <s v="Indiana"/>
    <s v="Indianapolis"/>
    <x v="4"/>
    <n v="65"/>
    <n v="150"/>
    <n v="97500"/>
    <n v="29250"/>
    <n v="0.3"/>
    <x v="0"/>
  </r>
  <r>
    <x v="3"/>
    <n v="1185732"/>
    <x v="233"/>
    <x v="3"/>
    <s v="Indiana"/>
    <s v="Indianapolis"/>
    <x v="5"/>
    <n v="50"/>
    <n v="275"/>
    <n v="137500"/>
    <n v="55000"/>
    <n v="0.4"/>
    <x v="0"/>
  </r>
  <r>
    <x v="3"/>
    <n v="1185732"/>
    <x v="264"/>
    <x v="3"/>
    <s v="Indiana"/>
    <s v="Indianapolis"/>
    <x v="0"/>
    <n v="60"/>
    <n v="545"/>
    <n v="327000"/>
    <n v="130800"/>
    <n v="0.4"/>
    <x v="0"/>
  </r>
  <r>
    <x v="3"/>
    <n v="1185732"/>
    <x v="264"/>
    <x v="3"/>
    <s v="Indiana"/>
    <s v="Indianapolis"/>
    <x v="1"/>
    <n v="40"/>
    <n v="250"/>
    <n v="100000"/>
    <n v="40000"/>
    <n v="0.4"/>
    <x v="0"/>
  </r>
  <r>
    <x v="3"/>
    <n v="1185732"/>
    <x v="264"/>
    <x v="3"/>
    <s v="Indiana"/>
    <s v="Indianapolis"/>
    <x v="2"/>
    <n v="35"/>
    <n v="225"/>
    <n v="78750"/>
    <n v="27562.5"/>
    <n v="0.35"/>
    <x v="0"/>
  </r>
  <r>
    <x v="3"/>
    <n v="1185732"/>
    <x v="264"/>
    <x v="3"/>
    <s v="Indiana"/>
    <s v="Indianapolis"/>
    <x v="3"/>
    <n v="35"/>
    <n v="175"/>
    <n v="61250"/>
    <n v="21437.5"/>
    <n v="0.35"/>
    <x v="0"/>
  </r>
  <r>
    <x v="3"/>
    <n v="1185732"/>
    <x v="264"/>
    <x v="3"/>
    <s v="Indiana"/>
    <s v="Indianapolis"/>
    <x v="4"/>
    <n v="44.999999999999993"/>
    <n v="200"/>
    <n v="89999.999999999985"/>
    <n v="26999.999999999996"/>
    <n v="0.3"/>
    <x v="0"/>
  </r>
  <r>
    <x v="3"/>
    <n v="1185732"/>
    <x v="264"/>
    <x v="3"/>
    <s v="Indiana"/>
    <s v="Indianapolis"/>
    <x v="5"/>
    <n v="54.999999999999993"/>
    <n v="325"/>
    <n v="178749.99999999997"/>
    <n v="71499.999999999985"/>
    <n v="0.4"/>
    <x v="0"/>
  </r>
  <r>
    <x v="3"/>
    <n v="1185732"/>
    <x v="294"/>
    <x v="3"/>
    <s v="Indiana"/>
    <s v="Indianapolis"/>
    <x v="0"/>
    <n v="40"/>
    <n v="575"/>
    <n v="230000"/>
    <n v="92000"/>
    <n v="0.4"/>
    <x v="0"/>
  </r>
  <r>
    <x v="3"/>
    <n v="1185732"/>
    <x v="294"/>
    <x v="3"/>
    <s v="Indiana"/>
    <s v="Indianapolis"/>
    <x v="1"/>
    <n v="35.000000000000007"/>
    <n v="325"/>
    <n v="113750.00000000003"/>
    <n v="45500.000000000015"/>
    <n v="0.4"/>
    <x v="0"/>
  </r>
  <r>
    <x v="3"/>
    <n v="1185732"/>
    <x v="294"/>
    <x v="3"/>
    <s v="Indiana"/>
    <s v="Indianapolis"/>
    <x v="2"/>
    <n v="30.000000000000004"/>
    <n v="200"/>
    <n v="60000.000000000007"/>
    <n v="21000"/>
    <n v="0.35"/>
    <x v="0"/>
  </r>
  <r>
    <x v="3"/>
    <n v="1185732"/>
    <x v="294"/>
    <x v="3"/>
    <s v="Indiana"/>
    <s v="Indianapolis"/>
    <x v="3"/>
    <n v="30.000000000000004"/>
    <n v="175"/>
    <n v="52500.000000000007"/>
    <n v="18375"/>
    <n v="0.35"/>
    <x v="0"/>
  </r>
  <r>
    <x v="3"/>
    <n v="1185732"/>
    <x v="294"/>
    <x v="3"/>
    <s v="Indiana"/>
    <s v="Indianapolis"/>
    <x v="4"/>
    <n v="40"/>
    <n v="175"/>
    <n v="70000"/>
    <n v="21000"/>
    <n v="0.3"/>
    <x v="0"/>
  </r>
  <r>
    <x v="3"/>
    <n v="1185732"/>
    <x v="294"/>
    <x v="3"/>
    <s v="Indiana"/>
    <s v="Indianapolis"/>
    <x v="5"/>
    <n v="60.000000000000007"/>
    <n v="325"/>
    <n v="195000.00000000003"/>
    <n v="78000.000000000015"/>
    <n v="0.4"/>
    <x v="0"/>
  </r>
  <r>
    <x v="3"/>
    <n v="1185732"/>
    <x v="323"/>
    <x v="3"/>
    <s v="Indiana"/>
    <s v="Indianapolis"/>
    <x v="0"/>
    <n v="55.000000000000007"/>
    <n v="550"/>
    <n v="302500.00000000006"/>
    <n v="121000.00000000003"/>
    <n v="0.4"/>
    <x v="0"/>
  </r>
  <r>
    <x v="3"/>
    <n v="1185732"/>
    <x v="323"/>
    <x v="3"/>
    <s v="Indiana"/>
    <s v="Indianapolis"/>
    <x v="1"/>
    <n v="50.000000000000014"/>
    <n v="300"/>
    <n v="150000.00000000003"/>
    <n v="60000.000000000015"/>
    <n v="0.4"/>
    <x v="0"/>
  </r>
  <r>
    <x v="3"/>
    <n v="1185732"/>
    <x v="323"/>
    <x v="3"/>
    <s v="Indiana"/>
    <s v="Indianapolis"/>
    <x v="2"/>
    <n v="45"/>
    <n v="225"/>
    <n v="101250"/>
    <n v="35437.5"/>
    <n v="0.35"/>
    <x v="0"/>
  </r>
  <r>
    <x v="3"/>
    <n v="1185732"/>
    <x v="323"/>
    <x v="3"/>
    <s v="Indiana"/>
    <s v="Indianapolis"/>
    <x v="3"/>
    <n v="45"/>
    <n v="175"/>
    <n v="78750"/>
    <n v="27562.5"/>
    <n v="0.35"/>
    <x v="0"/>
  </r>
  <r>
    <x v="3"/>
    <n v="1185732"/>
    <x v="323"/>
    <x v="3"/>
    <s v="Indiana"/>
    <s v="Indianapolis"/>
    <x v="4"/>
    <n v="55.000000000000007"/>
    <n v="200"/>
    <n v="110000.00000000001"/>
    <n v="33000"/>
    <n v="0.3"/>
    <x v="0"/>
  </r>
  <r>
    <x v="3"/>
    <n v="1185732"/>
    <x v="323"/>
    <x v="3"/>
    <s v="Indiana"/>
    <s v="Indianapolis"/>
    <x v="5"/>
    <n v="60.000000000000007"/>
    <n v="375"/>
    <n v="225000.00000000003"/>
    <n v="90000.000000000015"/>
    <n v="0.4"/>
    <x v="0"/>
  </r>
  <r>
    <x v="3"/>
    <n v="1185732"/>
    <x v="355"/>
    <x v="3"/>
    <s v="Indiana"/>
    <s v="Indianapolis"/>
    <x v="0"/>
    <n v="50"/>
    <n v="525"/>
    <n v="262500"/>
    <n v="105000"/>
    <n v="0.4"/>
    <x v="0"/>
  </r>
  <r>
    <x v="3"/>
    <n v="1185732"/>
    <x v="355"/>
    <x v="3"/>
    <s v="Indiana"/>
    <s v="Indianapolis"/>
    <x v="1"/>
    <n v="45.000000000000007"/>
    <n v="300"/>
    <n v="135000.00000000003"/>
    <n v="54000.000000000015"/>
    <n v="0.4"/>
    <x v="0"/>
  </r>
  <r>
    <x v="3"/>
    <n v="1185732"/>
    <x v="355"/>
    <x v="3"/>
    <s v="Indiana"/>
    <s v="Indianapolis"/>
    <x v="2"/>
    <n v="40"/>
    <n v="225"/>
    <n v="90000"/>
    <n v="31499.999999999996"/>
    <n v="0.35"/>
    <x v="0"/>
  </r>
  <r>
    <x v="3"/>
    <n v="1185732"/>
    <x v="355"/>
    <x v="3"/>
    <s v="Indiana"/>
    <s v="Indianapolis"/>
    <x v="3"/>
    <n v="40"/>
    <n v="200"/>
    <n v="80000"/>
    <n v="28000"/>
    <n v="0.35"/>
    <x v="0"/>
  </r>
  <r>
    <x v="3"/>
    <n v="1185732"/>
    <x v="355"/>
    <x v="3"/>
    <s v="Indiana"/>
    <s v="Indianapolis"/>
    <x v="4"/>
    <n v="50"/>
    <n v="175"/>
    <n v="87500"/>
    <n v="26250"/>
    <n v="0.3"/>
    <x v="0"/>
  </r>
  <r>
    <x v="3"/>
    <n v="1185732"/>
    <x v="355"/>
    <x v="3"/>
    <s v="Indiana"/>
    <s v="Indianapolis"/>
    <x v="5"/>
    <n v="55.000000000000007"/>
    <n v="350"/>
    <n v="192500.00000000003"/>
    <n v="77000.000000000015"/>
    <n v="0.4"/>
    <x v="0"/>
  </r>
  <r>
    <x v="3"/>
    <n v="1185732"/>
    <x v="387"/>
    <x v="3"/>
    <s v="Indiana"/>
    <s v="Indianapolis"/>
    <x v="0"/>
    <n v="35"/>
    <n v="475"/>
    <n v="166250"/>
    <n v="66500"/>
    <n v="0.4"/>
    <x v="0"/>
  </r>
  <r>
    <x v="3"/>
    <n v="1185732"/>
    <x v="387"/>
    <x v="3"/>
    <s v="Indiana"/>
    <s v="Indianapolis"/>
    <x v="1"/>
    <n v="30.000000000000011"/>
    <n v="275"/>
    <n v="82500.000000000029"/>
    <n v="33000.000000000015"/>
    <n v="0.4"/>
    <x v="0"/>
  </r>
  <r>
    <x v="3"/>
    <n v="1185732"/>
    <x v="387"/>
    <x v="3"/>
    <s v="Indiana"/>
    <s v="Indianapolis"/>
    <x v="2"/>
    <n v="25.000000000000007"/>
    <n v="175"/>
    <n v="43750.000000000015"/>
    <n v="15312.500000000004"/>
    <n v="0.35"/>
    <x v="0"/>
  </r>
  <r>
    <x v="3"/>
    <n v="1185732"/>
    <x v="387"/>
    <x v="3"/>
    <s v="Indiana"/>
    <s v="Indianapolis"/>
    <x v="3"/>
    <n v="25.000000000000007"/>
    <n v="150"/>
    <n v="37500.000000000007"/>
    <n v="13125.000000000002"/>
    <n v="0.35"/>
    <x v="0"/>
  </r>
  <r>
    <x v="3"/>
    <n v="1185732"/>
    <x v="387"/>
    <x v="3"/>
    <s v="Indiana"/>
    <s v="Indianapolis"/>
    <x v="4"/>
    <n v="35"/>
    <n v="150"/>
    <n v="52500"/>
    <n v="15750"/>
    <n v="0.3"/>
    <x v="0"/>
  </r>
  <r>
    <x v="3"/>
    <n v="1185732"/>
    <x v="387"/>
    <x v="3"/>
    <s v="Indiana"/>
    <s v="Indianapolis"/>
    <x v="5"/>
    <n v="40"/>
    <n v="225"/>
    <n v="90000"/>
    <n v="36000"/>
    <n v="0.4"/>
    <x v="0"/>
  </r>
  <r>
    <x v="3"/>
    <n v="1185732"/>
    <x v="416"/>
    <x v="3"/>
    <s v="Indiana"/>
    <s v="Indianapolis"/>
    <x v="0"/>
    <n v="44.999999999999993"/>
    <n v="400"/>
    <n v="179999.99999999997"/>
    <n v="71999.999999999985"/>
    <n v="0.4"/>
    <x v="0"/>
  </r>
  <r>
    <x v="3"/>
    <n v="1185732"/>
    <x v="416"/>
    <x v="3"/>
    <s v="Indiana"/>
    <s v="Indianapolis"/>
    <x v="1"/>
    <n v="35"/>
    <n v="250"/>
    <n v="87500"/>
    <n v="35000"/>
    <n v="0.4"/>
    <x v="0"/>
  </r>
  <r>
    <x v="3"/>
    <n v="1185732"/>
    <x v="416"/>
    <x v="3"/>
    <s v="Indiana"/>
    <s v="Indianapolis"/>
    <x v="2"/>
    <n v="35"/>
    <n v="150"/>
    <n v="52500"/>
    <n v="18375"/>
    <n v="0.35"/>
    <x v="0"/>
  </r>
  <r>
    <x v="3"/>
    <n v="1185732"/>
    <x v="416"/>
    <x v="3"/>
    <s v="Indiana"/>
    <s v="Indianapolis"/>
    <x v="3"/>
    <n v="35"/>
    <n v="150"/>
    <n v="52500"/>
    <n v="18375"/>
    <n v="0.35"/>
    <x v="0"/>
  </r>
  <r>
    <x v="3"/>
    <n v="1185732"/>
    <x v="416"/>
    <x v="3"/>
    <s v="Indiana"/>
    <s v="Indianapolis"/>
    <x v="4"/>
    <n v="44.999999999999993"/>
    <n v="150"/>
    <n v="67499.999999999985"/>
    <n v="20249.999999999996"/>
    <n v="0.3"/>
    <x v="0"/>
  </r>
  <r>
    <x v="3"/>
    <n v="1185732"/>
    <x v="416"/>
    <x v="3"/>
    <s v="Indiana"/>
    <s v="Indianapolis"/>
    <x v="5"/>
    <n v="49.999999999999986"/>
    <n v="275"/>
    <n v="137499.99999999997"/>
    <n v="54999.999999999993"/>
    <n v="0.4"/>
    <x v="0"/>
  </r>
  <r>
    <x v="3"/>
    <n v="1185732"/>
    <x v="447"/>
    <x v="3"/>
    <s v="Indiana"/>
    <s v="Indianapolis"/>
    <x v="0"/>
    <n v="44.999999999999993"/>
    <n v="425"/>
    <n v="191249.99999999997"/>
    <n v="76499.999999999985"/>
    <n v="0.4"/>
    <x v="0"/>
  </r>
  <r>
    <x v="3"/>
    <n v="1185732"/>
    <x v="447"/>
    <x v="3"/>
    <s v="Indiana"/>
    <s v="Indianapolis"/>
    <x v="1"/>
    <n v="35"/>
    <n v="325"/>
    <n v="113750"/>
    <n v="45500"/>
    <n v="0.4"/>
    <x v="0"/>
  </r>
  <r>
    <x v="3"/>
    <n v="1185732"/>
    <x v="447"/>
    <x v="3"/>
    <s v="Indiana"/>
    <s v="Indianapolis"/>
    <x v="2"/>
    <n v="35"/>
    <n v="270"/>
    <n v="94500"/>
    <n v="33075"/>
    <n v="0.35"/>
    <x v="0"/>
  </r>
  <r>
    <x v="3"/>
    <n v="1185732"/>
    <x v="447"/>
    <x v="3"/>
    <s v="Indiana"/>
    <s v="Indianapolis"/>
    <x v="3"/>
    <n v="35"/>
    <n v="275"/>
    <n v="96250"/>
    <n v="33687.5"/>
    <n v="0.35"/>
    <x v="0"/>
  </r>
  <r>
    <x v="3"/>
    <n v="1185732"/>
    <x v="447"/>
    <x v="3"/>
    <s v="Indiana"/>
    <s v="Indianapolis"/>
    <x v="4"/>
    <n v="60"/>
    <n v="250"/>
    <n v="150000"/>
    <n v="45000"/>
    <n v="0.3"/>
    <x v="0"/>
  </r>
  <r>
    <x v="3"/>
    <n v="1185732"/>
    <x v="447"/>
    <x v="3"/>
    <s v="Indiana"/>
    <s v="Indianapolis"/>
    <x v="5"/>
    <n v="64.999999999999986"/>
    <n v="350"/>
    <n v="227499.99999999994"/>
    <n v="90999.999999999985"/>
    <n v="0.4"/>
    <x v="0"/>
  </r>
  <r>
    <x v="3"/>
    <n v="1185732"/>
    <x v="476"/>
    <x v="3"/>
    <s v="Indiana"/>
    <s v="Indianapolis"/>
    <x v="0"/>
    <n v="60"/>
    <n v="600"/>
    <n v="360000"/>
    <n v="144000"/>
    <n v="0.4"/>
    <x v="0"/>
  </r>
  <r>
    <x v="3"/>
    <n v="1185732"/>
    <x v="476"/>
    <x v="3"/>
    <s v="Indiana"/>
    <s v="Indianapolis"/>
    <x v="1"/>
    <n v="50"/>
    <n v="400"/>
    <n v="200000"/>
    <n v="80000"/>
    <n v="0.4"/>
    <x v="0"/>
  </r>
  <r>
    <x v="3"/>
    <n v="1185732"/>
    <x v="476"/>
    <x v="3"/>
    <s v="Indiana"/>
    <s v="Indianapolis"/>
    <x v="2"/>
    <n v="50"/>
    <n v="350"/>
    <n v="175000"/>
    <n v="61249.999999999993"/>
    <n v="0.35"/>
    <x v="0"/>
  </r>
  <r>
    <x v="3"/>
    <n v="1185732"/>
    <x v="476"/>
    <x v="3"/>
    <s v="Indiana"/>
    <s v="Indianapolis"/>
    <x v="3"/>
    <n v="50"/>
    <n v="300"/>
    <n v="150000"/>
    <n v="52500"/>
    <n v="0.35"/>
    <x v="0"/>
  </r>
  <r>
    <x v="3"/>
    <n v="1185732"/>
    <x v="476"/>
    <x v="3"/>
    <s v="Indiana"/>
    <s v="Indianapolis"/>
    <x v="4"/>
    <n v="60"/>
    <n v="300"/>
    <n v="180000"/>
    <n v="54000"/>
    <n v="0.3"/>
    <x v="0"/>
  </r>
  <r>
    <x v="3"/>
    <n v="1185732"/>
    <x v="476"/>
    <x v="3"/>
    <s v="Indiana"/>
    <s v="Indianapolis"/>
    <x v="5"/>
    <n v="64.999999999999986"/>
    <n v="400"/>
    <n v="259999.99999999994"/>
    <n v="103999.99999999999"/>
    <n v="0.4"/>
    <x v="0"/>
  </r>
  <r>
    <x v="3"/>
    <n v="1185732"/>
    <x v="181"/>
    <x v="3"/>
    <s v="Indiana"/>
    <s v="Indianapolis"/>
    <x v="0"/>
    <n v="35"/>
    <n v="500"/>
    <n v="175000"/>
    <n v="70000"/>
    <n v="0.4"/>
    <x v="0"/>
  </r>
  <r>
    <x v="3"/>
    <n v="1185732"/>
    <x v="181"/>
    <x v="3"/>
    <s v="Indiana"/>
    <s v="Indianapolis"/>
    <x v="1"/>
    <n v="35"/>
    <n v="300"/>
    <n v="105000"/>
    <n v="42000"/>
    <n v="0.4"/>
    <x v="0"/>
  </r>
  <r>
    <x v="3"/>
    <n v="1185732"/>
    <x v="181"/>
    <x v="3"/>
    <s v="Indiana"/>
    <s v="Indianapolis"/>
    <x v="2"/>
    <n v="25.000000000000007"/>
    <n v="300"/>
    <n v="75000.000000000015"/>
    <n v="30000.000000000007"/>
    <n v="0.4"/>
    <x v="0"/>
  </r>
  <r>
    <x v="3"/>
    <n v="1185732"/>
    <x v="181"/>
    <x v="3"/>
    <s v="Indiana"/>
    <s v="Indianapolis"/>
    <x v="3"/>
    <n v="30.000000000000004"/>
    <n v="150"/>
    <n v="45000.000000000007"/>
    <n v="18000.000000000004"/>
    <n v="0.4"/>
    <x v="0"/>
  </r>
  <r>
    <x v="3"/>
    <n v="1185732"/>
    <x v="181"/>
    <x v="3"/>
    <s v="Indiana"/>
    <s v="Indianapolis"/>
    <x v="4"/>
    <n v="44.999999999999993"/>
    <n v="200"/>
    <n v="89999.999999999985"/>
    <n v="35999.999999999993"/>
    <n v="0.4"/>
    <x v="0"/>
  </r>
  <r>
    <x v="3"/>
    <n v="1185732"/>
    <x v="181"/>
    <x v="3"/>
    <s v="Indiana"/>
    <s v="Indianapolis"/>
    <x v="5"/>
    <n v="35"/>
    <n v="300"/>
    <n v="105000"/>
    <n v="42000"/>
    <n v="0.4"/>
    <x v="0"/>
  </r>
  <r>
    <x v="3"/>
    <n v="1185732"/>
    <x v="212"/>
    <x v="3"/>
    <s v="Indiana"/>
    <s v="Indianapolis"/>
    <x v="0"/>
    <n v="35"/>
    <n v="550"/>
    <n v="192500"/>
    <n v="77000"/>
    <n v="0.4"/>
    <x v="0"/>
  </r>
  <r>
    <x v="3"/>
    <n v="1185732"/>
    <x v="212"/>
    <x v="3"/>
    <s v="Indiana"/>
    <s v="Indianapolis"/>
    <x v="1"/>
    <n v="40"/>
    <n v="200"/>
    <n v="80000"/>
    <n v="32000"/>
    <n v="0.4"/>
    <x v="0"/>
  </r>
  <r>
    <x v="3"/>
    <n v="1185732"/>
    <x v="212"/>
    <x v="3"/>
    <s v="Indiana"/>
    <s v="Indianapolis"/>
    <x v="2"/>
    <n v="30.000000000000004"/>
    <n v="300"/>
    <n v="90000.000000000015"/>
    <n v="36000.000000000007"/>
    <n v="0.4"/>
    <x v="0"/>
  </r>
  <r>
    <x v="3"/>
    <n v="1185732"/>
    <x v="212"/>
    <x v="0"/>
    <s v="West Virginia"/>
    <s v="Charleston"/>
    <x v="3"/>
    <n v="35"/>
    <n v="175"/>
    <n v="61250"/>
    <n v="24500"/>
    <n v="0.4"/>
    <x v="0"/>
  </r>
  <r>
    <x v="3"/>
    <n v="1185732"/>
    <x v="212"/>
    <x v="0"/>
    <s v="West Virginia"/>
    <s v="Charleston"/>
    <x v="4"/>
    <n v="49.999999999999993"/>
    <n v="250"/>
    <n v="124999.99999999999"/>
    <n v="50000"/>
    <n v="0.4"/>
    <x v="0"/>
  </r>
  <r>
    <x v="3"/>
    <n v="1185732"/>
    <x v="212"/>
    <x v="0"/>
    <s v="West Virginia"/>
    <s v="Charleston"/>
    <x v="5"/>
    <n v="24.999999999999993"/>
    <n v="350"/>
    <n v="87499.999999999971"/>
    <n v="34999.999999999993"/>
    <n v="0.4"/>
    <x v="0"/>
  </r>
  <r>
    <x v="3"/>
    <n v="1185732"/>
    <x v="221"/>
    <x v="0"/>
    <s v="West Virginia"/>
    <s v="Charleston"/>
    <x v="0"/>
    <n v="30.000000000000004"/>
    <n v="570"/>
    <n v="171000.00000000003"/>
    <n v="68400.000000000015"/>
    <n v="0.4"/>
    <x v="0"/>
  </r>
  <r>
    <x v="3"/>
    <n v="1185732"/>
    <x v="221"/>
    <x v="0"/>
    <s v="West Virginia"/>
    <s v="Charleston"/>
    <x v="1"/>
    <n v="30.000000000000004"/>
    <n v="275"/>
    <n v="82500.000000000015"/>
    <n v="33000.000000000007"/>
    <n v="0.4"/>
    <x v="0"/>
  </r>
  <r>
    <x v="3"/>
    <n v="1185732"/>
    <x v="221"/>
    <x v="0"/>
    <s v="West Virginia"/>
    <s v="Charleston"/>
    <x v="2"/>
    <n v="20"/>
    <n v="325"/>
    <n v="65000"/>
    <n v="26000"/>
    <n v="0.4"/>
    <x v="0"/>
  </r>
  <r>
    <x v="3"/>
    <n v="1185732"/>
    <x v="221"/>
    <x v="0"/>
    <s v="West Virginia"/>
    <s v="Charleston"/>
    <x v="3"/>
    <n v="24.999999999999993"/>
    <n v="175"/>
    <n v="43749.999999999985"/>
    <n v="17499.999999999996"/>
    <n v="0.4"/>
    <x v="0"/>
  </r>
  <r>
    <x v="3"/>
    <n v="1185732"/>
    <x v="221"/>
    <x v="0"/>
    <s v="West Virginia"/>
    <s v="Charleston"/>
    <x v="4"/>
    <n v="40"/>
    <n v="225"/>
    <n v="90000"/>
    <n v="36000"/>
    <n v="0.4"/>
    <x v="0"/>
  </r>
  <r>
    <x v="3"/>
    <n v="1185732"/>
    <x v="221"/>
    <x v="0"/>
    <s v="West Virginia"/>
    <s v="Charleston"/>
    <x v="5"/>
    <n v="30.000000000000004"/>
    <n v="325"/>
    <n v="97500.000000000015"/>
    <n v="39000.000000000007"/>
    <n v="0.4"/>
    <x v="0"/>
  </r>
  <r>
    <x v="3"/>
    <n v="1185732"/>
    <x v="240"/>
    <x v="0"/>
    <s v="West Virginia"/>
    <s v="Charleston"/>
    <x v="0"/>
    <n v="30.000000000000004"/>
    <n v="550"/>
    <n v="165000.00000000003"/>
    <n v="66000.000000000015"/>
    <n v="0.4"/>
    <x v="0"/>
  </r>
  <r>
    <x v="3"/>
    <n v="1185732"/>
    <x v="240"/>
    <x v="0"/>
    <s v="West Virginia"/>
    <s v="Charleston"/>
    <x v="1"/>
    <n v="30.000000000000004"/>
    <n v="250"/>
    <n v="75000.000000000015"/>
    <n v="30000.000000000007"/>
    <n v="0.4"/>
    <x v="0"/>
  </r>
  <r>
    <x v="3"/>
    <n v="1185732"/>
    <x v="240"/>
    <x v="0"/>
    <s v="West Virginia"/>
    <s v="Charleston"/>
    <x v="2"/>
    <n v="20"/>
    <n v="250"/>
    <n v="50000"/>
    <n v="20000"/>
    <n v="0.4"/>
    <x v="0"/>
  </r>
  <r>
    <x v="3"/>
    <n v="1185732"/>
    <x v="240"/>
    <x v="0"/>
    <s v="West Virginia"/>
    <s v="Charleston"/>
    <x v="3"/>
    <n v="24.999999999999993"/>
    <n v="175"/>
    <n v="43749.999999999985"/>
    <n v="17499.999999999996"/>
    <n v="0.4"/>
    <x v="0"/>
  </r>
  <r>
    <x v="3"/>
    <n v="1185732"/>
    <x v="240"/>
    <x v="0"/>
    <s v="West Virginia"/>
    <s v="Charleston"/>
    <x v="4"/>
    <n v="65"/>
    <n v="200"/>
    <n v="130000"/>
    <n v="52000"/>
    <n v="0.4"/>
    <x v="0"/>
  </r>
  <r>
    <x v="3"/>
    <n v="1185732"/>
    <x v="240"/>
    <x v="0"/>
    <s v="West Virginia"/>
    <s v="Charleston"/>
    <x v="5"/>
    <n v="50"/>
    <n v="325"/>
    <n v="162500"/>
    <n v="65000"/>
    <n v="0.4"/>
    <x v="0"/>
  </r>
  <r>
    <x v="3"/>
    <n v="1185732"/>
    <x v="271"/>
    <x v="0"/>
    <s v="West Virginia"/>
    <s v="Charleston"/>
    <x v="0"/>
    <n v="60"/>
    <n v="595"/>
    <n v="357000"/>
    <n v="142800"/>
    <n v="0.4"/>
    <x v="0"/>
  </r>
  <r>
    <x v="3"/>
    <n v="1185732"/>
    <x v="271"/>
    <x v="0"/>
    <s v="West Virginia"/>
    <s v="Charleston"/>
    <x v="1"/>
    <n v="40"/>
    <n v="300"/>
    <n v="120000"/>
    <n v="48000"/>
    <n v="0.4"/>
    <x v="0"/>
  </r>
  <r>
    <x v="3"/>
    <n v="1185732"/>
    <x v="271"/>
    <x v="0"/>
    <s v="West Virginia"/>
    <s v="Charleston"/>
    <x v="2"/>
    <n v="35"/>
    <n v="275"/>
    <n v="96250"/>
    <n v="38500"/>
    <n v="0.4"/>
    <x v="0"/>
  </r>
  <r>
    <x v="3"/>
    <n v="1185732"/>
    <x v="271"/>
    <x v="0"/>
    <s v="West Virginia"/>
    <s v="Charleston"/>
    <x v="3"/>
    <n v="35"/>
    <n v="200"/>
    <n v="70000"/>
    <n v="28000"/>
    <n v="0.4"/>
    <x v="0"/>
  </r>
  <r>
    <x v="3"/>
    <n v="1185732"/>
    <x v="271"/>
    <x v="0"/>
    <s v="West Virginia"/>
    <s v="Charleston"/>
    <x v="4"/>
    <n v="44.999999999999993"/>
    <n v="225"/>
    <n v="101249.99999999999"/>
    <n v="40500"/>
    <n v="0.4"/>
    <x v="0"/>
  </r>
  <r>
    <x v="3"/>
    <n v="1185732"/>
    <x v="271"/>
    <x v="0"/>
    <s v="West Virginia"/>
    <s v="Charleston"/>
    <x v="5"/>
    <n v="54.999999999999993"/>
    <n v="350"/>
    <n v="192499.99999999997"/>
    <n v="76999.999999999985"/>
    <n v="0.4"/>
    <x v="0"/>
  </r>
  <r>
    <x v="3"/>
    <n v="1185732"/>
    <x v="301"/>
    <x v="0"/>
    <s v="West Virginia"/>
    <s v="Charleston"/>
    <x v="0"/>
    <n v="45"/>
    <n v="600"/>
    <n v="270000"/>
    <n v="108000"/>
    <n v="0.4"/>
    <x v="0"/>
  </r>
  <r>
    <x v="3"/>
    <n v="1185732"/>
    <x v="301"/>
    <x v="0"/>
    <s v="West Virginia"/>
    <s v="Charleston"/>
    <x v="1"/>
    <n v="40.000000000000007"/>
    <n v="425"/>
    <n v="170000.00000000003"/>
    <n v="68000.000000000015"/>
    <n v="0.4"/>
    <x v="0"/>
  </r>
  <r>
    <x v="3"/>
    <n v="1185732"/>
    <x v="301"/>
    <x v="0"/>
    <s v="West Virginia"/>
    <s v="Charleston"/>
    <x v="2"/>
    <n v="35"/>
    <n v="300"/>
    <n v="105000"/>
    <n v="42000"/>
    <n v="0.4"/>
    <x v="0"/>
  </r>
  <r>
    <x v="3"/>
    <n v="1185732"/>
    <x v="301"/>
    <x v="0"/>
    <s v="West Virginia"/>
    <s v="Charleston"/>
    <x v="3"/>
    <n v="35"/>
    <n v="275"/>
    <n v="96250"/>
    <n v="38500"/>
    <n v="0.4"/>
    <x v="0"/>
  </r>
  <r>
    <x v="3"/>
    <n v="1185732"/>
    <x v="301"/>
    <x v="0"/>
    <s v="West Virginia"/>
    <s v="Charleston"/>
    <x v="4"/>
    <n v="45"/>
    <n v="275"/>
    <n v="123750"/>
    <n v="49500"/>
    <n v="0.4"/>
    <x v="0"/>
  </r>
  <r>
    <x v="3"/>
    <n v="1185732"/>
    <x v="301"/>
    <x v="0"/>
    <s v="West Virginia"/>
    <s v="Charleston"/>
    <x v="5"/>
    <n v="65.000000000000014"/>
    <n v="425"/>
    <n v="276250.00000000006"/>
    <n v="110500.00000000003"/>
    <n v="0.4"/>
    <x v="0"/>
  </r>
  <r>
    <x v="3"/>
    <n v="1185732"/>
    <x v="330"/>
    <x v="0"/>
    <s v="West Virginia"/>
    <s v="Charleston"/>
    <x v="0"/>
    <n v="60.000000000000007"/>
    <n v="650"/>
    <n v="390000.00000000006"/>
    <n v="156000.00000000003"/>
    <n v="0.4"/>
    <x v="0"/>
  </r>
  <r>
    <x v="3"/>
    <n v="1185732"/>
    <x v="330"/>
    <x v="0"/>
    <s v="West Virginia"/>
    <s v="Charleston"/>
    <x v="1"/>
    <n v="55.000000000000014"/>
    <n v="400"/>
    <n v="220000.00000000006"/>
    <n v="88000.000000000029"/>
    <n v="0.4"/>
    <x v="0"/>
  </r>
  <r>
    <x v="3"/>
    <n v="1185732"/>
    <x v="330"/>
    <x v="0"/>
    <s v="West Virginia"/>
    <s v="Charleston"/>
    <x v="2"/>
    <n v="50"/>
    <n v="325"/>
    <n v="162500"/>
    <n v="65000"/>
    <n v="0.4"/>
    <x v="0"/>
  </r>
  <r>
    <x v="3"/>
    <n v="1185732"/>
    <x v="330"/>
    <x v="0"/>
    <s v="West Virginia"/>
    <s v="Charleston"/>
    <x v="3"/>
    <n v="50"/>
    <n v="275"/>
    <n v="137500"/>
    <n v="55000"/>
    <n v="0.4"/>
    <x v="0"/>
  </r>
  <r>
    <x v="3"/>
    <n v="1185732"/>
    <x v="330"/>
    <x v="0"/>
    <s v="West Virginia"/>
    <s v="Charleston"/>
    <x v="4"/>
    <n v="60.000000000000007"/>
    <n v="300"/>
    <n v="180000.00000000003"/>
    <n v="72000.000000000015"/>
    <n v="0.4"/>
    <x v="0"/>
  </r>
  <r>
    <x v="3"/>
    <n v="1185732"/>
    <x v="330"/>
    <x v="0"/>
    <s v="West Virginia"/>
    <s v="Charleston"/>
    <x v="5"/>
    <n v="65.000000000000014"/>
    <n v="475"/>
    <n v="308750.00000000006"/>
    <n v="123500.00000000003"/>
    <n v="0.4"/>
    <x v="0"/>
  </r>
  <r>
    <x v="3"/>
    <n v="1185732"/>
    <x v="362"/>
    <x v="0"/>
    <s v="West Virginia"/>
    <s v="Charleston"/>
    <x v="0"/>
    <n v="50"/>
    <n v="525"/>
    <n v="262500"/>
    <n v="105000"/>
    <n v="0.4"/>
    <x v="0"/>
  </r>
  <r>
    <x v="3"/>
    <n v="1185732"/>
    <x v="362"/>
    <x v="0"/>
    <s v="West Virginia"/>
    <s v="Charleston"/>
    <x v="1"/>
    <n v="45.000000000000007"/>
    <n v="300"/>
    <n v="135000.00000000003"/>
    <n v="54000.000000000015"/>
    <n v="0.4"/>
    <x v="0"/>
  </r>
  <r>
    <x v="3"/>
    <n v="1185732"/>
    <x v="362"/>
    <x v="0"/>
    <s v="West Virginia"/>
    <s v="Charleston"/>
    <x v="2"/>
    <n v="40"/>
    <n v="300"/>
    <n v="120000"/>
    <n v="48000"/>
    <n v="0.4"/>
    <x v="0"/>
  </r>
  <r>
    <x v="3"/>
    <n v="1185732"/>
    <x v="362"/>
    <x v="0"/>
    <s v="West Virginia"/>
    <s v="Charleston"/>
    <x v="3"/>
    <n v="40"/>
    <n v="275"/>
    <n v="110000"/>
    <n v="44000"/>
    <n v="0.4"/>
    <x v="0"/>
  </r>
  <r>
    <x v="3"/>
    <n v="1185732"/>
    <x v="362"/>
    <x v="0"/>
    <s v="West Virginia"/>
    <s v="Charleston"/>
    <x v="4"/>
    <n v="50"/>
    <n v="250"/>
    <n v="125000"/>
    <n v="50000"/>
    <n v="0.4"/>
    <x v="0"/>
  </r>
  <r>
    <x v="3"/>
    <n v="1185732"/>
    <x v="362"/>
    <x v="0"/>
    <s v="West Virginia"/>
    <s v="Charleston"/>
    <x v="5"/>
    <n v="55.000000000000007"/>
    <n v="425"/>
    <n v="233750.00000000003"/>
    <n v="93500.000000000015"/>
    <n v="0.4"/>
    <x v="0"/>
  </r>
  <r>
    <x v="3"/>
    <n v="1185732"/>
    <x v="394"/>
    <x v="0"/>
    <s v="West Virginia"/>
    <s v="Charleston"/>
    <x v="0"/>
    <n v="35"/>
    <n v="550"/>
    <n v="192500"/>
    <n v="77000"/>
    <n v="0.4"/>
    <x v="0"/>
  </r>
  <r>
    <x v="3"/>
    <n v="1185732"/>
    <x v="394"/>
    <x v="0"/>
    <s v="West Virginia"/>
    <s v="Charleston"/>
    <x v="1"/>
    <n v="30.000000000000011"/>
    <n v="350"/>
    <n v="105000.00000000004"/>
    <n v="42000.000000000022"/>
    <n v="0.4"/>
    <x v="0"/>
  </r>
  <r>
    <x v="3"/>
    <n v="1185732"/>
    <x v="394"/>
    <x v="0"/>
    <s v="West Virginia"/>
    <s v="Charleston"/>
    <x v="2"/>
    <n v="25.000000000000007"/>
    <n v="250"/>
    <n v="62500.000000000015"/>
    <n v="25000.000000000007"/>
    <n v="0.4"/>
    <x v="0"/>
  </r>
  <r>
    <x v="3"/>
    <n v="1185732"/>
    <x v="394"/>
    <x v="0"/>
    <s v="West Virginia"/>
    <s v="Charleston"/>
    <x v="3"/>
    <n v="25.000000000000007"/>
    <n v="225"/>
    <n v="56250.000000000015"/>
    <n v="22500.000000000007"/>
    <n v="0.4"/>
    <x v="0"/>
  </r>
  <r>
    <x v="3"/>
    <n v="1185732"/>
    <x v="394"/>
    <x v="0"/>
    <s v="West Virginia"/>
    <s v="Charleston"/>
    <x v="4"/>
    <n v="35"/>
    <n v="225"/>
    <n v="78750"/>
    <n v="31500"/>
    <n v="0.4"/>
    <x v="0"/>
  </r>
  <r>
    <x v="3"/>
    <n v="1185732"/>
    <x v="394"/>
    <x v="0"/>
    <s v="West Virginia"/>
    <s v="Charleston"/>
    <x v="5"/>
    <n v="40"/>
    <n v="300"/>
    <n v="120000"/>
    <n v="48000"/>
    <n v="0.4"/>
    <x v="0"/>
  </r>
  <r>
    <x v="3"/>
    <n v="1185732"/>
    <x v="423"/>
    <x v="0"/>
    <s v="West Virginia"/>
    <s v="Charleston"/>
    <x v="0"/>
    <n v="44.999999999999993"/>
    <n v="425"/>
    <n v="191249.99999999997"/>
    <n v="76499.999999999985"/>
    <n v="0.4"/>
    <x v="0"/>
  </r>
  <r>
    <x v="3"/>
    <n v="1185732"/>
    <x v="423"/>
    <x v="0"/>
    <s v="West Virginia"/>
    <s v="Charleston"/>
    <x v="1"/>
    <n v="35"/>
    <n v="275"/>
    <n v="96250"/>
    <n v="38500"/>
    <n v="0.4"/>
    <x v="0"/>
  </r>
  <r>
    <x v="3"/>
    <n v="1185732"/>
    <x v="423"/>
    <x v="0"/>
    <s v="West Virginia"/>
    <s v="Charleston"/>
    <x v="2"/>
    <n v="35"/>
    <n v="175"/>
    <n v="61250"/>
    <n v="24500"/>
    <n v="0.4"/>
    <x v="0"/>
  </r>
  <r>
    <x v="3"/>
    <n v="1185732"/>
    <x v="423"/>
    <x v="0"/>
    <s v="West Virginia"/>
    <s v="Charleston"/>
    <x v="3"/>
    <n v="35"/>
    <n v="175"/>
    <n v="61250"/>
    <n v="24500"/>
    <n v="0.4"/>
    <x v="0"/>
  </r>
  <r>
    <x v="3"/>
    <n v="1185732"/>
    <x v="423"/>
    <x v="0"/>
    <s v="West Virginia"/>
    <s v="Charleston"/>
    <x v="4"/>
    <n v="44.999999999999993"/>
    <n v="175"/>
    <n v="78749.999999999985"/>
    <n v="31499.999999999996"/>
    <n v="0.4"/>
    <x v="0"/>
  </r>
  <r>
    <x v="0"/>
    <n v="1185732"/>
    <x v="423"/>
    <x v="0"/>
    <s v="West Virginia"/>
    <s v="Charleston"/>
    <x v="5"/>
    <n v="49.999999999999986"/>
    <n v="300"/>
    <n v="149999.99999999997"/>
    <n v="59999.999999999993"/>
    <n v="0.4"/>
    <x v="0"/>
  </r>
  <r>
    <x v="0"/>
    <n v="1185732"/>
    <x v="454"/>
    <x v="0"/>
    <s v="West Virginia"/>
    <s v="Charleston"/>
    <x v="0"/>
    <n v="44.999999999999993"/>
    <n v="450"/>
    <n v="202499.99999999997"/>
    <n v="81000"/>
    <n v="0.4"/>
    <x v="0"/>
  </r>
  <r>
    <x v="0"/>
    <n v="1185732"/>
    <x v="454"/>
    <x v="0"/>
    <s v="West Virginia"/>
    <s v="Charleston"/>
    <x v="1"/>
    <n v="35"/>
    <n v="350"/>
    <n v="122500"/>
    <n v="49000"/>
    <n v="0.4"/>
    <x v="0"/>
  </r>
  <r>
    <x v="0"/>
    <n v="1185732"/>
    <x v="454"/>
    <x v="0"/>
    <s v="West Virginia"/>
    <s v="Charleston"/>
    <x v="2"/>
    <n v="35"/>
    <n v="295"/>
    <n v="103250"/>
    <n v="41300"/>
    <n v="0.4"/>
    <x v="0"/>
  </r>
  <r>
    <x v="0"/>
    <n v="1185732"/>
    <x v="454"/>
    <x v="0"/>
    <s v="West Virginia"/>
    <s v="Charleston"/>
    <x v="3"/>
    <n v="40"/>
    <n v="325"/>
    <n v="130000"/>
    <n v="52000"/>
    <n v="0.4"/>
    <x v="0"/>
  </r>
  <r>
    <x v="0"/>
    <n v="1185732"/>
    <x v="454"/>
    <x v="0"/>
    <s v="West Virginia"/>
    <s v="Charleston"/>
    <x v="4"/>
    <n v="65"/>
    <n v="300"/>
    <n v="195000"/>
    <n v="78000"/>
    <n v="0.4"/>
    <x v="0"/>
  </r>
  <r>
    <x v="0"/>
    <n v="1185732"/>
    <x v="454"/>
    <x v="0"/>
    <s v="West Virginia"/>
    <s v="Charleston"/>
    <x v="5"/>
    <n v="70"/>
    <n v="400"/>
    <n v="280000"/>
    <n v="112000"/>
    <n v="0.4"/>
    <x v="0"/>
  </r>
  <r>
    <x v="0"/>
    <n v="1185732"/>
    <x v="483"/>
    <x v="0"/>
    <s v="West Virginia"/>
    <s v="Charleston"/>
    <x v="0"/>
    <n v="65"/>
    <n v="650"/>
    <n v="422500"/>
    <n v="169000"/>
    <n v="0.4"/>
    <x v="0"/>
  </r>
  <r>
    <x v="0"/>
    <n v="1185732"/>
    <x v="483"/>
    <x v="0"/>
    <s v="West Virginia"/>
    <s v="Charleston"/>
    <x v="1"/>
    <n v="55.000000000000007"/>
    <n v="450"/>
    <n v="247500.00000000003"/>
    <n v="99000.000000000015"/>
    <n v="0.4"/>
    <x v="0"/>
  </r>
  <r>
    <x v="3"/>
    <n v="1185732"/>
    <x v="483"/>
    <x v="0"/>
    <s v="West Virginia"/>
    <s v="Charleston"/>
    <x v="2"/>
    <n v="55.000000000000007"/>
    <n v="400"/>
    <n v="220000.00000000003"/>
    <n v="88000.000000000015"/>
    <n v="0.4"/>
    <x v="0"/>
  </r>
  <r>
    <x v="0"/>
    <n v="1185732"/>
    <x v="483"/>
    <x v="0"/>
    <s v="West Virginia"/>
    <s v="Charleston"/>
    <x v="3"/>
    <n v="55.000000000000007"/>
    <n v="350"/>
    <n v="192500.00000000003"/>
    <n v="77000.000000000015"/>
    <n v="0.4"/>
    <x v="0"/>
  </r>
  <r>
    <x v="0"/>
    <n v="1185732"/>
    <x v="483"/>
    <x v="0"/>
    <s v="West Virginia"/>
    <s v="Charleston"/>
    <x v="4"/>
    <n v="65"/>
    <n v="350"/>
    <n v="227500"/>
    <n v="91000"/>
    <n v="0.4"/>
    <x v="0"/>
  </r>
  <r>
    <x v="0"/>
    <n v="1185732"/>
    <x v="483"/>
    <x v="0"/>
    <s v="West Virginia"/>
    <s v="Charleston"/>
    <x v="5"/>
    <n v="70"/>
    <n v="450"/>
    <n v="315000"/>
    <n v="126000"/>
    <n v="0.4"/>
    <x v="0"/>
  </r>
  <r>
    <x v="0"/>
    <n v="1185732"/>
    <x v="188"/>
    <x v="0"/>
    <s v="West Virginia"/>
    <s v="Charleston"/>
    <x v="0"/>
    <n v="35"/>
    <n v="425"/>
    <n v="148750"/>
    <n v="59500"/>
    <n v="0.4"/>
    <x v="0"/>
  </r>
  <r>
    <x v="0"/>
    <n v="1185732"/>
    <x v="188"/>
    <x v="0"/>
    <s v="West Virginia"/>
    <s v="Charleston"/>
    <x v="1"/>
    <n v="35"/>
    <n v="225"/>
    <n v="78750"/>
    <n v="27562.5"/>
    <n v="0.35"/>
    <x v="0"/>
  </r>
  <r>
    <x v="0"/>
    <n v="1185732"/>
    <x v="188"/>
    <x v="0"/>
    <s v="West Virginia"/>
    <s v="Charleston"/>
    <x v="2"/>
    <n v="25.000000000000007"/>
    <n v="225"/>
    <n v="56250.000000000015"/>
    <n v="19687.500000000004"/>
    <n v="0.35"/>
    <x v="0"/>
  </r>
  <r>
    <x v="0"/>
    <n v="1185732"/>
    <x v="188"/>
    <x v="0"/>
    <s v="West Virginia"/>
    <s v="Charleston"/>
    <x v="3"/>
    <n v="30"/>
    <n v="75"/>
    <n v="22500"/>
    <n v="7874.9999999999991"/>
    <n v="0.35"/>
    <x v="0"/>
  </r>
  <r>
    <x v="0"/>
    <n v="1185732"/>
    <x v="188"/>
    <x v="0"/>
    <s v="West Virginia"/>
    <s v="Charleston"/>
    <x v="4"/>
    <n v="45"/>
    <n v="125"/>
    <n v="56250"/>
    <n v="16875"/>
    <n v="0.3"/>
    <x v="0"/>
  </r>
  <r>
    <x v="0"/>
    <n v="1185732"/>
    <x v="188"/>
    <x v="0"/>
    <s v="West Virginia"/>
    <s v="Charleston"/>
    <x v="5"/>
    <n v="35"/>
    <n v="225"/>
    <n v="78750"/>
    <n v="23625"/>
    <n v="0.3"/>
    <x v="0"/>
  </r>
  <r>
    <x v="0"/>
    <n v="1185732"/>
    <x v="696"/>
    <x v="0"/>
    <s v="West Virginia"/>
    <s v="Charleston"/>
    <x v="0"/>
    <n v="35"/>
    <n v="475"/>
    <n v="166250"/>
    <n v="66500"/>
    <n v="0.4"/>
    <x v="0"/>
  </r>
  <r>
    <x v="3"/>
    <n v="1185732"/>
    <x v="696"/>
    <x v="0"/>
    <s v="West Virginia"/>
    <s v="Charleston"/>
    <x v="1"/>
    <n v="35"/>
    <n v="125"/>
    <n v="43750"/>
    <n v="15312.499999999998"/>
    <n v="0.35"/>
    <x v="0"/>
  </r>
  <r>
    <x v="3"/>
    <n v="1185732"/>
    <x v="696"/>
    <x v="0"/>
    <s v="West Virginia"/>
    <s v="Charleston"/>
    <x v="2"/>
    <n v="25.000000000000007"/>
    <n v="175"/>
    <n v="43750.000000000015"/>
    <n v="15312.500000000004"/>
    <n v="0.35"/>
    <x v="0"/>
  </r>
  <r>
    <x v="3"/>
    <n v="1185732"/>
    <x v="696"/>
    <x v="0"/>
    <s v="Maryland"/>
    <s v="Baltimore"/>
    <x v="3"/>
    <n v="30"/>
    <n v="50"/>
    <n v="15000"/>
    <n v="5250"/>
    <n v="0.35"/>
    <x v="0"/>
  </r>
  <r>
    <x v="3"/>
    <n v="1185732"/>
    <x v="696"/>
    <x v="0"/>
    <s v="Maryland"/>
    <s v="Baltimore"/>
    <x v="4"/>
    <n v="45"/>
    <n v="125"/>
    <n v="56250"/>
    <n v="16875"/>
    <n v="0.3"/>
    <x v="0"/>
  </r>
  <r>
    <x v="3"/>
    <n v="1185732"/>
    <x v="696"/>
    <x v="0"/>
    <s v="Maryland"/>
    <s v="Baltimore"/>
    <x v="5"/>
    <n v="35"/>
    <n v="225"/>
    <n v="78750"/>
    <n v="23625"/>
    <n v="0.3"/>
    <x v="0"/>
  </r>
  <r>
    <x v="3"/>
    <n v="1185732"/>
    <x v="225"/>
    <x v="0"/>
    <s v="Maryland"/>
    <s v="Baltimore"/>
    <x v="0"/>
    <n v="35"/>
    <n v="445"/>
    <n v="155750"/>
    <n v="62300"/>
    <n v="0.4"/>
    <x v="0"/>
  </r>
  <r>
    <x v="3"/>
    <n v="1185732"/>
    <x v="225"/>
    <x v="0"/>
    <s v="Maryland"/>
    <s v="Baltimore"/>
    <x v="1"/>
    <n v="35"/>
    <n v="150"/>
    <n v="52500"/>
    <n v="18375"/>
    <n v="0.35"/>
    <x v="0"/>
  </r>
  <r>
    <x v="3"/>
    <n v="1185732"/>
    <x v="225"/>
    <x v="0"/>
    <s v="Maryland"/>
    <s v="Baltimore"/>
    <x v="2"/>
    <n v="25.000000000000007"/>
    <n v="175"/>
    <n v="43750.000000000015"/>
    <n v="15312.500000000004"/>
    <n v="0.35"/>
    <x v="0"/>
  </r>
  <r>
    <x v="3"/>
    <n v="1185732"/>
    <x v="225"/>
    <x v="0"/>
    <s v="Maryland"/>
    <s v="Baltimore"/>
    <x v="3"/>
    <n v="30"/>
    <n v="25"/>
    <n v="7500"/>
    <n v="2625"/>
    <n v="0.35"/>
    <x v="0"/>
  </r>
  <r>
    <x v="3"/>
    <n v="1185732"/>
    <x v="225"/>
    <x v="0"/>
    <s v="Maryland"/>
    <s v="Baltimore"/>
    <x v="4"/>
    <n v="45"/>
    <n v="75"/>
    <n v="33750"/>
    <n v="10125"/>
    <n v="0.3"/>
    <x v="0"/>
  </r>
  <r>
    <x v="3"/>
    <n v="1185732"/>
    <x v="225"/>
    <x v="0"/>
    <s v="Maryland"/>
    <s v="Baltimore"/>
    <x v="5"/>
    <n v="35"/>
    <n v="175"/>
    <n v="61250"/>
    <n v="18375"/>
    <n v="0.3"/>
    <x v="0"/>
  </r>
  <r>
    <x v="3"/>
    <n v="1185732"/>
    <x v="244"/>
    <x v="0"/>
    <s v="Maryland"/>
    <s v="Baltimore"/>
    <x v="0"/>
    <n v="35"/>
    <n v="425"/>
    <n v="148750"/>
    <n v="59500"/>
    <n v="0.4"/>
    <x v="0"/>
  </r>
  <r>
    <x v="3"/>
    <n v="1185732"/>
    <x v="244"/>
    <x v="0"/>
    <s v="Maryland"/>
    <s v="Baltimore"/>
    <x v="1"/>
    <n v="35"/>
    <n v="125"/>
    <n v="43750"/>
    <n v="15312.499999999998"/>
    <n v="0.35"/>
    <x v="0"/>
  </r>
  <r>
    <x v="3"/>
    <n v="1185732"/>
    <x v="244"/>
    <x v="0"/>
    <s v="Maryland"/>
    <s v="Baltimore"/>
    <x v="2"/>
    <n v="25.000000000000007"/>
    <n v="125"/>
    <n v="31250.000000000007"/>
    <n v="10937.500000000002"/>
    <n v="0.35"/>
    <x v="0"/>
  </r>
  <r>
    <x v="3"/>
    <n v="1185732"/>
    <x v="244"/>
    <x v="0"/>
    <s v="Maryland"/>
    <s v="Baltimore"/>
    <x v="3"/>
    <n v="30"/>
    <n v="50"/>
    <n v="15000"/>
    <n v="5250"/>
    <n v="0.35"/>
    <x v="0"/>
  </r>
  <r>
    <x v="3"/>
    <n v="1185732"/>
    <x v="244"/>
    <x v="0"/>
    <s v="Maryland"/>
    <s v="Baltimore"/>
    <x v="4"/>
    <n v="45"/>
    <n v="50"/>
    <n v="22500"/>
    <n v="6750"/>
    <n v="0.3"/>
    <x v="0"/>
  </r>
  <r>
    <x v="3"/>
    <n v="1185732"/>
    <x v="244"/>
    <x v="0"/>
    <s v="Maryland"/>
    <s v="Baltimore"/>
    <x v="5"/>
    <n v="35"/>
    <n v="200"/>
    <n v="70000"/>
    <n v="21000"/>
    <n v="0.3"/>
    <x v="0"/>
  </r>
  <r>
    <x v="3"/>
    <n v="1185732"/>
    <x v="273"/>
    <x v="0"/>
    <s v="Maryland"/>
    <s v="Baltimore"/>
    <x v="0"/>
    <n v="49.999999999999993"/>
    <n v="470"/>
    <n v="234999.99999999997"/>
    <n v="94000"/>
    <n v="0.4"/>
    <x v="0"/>
  </r>
  <r>
    <x v="3"/>
    <n v="1185732"/>
    <x v="273"/>
    <x v="0"/>
    <s v="Maryland"/>
    <s v="Baltimore"/>
    <x v="1"/>
    <n v="45"/>
    <n v="175"/>
    <n v="78750"/>
    <n v="27562.5"/>
    <n v="0.35"/>
    <x v="0"/>
  </r>
  <r>
    <x v="3"/>
    <n v="1185732"/>
    <x v="273"/>
    <x v="0"/>
    <s v="Maryland"/>
    <s v="Baltimore"/>
    <x v="2"/>
    <n v="40"/>
    <n v="150"/>
    <n v="60000"/>
    <n v="21000"/>
    <n v="0.35"/>
    <x v="0"/>
  </r>
  <r>
    <x v="3"/>
    <n v="1185732"/>
    <x v="273"/>
    <x v="0"/>
    <s v="Maryland"/>
    <s v="Baltimore"/>
    <x v="3"/>
    <n v="40"/>
    <n v="100"/>
    <n v="40000"/>
    <n v="14000"/>
    <n v="0.35"/>
    <x v="0"/>
  </r>
  <r>
    <x v="3"/>
    <n v="1185732"/>
    <x v="273"/>
    <x v="0"/>
    <s v="Maryland"/>
    <s v="Baltimore"/>
    <x v="4"/>
    <n v="49.999999999999993"/>
    <n v="125"/>
    <n v="62499.999999999993"/>
    <n v="18749.999999999996"/>
    <n v="0.3"/>
    <x v="0"/>
  </r>
  <r>
    <x v="3"/>
    <n v="1185732"/>
    <x v="273"/>
    <x v="0"/>
    <s v="Maryland"/>
    <s v="Baltimore"/>
    <x v="5"/>
    <n v="54.999999999999993"/>
    <n v="250"/>
    <n v="137499.99999999997"/>
    <n v="41249.999999999993"/>
    <n v="0.3"/>
    <x v="0"/>
  </r>
  <r>
    <x v="3"/>
    <n v="1185732"/>
    <x v="306"/>
    <x v="0"/>
    <s v="Maryland"/>
    <s v="Baltimore"/>
    <x v="0"/>
    <n v="49.999999999999993"/>
    <n v="500"/>
    <n v="249999.99999999997"/>
    <n v="100000"/>
    <n v="0.4"/>
    <x v="0"/>
  </r>
  <r>
    <x v="3"/>
    <n v="1185732"/>
    <x v="306"/>
    <x v="0"/>
    <s v="Maryland"/>
    <s v="Baltimore"/>
    <x v="1"/>
    <n v="45"/>
    <n v="250"/>
    <n v="112500"/>
    <n v="39375"/>
    <n v="0.35"/>
    <x v="0"/>
  </r>
  <r>
    <x v="0"/>
    <n v="1185732"/>
    <x v="306"/>
    <x v="0"/>
    <s v="Maryland"/>
    <s v="Baltimore"/>
    <x v="2"/>
    <n v="40"/>
    <n v="175"/>
    <n v="70000"/>
    <n v="24500"/>
    <n v="0.35"/>
    <x v="0"/>
  </r>
  <r>
    <x v="0"/>
    <n v="1185732"/>
    <x v="306"/>
    <x v="0"/>
    <s v="Maryland"/>
    <s v="Baltimore"/>
    <x v="3"/>
    <n v="40"/>
    <n v="150"/>
    <n v="60000"/>
    <n v="21000"/>
    <n v="0.35"/>
    <x v="0"/>
  </r>
  <r>
    <x v="0"/>
    <n v="1185732"/>
    <x v="306"/>
    <x v="0"/>
    <s v="Maryland"/>
    <s v="Baltimore"/>
    <x v="4"/>
    <n v="49.999999999999993"/>
    <n v="150"/>
    <n v="74999.999999999985"/>
    <n v="22499.999999999996"/>
    <n v="0.3"/>
    <x v="0"/>
  </r>
  <r>
    <x v="0"/>
    <n v="1185732"/>
    <x v="306"/>
    <x v="0"/>
    <s v="Maryland"/>
    <s v="Baltimore"/>
    <x v="5"/>
    <n v="54.999999999999993"/>
    <n v="300"/>
    <n v="164999.99999999997"/>
    <n v="49499.999999999993"/>
    <n v="0.3"/>
    <x v="0"/>
  </r>
  <r>
    <x v="0"/>
    <n v="1185732"/>
    <x v="334"/>
    <x v="0"/>
    <s v="Maryland"/>
    <s v="Baltimore"/>
    <x v="0"/>
    <n v="49.999999999999993"/>
    <n v="525"/>
    <n v="262499.99999999994"/>
    <n v="104999.99999999999"/>
    <n v="0.4"/>
    <x v="0"/>
  </r>
  <r>
    <x v="2"/>
    <n v="1185732"/>
    <x v="334"/>
    <x v="0"/>
    <s v="Maryland"/>
    <s v="Baltimore"/>
    <x v="1"/>
    <n v="45"/>
    <n v="275"/>
    <n v="123750"/>
    <n v="43312.5"/>
    <n v="0.35"/>
    <x v="0"/>
  </r>
  <r>
    <x v="2"/>
    <n v="1185732"/>
    <x v="334"/>
    <x v="0"/>
    <s v="Maryland"/>
    <s v="Baltimore"/>
    <x v="2"/>
    <n v="40"/>
    <n v="200"/>
    <n v="80000"/>
    <n v="28000"/>
    <n v="0.35"/>
    <x v="0"/>
  </r>
  <r>
    <x v="2"/>
    <n v="1185732"/>
    <x v="334"/>
    <x v="0"/>
    <s v="Maryland"/>
    <s v="Baltimore"/>
    <x v="3"/>
    <n v="40"/>
    <n v="150"/>
    <n v="60000"/>
    <n v="21000"/>
    <n v="0.35"/>
    <x v="0"/>
  </r>
  <r>
    <x v="2"/>
    <n v="1185732"/>
    <x v="334"/>
    <x v="0"/>
    <s v="Maryland"/>
    <s v="Baltimore"/>
    <x v="4"/>
    <n v="49.999999999999993"/>
    <n v="175"/>
    <n v="87499.999999999985"/>
    <n v="26249.999999999996"/>
    <n v="0.3"/>
    <x v="0"/>
  </r>
  <r>
    <x v="2"/>
    <n v="1185732"/>
    <x v="334"/>
    <x v="0"/>
    <s v="Maryland"/>
    <s v="Baltimore"/>
    <x v="5"/>
    <n v="54.999999999999993"/>
    <n v="350"/>
    <n v="192499.99999999997"/>
    <n v="57749.999999999993"/>
    <n v="0.3"/>
    <x v="0"/>
  </r>
  <r>
    <x v="2"/>
    <n v="1185732"/>
    <x v="366"/>
    <x v="0"/>
    <s v="Maryland"/>
    <s v="Baltimore"/>
    <x v="0"/>
    <n v="49.999999999999993"/>
    <n v="500"/>
    <n v="249999.99999999997"/>
    <n v="100000"/>
    <n v="0.4"/>
    <x v="0"/>
  </r>
  <r>
    <x v="2"/>
    <n v="1185732"/>
    <x v="366"/>
    <x v="0"/>
    <s v="Maryland"/>
    <s v="Baltimore"/>
    <x v="1"/>
    <n v="45"/>
    <n v="275"/>
    <n v="123750"/>
    <n v="43312.5"/>
    <n v="0.35"/>
    <x v="0"/>
  </r>
  <r>
    <x v="2"/>
    <n v="1185732"/>
    <x v="366"/>
    <x v="0"/>
    <s v="Maryland"/>
    <s v="Baltimore"/>
    <x v="2"/>
    <n v="40"/>
    <n v="200"/>
    <n v="80000"/>
    <n v="28000"/>
    <n v="0.35"/>
    <x v="0"/>
  </r>
  <r>
    <x v="2"/>
    <n v="1185732"/>
    <x v="366"/>
    <x v="0"/>
    <s v="Maryland"/>
    <s v="Baltimore"/>
    <x v="3"/>
    <n v="40"/>
    <n v="150"/>
    <n v="60000"/>
    <n v="21000"/>
    <n v="0.35"/>
    <x v="0"/>
  </r>
  <r>
    <x v="2"/>
    <n v="1185732"/>
    <x v="366"/>
    <x v="0"/>
    <s v="Maryland"/>
    <s v="Baltimore"/>
    <x v="4"/>
    <n v="49.999999999999993"/>
    <n v="125"/>
    <n v="62499.999999999993"/>
    <n v="18749.999999999996"/>
    <n v="0.3"/>
    <x v="0"/>
  </r>
  <r>
    <x v="2"/>
    <n v="1185732"/>
    <x v="366"/>
    <x v="0"/>
    <s v="Maryland"/>
    <s v="Baltimore"/>
    <x v="5"/>
    <n v="54.999999999999993"/>
    <n v="300"/>
    <n v="164999.99999999997"/>
    <n v="49499.999999999993"/>
    <n v="0.3"/>
    <x v="0"/>
  </r>
  <r>
    <x v="2"/>
    <n v="1185732"/>
    <x v="396"/>
    <x v="0"/>
    <s v="Maryland"/>
    <s v="Baltimore"/>
    <x v="0"/>
    <n v="49.999999999999993"/>
    <n v="425"/>
    <n v="212499.99999999997"/>
    <n v="85000"/>
    <n v="0.4"/>
    <x v="0"/>
  </r>
  <r>
    <x v="2"/>
    <n v="1185732"/>
    <x v="396"/>
    <x v="0"/>
    <s v="Maryland"/>
    <s v="Baltimore"/>
    <x v="1"/>
    <n v="45"/>
    <n v="225"/>
    <n v="101250"/>
    <n v="35437.5"/>
    <n v="0.35"/>
    <x v="0"/>
  </r>
  <r>
    <x v="2"/>
    <n v="1185732"/>
    <x v="396"/>
    <x v="0"/>
    <s v="Maryland"/>
    <s v="Baltimore"/>
    <x v="2"/>
    <n v="40"/>
    <n v="125"/>
    <n v="50000"/>
    <n v="17500"/>
    <n v="0.35"/>
    <x v="0"/>
  </r>
  <r>
    <x v="2"/>
    <n v="1185732"/>
    <x v="396"/>
    <x v="0"/>
    <s v="Maryland"/>
    <s v="Baltimore"/>
    <x v="3"/>
    <n v="40"/>
    <n v="100"/>
    <n v="40000"/>
    <n v="14000"/>
    <n v="0.35"/>
    <x v="0"/>
  </r>
  <r>
    <x v="2"/>
    <n v="1185732"/>
    <x v="396"/>
    <x v="0"/>
    <s v="Maryland"/>
    <s v="Baltimore"/>
    <x v="4"/>
    <n v="49.999999999999993"/>
    <n v="100"/>
    <n v="49999.999999999993"/>
    <n v="14999.999999999996"/>
    <n v="0.3"/>
    <x v="0"/>
  </r>
  <r>
    <x v="2"/>
    <n v="1185732"/>
    <x v="396"/>
    <x v="0"/>
    <s v="Maryland"/>
    <s v="Baltimore"/>
    <x v="5"/>
    <n v="54.999999999999993"/>
    <n v="200"/>
    <n v="109999.99999999999"/>
    <n v="32999.999999999993"/>
    <n v="0.3"/>
    <x v="0"/>
  </r>
  <r>
    <x v="2"/>
    <n v="1185732"/>
    <x v="428"/>
    <x v="0"/>
    <s v="Maryland"/>
    <s v="Baltimore"/>
    <x v="0"/>
    <n v="54.999999999999993"/>
    <n v="375"/>
    <n v="206249.99999999997"/>
    <n v="82500"/>
    <n v="0.4"/>
    <x v="0"/>
  </r>
  <r>
    <x v="2"/>
    <n v="1185732"/>
    <x v="428"/>
    <x v="0"/>
    <s v="Maryland"/>
    <s v="Baltimore"/>
    <x v="1"/>
    <n v="50"/>
    <n v="200"/>
    <n v="100000"/>
    <n v="35000"/>
    <n v="0.35"/>
    <x v="0"/>
  </r>
  <r>
    <x v="2"/>
    <n v="1185732"/>
    <x v="428"/>
    <x v="0"/>
    <s v="Maryland"/>
    <s v="Baltimore"/>
    <x v="2"/>
    <n v="50"/>
    <n v="100"/>
    <n v="50000"/>
    <n v="17500"/>
    <n v="0.35"/>
    <x v="0"/>
  </r>
  <r>
    <x v="0"/>
    <n v="1185732"/>
    <x v="428"/>
    <x v="0"/>
    <s v="Maryland"/>
    <s v="Baltimore"/>
    <x v="3"/>
    <n v="50"/>
    <n v="75"/>
    <n v="37500"/>
    <n v="13125"/>
    <n v="0.35"/>
    <x v="0"/>
  </r>
  <r>
    <x v="0"/>
    <n v="1185732"/>
    <x v="428"/>
    <x v="0"/>
    <s v="Maryland"/>
    <s v="Baltimore"/>
    <x v="4"/>
    <n v="60"/>
    <n v="75"/>
    <n v="45000"/>
    <n v="13500"/>
    <n v="0.3"/>
    <x v="0"/>
  </r>
  <r>
    <x v="0"/>
    <n v="1185732"/>
    <x v="428"/>
    <x v="0"/>
    <s v="Maryland"/>
    <s v="Baltimore"/>
    <x v="5"/>
    <n v="64.999999999999986"/>
    <n v="200"/>
    <n v="129999.99999999997"/>
    <n v="38999.999999999993"/>
    <n v="0.3"/>
    <x v="0"/>
  </r>
  <r>
    <x v="0"/>
    <n v="1185732"/>
    <x v="458"/>
    <x v="0"/>
    <s v="Maryland"/>
    <s v="Baltimore"/>
    <x v="0"/>
    <n v="60"/>
    <n v="350"/>
    <n v="210000"/>
    <n v="84000"/>
    <n v="0.4"/>
    <x v="0"/>
  </r>
  <r>
    <x v="0"/>
    <n v="1185732"/>
    <x v="458"/>
    <x v="0"/>
    <s v="Maryland"/>
    <s v="Baltimore"/>
    <x v="1"/>
    <n v="50"/>
    <n v="175"/>
    <n v="87500"/>
    <n v="30624.999999999996"/>
    <n v="0.35"/>
    <x v="0"/>
  </r>
  <r>
    <x v="0"/>
    <n v="1185732"/>
    <x v="458"/>
    <x v="0"/>
    <s v="Maryland"/>
    <s v="Baltimore"/>
    <x v="2"/>
    <n v="50"/>
    <n v="170"/>
    <n v="85000"/>
    <n v="29749.999999999996"/>
    <n v="0.35"/>
    <x v="0"/>
  </r>
  <r>
    <x v="0"/>
    <n v="1185732"/>
    <x v="458"/>
    <x v="0"/>
    <s v="Maryland"/>
    <s v="Baltimore"/>
    <x v="3"/>
    <n v="50"/>
    <n v="150"/>
    <n v="75000"/>
    <n v="26250"/>
    <n v="0.35"/>
    <x v="0"/>
  </r>
  <r>
    <x v="0"/>
    <n v="1185732"/>
    <x v="458"/>
    <x v="0"/>
    <s v="Maryland"/>
    <s v="Baltimore"/>
    <x v="4"/>
    <n v="60"/>
    <n v="125"/>
    <n v="75000"/>
    <n v="22500"/>
    <n v="0.3"/>
    <x v="0"/>
  </r>
  <r>
    <x v="0"/>
    <n v="1185732"/>
    <x v="458"/>
    <x v="0"/>
    <s v="Maryland"/>
    <s v="Baltimore"/>
    <x v="5"/>
    <n v="64.999999999999986"/>
    <n v="225"/>
    <n v="146249.99999999997"/>
    <n v="43874.999999999993"/>
    <n v="0.3"/>
    <x v="0"/>
  </r>
  <r>
    <x v="0"/>
    <n v="1185732"/>
    <x v="487"/>
    <x v="0"/>
    <s v="Maryland"/>
    <s v="Baltimore"/>
    <x v="0"/>
    <n v="60"/>
    <n v="450"/>
    <n v="270000"/>
    <n v="108000"/>
    <n v="0.4"/>
    <x v="0"/>
  </r>
  <r>
    <x v="0"/>
    <n v="1185732"/>
    <x v="487"/>
    <x v="0"/>
    <s v="Maryland"/>
    <s v="Baltimore"/>
    <x v="1"/>
    <n v="50"/>
    <n v="250"/>
    <n v="125000"/>
    <n v="43750"/>
    <n v="0.35"/>
    <x v="0"/>
  </r>
  <r>
    <x v="0"/>
    <n v="1185732"/>
    <x v="487"/>
    <x v="0"/>
    <s v="Maryland"/>
    <s v="Baltimore"/>
    <x v="2"/>
    <n v="50"/>
    <n v="225"/>
    <n v="112500"/>
    <n v="39375"/>
    <n v="0.35"/>
    <x v="0"/>
  </r>
  <r>
    <x v="0"/>
    <n v="1185732"/>
    <x v="487"/>
    <x v="0"/>
    <s v="Maryland"/>
    <s v="Baltimore"/>
    <x v="3"/>
    <n v="50"/>
    <n v="175"/>
    <n v="87500"/>
    <n v="30624.999999999996"/>
    <n v="0.35"/>
    <x v="0"/>
  </r>
  <r>
    <x v="0"/>
    <n v="1185732"/>
    <x v="487"/>
    <x v="0"/>
    <s v="Maryland"/>
    <s v="Baltimore"/>
    <x v="4"/>
    <n v="60"/>
    <n v="175"/>
    <n v="105000"/>
    <n v="31500"/>
    <n v="0.3"/>
    <x v="0"/>
  </r>
  <r>
    <x v="0"/>
    <n v="1185732"/>
    <x v="487"/>
    <x v="0"/>
    <s v="Maryland"/>
    <s v="Baltimore"/>
    <x v="5"/>
    <n v="64.999999999999986"/>
    <n v="275"/>
    <n v="178749.99999999997"/>
    <n v="53624.999999999993"/>
    <n v="0.3"/>
    <x v="0"/>
  </r>
  <r>
    <x v="0"/>
    <n v="1185732"/>
    <x v="181"/>
    <x v="0"/>
    <s v="Maryland"/>
    <s v="Baltimore"/>
    <x v="0"/>
    <n v="40"/>
    <n v="525"/>
    <n v="210000"/>
    <n v="73500"/>
    <n v="0.35"/>
    <x v="0"/>
  </r>
  <r>
    <x v="0"/>
    <n v="1185732"/>
    <x v="181"/>
    <x v="0"/>
    <s v="Maryland"/>
    <s v="Baltimore"/>
    <x v="1"/>
    <n v="40"/>
    <n v="325"/>
    <n v="130000"/>
    <n v="45500"/>
    <n v="0.35"/>
    <x v="0"/>
  </r>
  <r>
    <x v="0"/>
    <n v="1185732"/>
    <x v="181"/>
    <x v="0"/>
    <s v="Maryland"/>
    <s v="Baltimore"/>
    <x v="2"/>
    <n v="30.000000000000004"/>
    <n v="325"/>
    <n v="97500.000000000015"/>
    <n v="39000.000000000007"/>
    <n v="0.4"/>
    <x v="0"/>
  </r>
  <r>
    <x v="0"/>
    <n v="1185732"/>
    <x v="181"/>
    <x v="0"/>
    <s v="Maryland"/>
    <s v="Baltimore"/>
    <x v="3"/>
    <n v="35"/>
    <n v="175"/>
    <n v="61250"/>
    <n v="24500"/>
    <n v="0.4"/>
    <x v="0"/>
  </r>
  <r>
    <x v="0"/>
    <n v="1185732"/>
    <x v="181"/>
    <x v="0"/>
    <s v="Maryland"/>
    <s v="Baltimore"/>
    <x v="4"/>
    <n v="50"/>
    <n v="225"/>
    <n v="112500"/>
    <n v="33750"/>
    <n v="0.3"/>
    <x v="0"/>
  </r>
  <r>
    <x v="0"/>
    <n v="1185732"/>
    <x v="181"/>
    <x v="0"/>
    <s v="Maryland"/>
    <s v="Baltimore"/>
    <x v="5"/>
    <n v="40"/>
    <n v="325"/>
    <n v="130000"/>
    <n v="52000"/>
    <n v="0.4"/>
    <x v="0"/>
  </r>
  <r>
    <x v="0"/>
    <n v="1185732"/>
    <x v="210"/>
    <x v="0"/>
    <s v="Maryland"/>
    <s v="Baltimore"/>
    <x v="0"/>
    <n v="40"/>
    <n v="575"/>
    <n v="230000"/>
    <n v="80500"/>
    <n v="0.35"/>
    <x v="0"/>
  </r>
  <r>
    <x v="0"/>
    <n v="1185732"/>
    <x v="210"/>
    <x v="0"/>
    <s v="Maryland"/>
    <s v="Baltimore"/>
    <x v="1"/>
    <n v="40"/>
    <n v="225"/>
    <n v="90000"/>
    <n v="31499.999999999996"/>
    <n v="0.35"/>
    <x v="0"/>
  </r>
  <r>
    <x v="0"/>
    <n v="1185732"/>
    <x v="210"/>
    <x v="0"/>
    <s v="Maryland"/>
    <s v="Baltimore"/>
    <x v="2"/>
    <n v="30.000000000000004"/>
    <n v="275"/>
    <n v="82500.000000000015"/>
    <n v="33000.000000000007"/>
    <n v="0.4"/>
    <x v="0"/>
  </r>
  <r>
    <x v="0"/>
    <n v="1185732"/>
    <x v="210"/>
    <x v="0"/>
    <s v="Delaware"/>
    <s v="Wilmington"/>
    <x v="3"/>
    <n v="35"/>
    <n v="150"/>
    <n v="52500"/>
    <n v="21000"/>
    <n v="0.4"/>
    <x v="0"/>
  </r>
  <r>
    <x v="0"/>
    <n v="1185732"/>
    <x v="210"/>
    <x v="0"/>
    <s v="Delaware"/>
    <s v="Wilmington"/>
    <x v="4"/>
    <n v="50"/>
    <n v="225"/>
    <n v="112500"/>
    <n v="33750"/>
    <n v="0.3"/>
    <x v="0"/>
  </r>
  <r>
    <x v="0"/>
    <n v="1185732"/>
    <x v="210"/>
    <x v="0"/>
    <s v="Delaware"/>
    <s v="Wilmington"/>
    <x v="5"/>
    <n v="40"/>
    <n v="325"/>
    <n v="130000"/>
    <n v="52000"/>
    <n v="0.4"/>
    <x v="0"/>
  </r>
  <r>
    <x v="0"/>
    <n v="1185732"/>
    <x v="218"/>
    <x v="0"/>
    <s v="Delaware"/>
    <s v="Wilmington"/>
    <x v="0"/>
    <n v="40"/>
    <n v="545"/>
    <n v="218000"/>
    <n v="76300"/>
    <n v="0.35"/>
    <x v="0"/>
  </r>
  <r>
    <x v="0"/>
    <n v="1185732"/>
    <x v="218"/>
    <x v="0"/>
    <s v="Delaware"/>
    <s v="Wilmington"/>
    <x v="1"/>
    <n v="40"/>
    <n v="250"/>
    <n v="100000"/>
    <n v="35000"/>
    <n v="0.35"/>
    <x v="0"/>
  </r>
  <r>
    <x v="0"/>
    <n v="1185732"/>
    <x v="218"/>
    <x v="0"/>
    <s v="Delaware"/>
    <s v="Wilmington"/>
    <x v="2"/>
    <n v="30.000000000000004"/>
    <n v="275"/>
    <n v="82500.000000000015"/>
    <n v="33000.000000000007"/>
    <n v="0.4"/>
    <x v="0"/>
  </r>
  <r>
    <x v="0"/>
    <n v="1185732"/>
    <x v="218"/>
    <x v="0"/>
    <s v="Delaware"/>
    <s v="Wilmington"/>
    <x v="3"/>
    <n v="35"/>
    <n v="125"/>
    <n v="43750"/>
    <n v="17500"/>
    <n v="0.4"/>
    <x v="0"/>
  </r>
  <r>
    <x v="0"/>
    <n v="1185732"/>
    <x v="218"/>
    <x v="0"/>
    <s v="Delaware"/>
    <s v="Wilmington"/>
    <x v="4"/>
    <n v="50"/>
    <n v="175"/>
    <n v="87500"/>
    <n v="26250"/>
    <n v="0.3"/>
    <x v="0"/>
  </r>
  <r>
    <x v="0"/>
    <n v="1185732"/>
    <x v="218"/>
    <x v="0"/>
    <s v="Delaware"/>
    <s v="Wilmington"/>
    <x v="5"/>
    <n v="40"/>
    <n v="275"/>
    <n v="110000"/>
    <n v="44000"/>
    <n v="0.4"/>
    <x v="0"/>
  </r>
  <r>
    <x v="0"/>
    <n v="1185732"/>
    <x v="237"/>
    <x v="0"/>
    <s v="Delaware"/>
    <s v="Wilmington"/>
    <x v="0"/>
    <n v="40"/>
    <n v="525"/>
    <n v="210000"/>
    <n v="73500"/>
    <n v="0.35"/>
    <x v="0"/>
  </r>
  <r>
    <x v="0"/>
    <n v="1185732"/>
    <x v="237"/>
    <x v="0"/>
    <s v="Delaware"/>
    <s v="Wilmington"/>
    <x v="1"/>
    <n v="40"/>
    <n v="225"/>
    <n v="90000"/>
    <n v="31499.999999999996"/>
    <n v="0.35"/>
    <x v="0"/>
  </r>
  <r>
    <x v="0"/>
    <n v="1185732"/>
    <x v="237"/>
    <x v="0"/>
    <s v="Delaware"/>
    <s v="Wilmington"/>
    <x v="2"/>
    <n v="30.000000000000004"/>
    <n v="225"/>
    <n v="67500.000000000015"/>
    <n v="27000.000000000007"/>
    <n v="0.4"/>
    <x v="0"/>
  </r>
  <r>
    <x v="0"/>
    <n v="1185732"/>
    <x v="237"/>
    <x v="0"/>
    <s v="Delaware"/>
    <s v="Wilmington"/>
    <x v="3"/>
    <n v="35"/>
    <n v="150"/>
    <n v="52500"/>
    <n v="21000"/>
    <n v="0.4"/>
    <x v="0"/>
  </r>
  <r>
    <x v="0"/>
    <n v="1185732"/>
    <x v="237"/>
    <x v="0"/>
    <s v="Delaware"/>
    <s v="Wilmington"/>
    <x v="4"/>
    <n v="50"/>
    <n v="150"/>
    <n v="75000"/>
    <n v="22500"/>
    <n v="0.3"/>
    <x v="0"/>
  </r>
  <r>
    <x v="0"/>
    <n v="1185732"/>
    <x v="237"/>
    <x v="0"/>
    <s v="Delaware"/>
    <s v="Wilmington"/>
    <x v="5"/>
    <n v="40"/>
    <n v="300"/>
    <n v="120000"/>
    <n v="48000"/>
    <n v="0.4"/>
    <x v="0"/>
  </r>
  <r>
    <x v="0"/>
    <n v="1185732"/>
    <x v="266"/>
    <x v="0"/>
    <s v="Delaware"/>
    <s v="Wilmington"/>
    <x v="0"/>
    <n v="54.999999999999993"/>
    <n v="570"/>
    <n v="313499.99999999994"/>
    <n v="109724.99999999997"/>
    <n v="0.35"/>
    <x v="0"/>
  </r>
  <r>
    <x v="0"/>
    <n v="1185732"/>
    <x v="266"/>
    <x v="0"/>
    <s v="Delaware"/>
    <s v="Wilmington"/>
    <x v="1"/>
    <n v="50"/>
    <n v="275"/>
    <n v="137500"/>
    <n v="48125"/>
    <n v="0.35"/>
    <x v="0"/>
  </r>
  <r>
    <x v="0"/>
    <n v="1185732"/>
    <x v="266"/>
    <x v="0"/>
    <s v="Delaware"/>
    <s v="Wilmington"/>
    <x v="2"/>
    <n v="45"/>
    <n v="300"/>
    <n v="135000"/>
    <n v="54000"/>
    <n v="0.4"/>
    <x v="0"/>
  </r>
  <r>
    <x v="0"/>
    <n v="1185732"/>
    <x v="266"/>
    <x v="0"/>
    <s v="Delaware"/>
    <s v="Wilmington"/>
    <x v="3"/>
    <n v="45"/>
    <n v="250"/>
    <n v="112500"/>
    <n v="45000"/>
    <n v="0.4"/>
    <x v="0"/>
  </r>
  <r>
    <x v="0"/>
    <n v="1185732"/>
    <x v="266"/>
    <x v="0"/>
    <s v="Delaware"/>
    <s v="Wilmington"/>
    <x v="4"/>
    <n v="54.999999999999993"/>
    <n v="275"/>
    <n v="151249.99999999997"/>
    <n v="45374.999999999993"/>
    <n v="0.3"/>
    <x v="0"/>
  </r>
  <r>
    <x v="0"/>
    <n v="1185732"/>
    <x v="266"/>
    <x v="0"/>
    <s v="Delaware"/>
    <s v="Wilmington"/>
    <x v="5"/>
    <n v="60"/>
    <n v="400"/>
    <n v="240000"/>
    <n v="96000"/>
    <n v="0.4"/>
    <x v="0"/>
  </r>
  <r>
    <x v="0"/>
    <n v="1185732"/>
    <x v="299"/>
    <x v="0"/>
    <s v="Delaware"/>
    <s v="Wilmington"/>
    <x v="0"/>
    <n v="54.999999999999993"/>
    <n v="650"/>
    <n v="357499.99999999994"/>
    <n v="125124.99999999997"/>
    <n v="0.35"/>
    <x v="0"/>
  </r>
  <r>
    <x v="0"/>
    <n v="1185732"/>
    <x v="299"/>
    <x v="0"/>
    <s v="Delaware"/>
    <s v="Wilmington"/>
    <x v="1"/>
    <n v="50"/>
    <n v="400"/>
    <n v="200000"/>
    <n v="70000"/>
    <n v="0.35"/>
    <x v="0"/>
  </r>
  <r>
    <x v="0"/>
    <n v="1185732"/>
    <x v="299"/>
    <x v="0"/>
    <s v="Delaware"/>
    <s v="Wilmington"/>
    <x v="2"/>
    <n v="45"/>
    <n v="325"/>
    <n v="146250"/>
    <n v="58500"/>
    <n v="0.4"/>
    <x v="0"/>
  </r>
  <r>
    <x v="0"/>
    <n v="1185732"/>
    <x v="299"/>
    <x v="0"/>
    <s v="Delaware"/>
    <s v="Wilmington"/>
    <x v="3"/>
    <n v="45"/>
    <n v="300"/>
    <n v="135000"/>
    <n v="54000"/>
    <n v="0.4"/>
    <x v="0"/>
  </r>
  <r>
    <x v="0"/>
    <n v="1185732"/>
    <x v="299"/>
    <x v="0"/>
    <s v="Delaware"/>
    <s v="Wilmington"/>
    <x v="4"/>
    <n v="54.999999999999993"/>
    <n v="300"/>
    <n v="164999.99999999997"/>
    <n v="49499.999999999993"/>
    <n v="0.3"/>
    <x v="0"/>
  </r>
  <r>
    <x v="0"/>
    <n v="1185732"/>
    <x v="299"/>
    <x v="0"/>
    <s v="Delaware"/>
    <s v="Wilmington"/>
    <x v="5"/>
    <n v="60"/>
    <n v="450"/>
    <n v="270000"/>
    <n v="108000"/>
    <n v="0.4"/>
    <x v="0"/>
  </r>
  <r>
    <x v="0"/>
    <n v="1185732"/>
    <x v="327"/>
    <x v="0"/>
    <s v="Delaware"/>
    <s v="Wilmington"/>
    <x v="0"/>
    <n v="54.999999999999993"/>
    <n v="675"/>
    <n v="371249.99999999994"/>
    <n v="129937.49999999997"/>
    <n v="0.35"/>
    <x v="0"/>
  </r>
  <r>
    <x v="0"/>
    <n v="1185732"/>
    <x v="327"/>
    <x v="0"/>
    <s v="Delaware"/>
    <s v="Wilmington"/>
    <x v="1"/>
    <n v="50"/>
    <n v="425"/>
    <n v="212500"/>
    <n v="74375"/>
    <n v="0.35"/>
    <x v="0"/>
  </r>
  <r>
    <x v="0"/>
    <n v="1185732"/>
    <x v="327"/>
    <x v="0"/>
    <s v="Delaware"/>
    <s v="Wilmington"/>
    <x v="2"/>
    <n v="45"/>
    <n v="350"/>
    <n v="157500"/>
    <n v="63000"/>
    <n v="0.4"/>
    <x v="0"/>
  </r>
  <r>
    <x v="0"/>
    <n v="1185732"/>
    <x v="327"/>
    <x v="0"/>
    <s v="Delaware"/>
    <s v="Wilmington"/>
    <x v="3"/>
    <n v="45"/>
    <n v="300"/>
    <n v="135000"/>
    <n v="54000"/>
    <n v="0.4"/>
    <x v="0"/>
  </r>
  <r>
    <x v="0"/>
    <n v="1185732"/>
    <x v="327"/>
    <x v="0"/>
    <s v="Delaware"/>
    <s v="Wilmington"/>
    <x v="4"/>
    <n v="54.999999999999993"/>
    <n v="325"/>
    <n v="178749.99999999997"/>
    <n v="53624.999999999993"/>
    <n v="0.3"/>
    <x v="0"/>
  </r>
  <r>
    <x v="0"/>
    <n v="1185732"/>
    <x v="327"/>
    <x v="0"/>
    <s v="Delaware"/>
    <s v="Wilmington"/>
    <x v="5"/>
    <n v="60"/>
    <n v="500"/>
    <n v="300000"/>
    <n v="120000"/>
    <n v="0.4"/>
    <x v="0"/>
  </r>
  <r>
    <x v="0"/>
    <n v="1185732"/>
    <x v="359"/>
    <x v="0"/>
    <s v="Delaware"/>
    <s v="Wilmington"/>
    <x v="0"/>
    <n v="54.999999999999993"/>
    <n v="650"/>
    <n v="357499.99999999994"/>
    <n v="125124.99999999997"/>
    <n v="0.35"/>
    <x v="0"/>
  </r>
  <r>
    <x v="0"/>
    <n v="1185732"/>
    <x v="359"/>
    <x v="0"/>
    <s v="Delaware"/>
    <s v="Wilmington"/>
    <x v="1"/>
    <n v="50"/>
    <n v="425"/>
    <n v="212500"/>
    <n v="74375"/>
    <n v="0.35"/>
    <x v="0"/>
  </r>
  <r>
    <x v="0"/>
    <n v="1185732"/>
    <x v="359"/>
    <x v="0"/>
    <s v="Delaware"/>
    <s v="Wilmington"/>
    <x v="2"/>
    <n v="45"/>
    <n v="350"/>
    <n v="157500"/>
    <n v="63000"/>
    <n v="0.4"/>
    <x v="0"/>
  </r>
  <r>
    <x v="0"/>
    <n v="1185732"/>
    <x v="359"/>
    <x v="0"/>
    <s v="Delaware"/>
    <s v="Wilmington"/>
    <x v="3"/>
    <n v="45"/>
    <n v="250"/>
    <n v="112500"/>
    <n v="45000"/>
    <n v="0.4"/>
    <x v="0"/>
  </r>
  <r>
    <x v="0"/>
    <n v="1185732"/>
    <x v="359"/>
    <x v="0"/>
    <s v="Delaware"/>
    <s v="Wilmington"/>
    <x v="4"/>
    <n v="54.999999999999993"/>
    <n v="225"/>
    <n v="123749.99999999999"/>
    <n v="37124.999999999993"/>
    <n v="0.3"/>
    <x v="0"/>
  </r>
  <r>
    <x v="0"/>
    <n v="1185732"/>
    <x v="359"/>
    <x v="0"/>
    <s v="Delaware"/>
    <s v="Wilmington"/>
    <x v="5"/>
    <n v="60"/>
    <n v="400"/>
    <n v="240000"/>
    <n v="96000"/>
    <n v="0.4"/>
    <x v="0"/>
  </r>
  <r>
    <x v="0"/>
    <n v="1185732"/>
    <x v="389"/>
    <x v="0"/>
    <s v="Delaware"/>
    <s v="Wilmington"/>
    <x v="0"/>
    <n v="54.999999999999993"/>
    <n v="525"/>
    <n v="288749.99999999994"/>
    <n v="101062.49999999997"/>
    <n v="0.35"/>
    <x v="0"/>
  </r>
  <r>
    <x v="0"/>
    <n v="1185732"/>
    <x v="389"/>
    <x v="0"/>
    <s v="Delaware"/>
    <s v="Wilmington"/>
    <x v="1"/>
    <n v="50"/>
    <n v="325"/>
    <n v="162500"/>
    <n v="56875"/>
    <n v="0.35"/>
    <x v="0"/>
  </r>
  <r>
    <x v="0"/>
    <n v="1185732"/>
    <x v="389"/>
    <x v="0"/>
    <s v="Delaware"/>
    <s v="Wilmington"/>
    <x v="2"/>
    <n v="45"/>
    <n v="225"/>
    <n v="101250"/>
    <n v="40500"/>
    <n v="0.4"/>
    <x v="0"/>
  </r>
  <r>
    <x v="0"/>
    <n v="1185732"/>
    <x v="389"/>
    <x v="0"/>
    <s v="Delaware"/>
    <s v="Wilmington"/>
    <x v="3"/>
    <n v="45"/>
    <n v="200"/>
    <n v="90000"/>
    <n v="36000"/>
    <n v="0.4"/>
    <x v="0"/>
  </r>
  <r>
    <x v="0"/>
    <n v="1185732"/>
    <x v="389"/>
    <x v="0"/>
    <s v="Delaware"/>
    <s v="Wilmington"/>
    <x v="4"/>
    <n v="54.999999999999993"/>
    <n v="200"/>
    <n v="109999.99999999999"/>
    <n v="32999.999999999993"/>
    <n v="0.3"/>
    <x v="0"/>
  </r>
  <r>
    <x v="0"/>
    <n v="1185732"/>
    <x v="389"/>
    <x v="0"/>
    <s v="Delaware"/>
    <s v="Wilmington"/>
    <x v="5"/>
    <n v="60"/>
    <n v="300"/>
    <n v="180000"/>
    <n v="72000"/>
    <n v="0.4"/>
    <x v="0"/>
  </r>
  <r>
    <x v="0"/>
    <n v="1185732"/>
    <x v="421"/>
    <x v="0"/>
    <s v="Delaware"/>
    <s v="Wilmington"/>
    <x v="0"/>
    <n v="60"/>
    <n v="475"/>
    <n v="285000"/>
    <n v="99750"/>
    <n v="0.35"/>
    <x v="0"/>
  </r>
  <r>
    <x v="0"/>
    <n v="1185732"/>
    <x v="421"/>
    <x v="0"/>
    <s v="Delaware"/>
    <s v="Wilmington"/>
    <x v="1"/>
    <n v="55.000000000000007"/>
    <n v="300"/>
    <n v="165000.00000000003"/>
    <n v="57750.000000000007"/>
    <n v="0.35"/>
    <x v="0"/>
  </r>
  <r>
    <x v="0"/>
    <n v="1185732"/>
    <x v="421"/>
    <x v="0"/>
    <s v="Delaware"/>
    <s v="Wilmington"/>
    <x v="2"/>
    <n v="55.000000000000007"/>
    <n v="200"/>
    <n v="110000.00000000001"/>
    <n v="44000.000000000007"/>
    <n v="0.4"/>
    <x v="0"/>
  </r>
  <r>
    <x v="0"/>
    <n v="1185732"/>
    <x v="421"/>
    <x v="0"/>
    <s v="Delaware"/>
    <s v="Wilmington"/>
    <x v="3"/>
    <n v="55.000000000000007"/>
    <n v="175"/>
    <n v="96250.000000000015"/>
    <n v="38500.000000000007"/>
    <n v="0.4"/>
    <x v="0"/>
  </r>
  <r>
    <x v="0"/>
    <n v="1185732"/>
    <x v="421"/>
    <x v="0"/>
    <s v="Delaware"/>
    <s v="Wilmington"/>
    <x v="4"/>
    <n v="65"/>
    <n v="175"/>
    <n v="113750"/>
    <n v="34125"/>
    <n v="0.3"/>
    <x v="0"/>
  </r>
  <r>
    <x v="4"/>
    <n v="1185732"/>
    <x v="421"/>
    <x v="0"/>
    <s v="Delaware"/>
    <s v="Wilmington"/>
    <x v="5"/>
    <n v="70"/>
    <n v="300"/>
    <n v="210000"/>
    <n v="84000"/>
    <n v="0.4"/>
    <x v="0"/>
  </r>
  <r>
    <x v="4"/>
    <n v="1185732"/>
    <x v="451"/>
    <x v="0"/>
    <s v="Delaware"/>
    <s v="Wilmington"/>
    <x v="0"/>
    <n v="65"/>
    <n v="450"/>
    <n v="292500"/>
    <n v="102375"/>
    <n v="0.35"/>
    <x v="0"/>
  </r>
  <r>
    <x v="4"/>
    <n v="1185732"/>
    <x v="451"/>
    <x v="0"/>
    <s v="Delaware"/>
    <s v="Wilmington"/>
    <x v="1"/>
    <n v="55.000000000000007"/>
    <n v="325"/>
    <n v="178750.00000000003"/>
    <n v="62562.500000000007"/>
    <n v="0.35"/>
    <x v="0"/>
  </r>
  <r>
    <x v="4"/>
    <n v="1185732"/>
    <x v="451"/>
    <x v="0"/>
    <s v="Delaware"/>
    <s v="Wilmington"/>
    <x v="2"/>
    <n v="55.000000000000007"/>
    <n v="320"/>
    <n v="176000.00000000003"/>
    <n v="70400.000000000015"/>
    <n v="0.4"/>
    <x v="0"/>
  </r>
  <r>
    <x v="4"/>
    <n v="1185732"/>
    <x v="451"/>
    <x v="0"/>
    <s v="Delaware"/>
    <s v="Wilmington"/>
    <x v="3"/>
    <n v="55.000000000000007"/>
    <n v="300"/>
    <n v="165000.00000000003"/>
    <n v="66000.000000000015"/>
    <n v="0.4"/>
    <x v="0"/>
  </r>
  <r>
    <x v="4"/>
    <n v="1185732"/>
    <x v="451"/>
    <x v="0"/>
    <s v="Delaware"/>
    <s v="Wilmington"/>
    <x v="4"/>
    <n v="65"/>
    <n v="275"/>
    <n v="178750"/>
    <n v="53625"/>
    <n v="0.3"/>
    <x v="0"/>
  </r>
  <r>
    <x v="4"/>
    <n v="1185732"/>
    <x v="451"/>
    <x v="0"/>
    <s v="Delaware"/>
    <s v="Wilmington"/>
    <x v="5"/>
    <n v="70"/>
    <n v="375"/>
    <n v="262500"/>
    <n v="105000"/>
    <n v="0.4"/>
    <x v="0"/>
  </r>
  <r>
    <x v="4"/>
    <n v="1185732"/>
    <x v="480"/>
    <x v="0"/>
    <s v="Delaware"/>
    <s v="Wilmington"/>
    <x v="0"/>
    <n v="65"/>
    <n v="600"/>
    <n v="390000"/>
    <n v="136500"/>
    <n v="0.35"/>
    <x v="0"/>
  </r>
  <r>
    <x v="4"/>
    <n v="1185732"/>
    <x v="480"/>
    <x v="0"/>
    <s v="Delaware"/>
    <s v="Wilmington"/>
    <x v="1"/>
    <n v="55.000000000000007"/>
    <n v="400"/>
    <n v="220000.00000000003"/>
    <n v="77000"/>
    <n v="0.35"/>
    <x v="0"/>
  </r>
  <r>
    <x v="4"/>
    <n v="1185732"/>
    <x v="480"/>
    <x v="0"/>
    <s v="Delaware"/>
    <s v="Wilmington"/>
    <x v="2"/>
    <n v="55.000000000000007"/>
    <n v="375"/>
    <n v="206250.00000000003"/>
    <n v="82500.000000000015"/>
    <n v="0.4"/>
    <x v="0"/>
  </r>
  <r>
    <x v="4"/>
    <n v="1185732"/>
    <x v="480"/>
    <x v="0"/>
    <s v="Delaware"/>
    <s v="Wilmington"/>
    <x v="3"/>
    <n v="55.000000000000007"/>
    <n v="325"/>
    <n v="178750.00000000003"/>
    <n v="71500.000000000015"/>
    <n v="0.4"/>
    <x v="0"/>
  </r>
  <r>
    <x v="4"/>
    <n v="1185732"/>
    <x v="480"/>
    <x v="0"/>
    <s v="Delaware"/>
    <s v="Wilmington"/>
    <x v="4"/>
    <n v="65"/>
    <n v="325"/>
    <n v="211250"/>
    <n v="63375"/>
    <n v="0.3"/>
    <x v="0"/>
  </r>
  <r>
    <x v="4"/>
    <n v="1185732"/>
    <x v="480"/>
    <x v="0"/>
    <s v="Delaware"/>
    <s v="Wilmington"/>
    <x v="5"/>
    <n v="70"/>
    <n v="425"/>
    <n v="297500"/>
    <n v="119000"/>
    <n v="0.4"/>
    <x v="0"/>
  </r>
  <r>
    <x v="4"/>
    <n v="1185732"/>
    <x v="174"/>
    <x v="0"/>
    <s v="Delaware"/>
    <s v="Wilmington"/>
    <x v="0"/>
    <n v="35"/>
    <n v="475"/>
    <n v="166250"/>
    <n v="58187.499999999993"/>
    <n v="0.35"/>
    <x v="0"/>
  </r>
  <r>
    <x v="4"/>
    <n v="1185732"/>
    <x v="174"/>
    <x v="0"/>
    <s v="Delaware"/>
    <s v="Wilmington"/>
    <x v="1"/>
    <n v="35"/>
    <n v="275"/>
    <n v="96250"/>
    <n v="33687.5"/>
    <n v="0.35"/>
    <x v="0"/>
  </r>
  <r>
    <x v="4"/>
    <n v="1185732"/>
    <x v="174"/>
    <x v="0"/>
    <s v="Delaware"/>
    <s v="Wilmington"/>
    <x v="2"/>
    <n v="25.000000000000007"/>
    <n v="275"/>
    <n v="68750.000000000015"/>
    <n v="27500.000000000007"/>
    <n v="0.4"/>
    <x v="0"/>
  </r>
  <r>
    <x v="4"/>
    <n v="1185732"/>
    <x v="174"/>
    <x v="0"/>
    <s v="Delaware"/>
    <s v="Wilmington"/>
    <x v="3"/>
    <n v="30"/>
    <n v="125"/>
    <n v="37500"/>
    <n v="15000"/>
    <n v="0.4"/>
    <x v="0"/>
  </r>
  <r>
    <x v="4"/>
    <n v="1185732"/>
    <x v="174"/>
    <x v="0"/>
    <s v="Delaware"/>
    <s v="Wilmington"/>
    <x v="4"/>
    <n v="45"/>
    <n v="175"/>
    <n v="78750"/>
    <n v="23625"/>
    <n v="0.3"/>
    <x v="0"/>
  </r>
  <r>
    <x v="4"/>
    <n v="1185732"/>
    <x v="174"/>
    <x v="0"/>
    <s v="Delaware"/>
    <s v="Wilmington"/>
    <x v="5"/>
    <n v="35"/>
    <n v="275"/>
    <n v="96250"/>
    <n v="38500"/>
    <n v="0.4"/>
    <x v="0"/>
  </r>
  <r>
    <x v="4"/>
    <n v="1185732"/>
    <x v="203"/>
    <x v="0"/>
    <s v="Delaware"/>
    <s v="Wilmington"/>
    <x v="0"/>
    <n v="35"/>
    <n v="525"/>
    <n v="183750"/>
    <n v="64312.499999999993"/>
    <n v="0.35"/>
    <x v="0"/>
  </r>
  <r>
    <x v="4"/>
    <n v="1185732"/>
    <x v="203"/>
    <x v="0"/>
    <s v="Delaware"/>
    <s v="Wilmington"/>
    <x v="1"/>
    <n v="35"/>
    <n v="175"/>
    <n v="61250"/>
    <n v="21437.5"/>
    <n v="0.35"/>
    <x v="0"/>
  </r>
  <r>
    <x v="4"/>
    <n v="1185732"/>
    <x v="203"/>
    <x v="0"/>
    <s v="Delaware"/>
    <s v="Wilmington"/>
    <x v="2"/>
    <n v="25.000000000000007"/>
    <n v="225"/>
    <n v="56250.000000000015"/>
    <n v="22500.000000000007"/>
    <n v="0.4"/>
    <x v="0"/>
  </r>
  <r>
    <x v="4"/>
    <n v="1185732"/>
    <x v="203"/>
    <x v="0"/>
    <s v="New Jersey"/>
    <s v="Newark"/>
    <x v="3"/>
    <n v="30"/>
    <n v="100"/>
    <n v="30000"/>
    <n v="12000"/>
    <n v="0.4"/>
    <x v="0"/>
  </r>
  <r>
    <x v="4"/>
    <n v="1185732"/>
    <x v="203"/>
    <x v="0"/>
    <s v="New Jersey"/>
    <s v="Newark"/>
    <x v="4"/>
    <n v="45"/>
    <n v="175"/>
    <n v="78750"/>
    <n v="23625"/>
    <n v="0.3"/>
    <x v="0"/>
  </r>
  <r>
    <x v="4"/>
    <n v="1185732"/>
    <x v="203"/>
    <x v="0"/>
    <s v="New Jersey"/>
    <s v="Newark"/>
    <x v="5"/>
    <n v="35"/>
    <n v="275"/>
    <n v="96250"/>
    <n v="38500"/>
    <n v="0.4"/>
    <x v="0"/>
  </r>
  <r>
    <x v="4"/>
    <n v="1185732"/>
    <x v="708"/>
    <x v="0"/>
    <s v="New Jersey"/>
    <s v="Newark"/>
    <x v="0"/>
    <n v="35"/>
    <n v="495"/>
    <n v="173250"/>
    <n v="60637.499999999993"/>
    <n v="0.35"/>
    <x v="0"/>
  </r>
  <r>
    <x v="4"/>
    <n v="1185732"/>
    <x v="708"/>
    <x v="0"/>
    <s v="New Jersey"/>
    <s v="Newark"/>
    <x v="1"/>
    <n v="35"/>
    <n v="200"/>
    <n v="70000"/>
    <n v="24500"/>
    <n v="0.35"/>
    <x v="0"/>
  </r>
  <r>
    <x v="4"/>
    <n v="1185732"/>
    <x v="708"/>
    <x v="0"/>
    <s v="New Jersey"/>
    <s v="Newark"/>
    <x v="2"/>
    <n v="25.000000000000007"/>
    <n v="225"/>
    <n v="56250.000000000015"/>
    <n v="22500.000000000007"/>
    <n v="0.4"/>
    <x v="0"/>
  </r>
  <r>
    <x v="4"/>
    <n v="1185732"/>
    <x v="708"/>
    <x v="0"/>
    <s v="New Jersey"/>
    <s v="Newark"/>
    <x v="3"/>
    <n v="30"/>
    <n v="75"/>
    <n v="22500"/>
    <n v="9000"/>
    <n v="0.4"/>
    <x v="0"/>
  </r>
  <r>
    <x v="4"/>
    <n v="1185732"/>
    <x v="708"/>
    <x v="0"/>
    <s v="New Jersey"/>
    <s v="Newark"/>
    <x v="4"/>
    <n v="45"/>
    <n v="125"/>
    <n v="56250"/>
    <n v="16875"/>
    <n v="0.3"/>
    <x v="0"/>
  </r>
  <r>
    <x v="4"/>
    <n v="1185732"/>
    <x v="708"/>
    <x v="0"/>
    <s v="New Jersey"/>
    <s v="Newark"/>
    <x v="5"/>
    <n v="35"/>
    <n v="225"/>
    <n v="78750"/>
    <n v="31500"/>
    <n v="0.4"/>
    <x v="0"/>
  </r>
  <r>
    <x v="4"/>
    <n v="1185732"/>
    <x v="230"/>
    <x v="0"/>
    <s v="New Jersey"/>
    <s v="Newark"/>
    <x v="0"/>
    <n v="35"/>
    <n v="475"/>
    <n v="166250"/>
    <n v="58187.499999999993"/>
    <n v="0.35"/>
    <x v="0"/>
  </r>
  <r>
    <x v="4"/>
    <n v="1185732"/>
    <x v="230"/>
    <x v="0"/>
    <s v="New Jersey"/>
    <s v="Newark"/>
    <x v="1"/>
    <n v="35"/>
    <n v="175"/>
    <n v="61250"/>
    <n v="21437.5"/>
    <n v="0.35"/>
    <x v="0"/>
  </r>
  <r>
    <x v="4"/>
    <n v="1185732"/>
    <x v="230"/>
    <x v="0"/>
    <s v="New Jersey"/>
    <s v="Newark"/>
    <x v="2"/>
    <n v="25.000000000000007"/>
    <n v="175"/>
    <n v="43750.000000000015"/>
    <n v="17500.000000000007"/>
    <n v="0.4"/>
    <x v="0"/>
  </r>
  <r>
    <x v="4"/>
    <n v="1185732"/>
    <x v="230"/>
    <x v="0"/>
    <s v="New Jersey"/>
    <s v="Newark"/>
    <x v="3"/>
    <n v="30"/>
    <n v="100"/>
    <n v="30000"/>
    <n v="12000"/>
    <n v="0.4"/>
    <x v="0"/>
  </r>
  <r>
    <x v="4"/>
    <n v="1185732"/>
    <x v="230"/>
    <x v="0"/>
    <s v="New Jersey"/>
    <s v="Newark"/>
    <x v="4"/>
    <n v="45"/>
    <n v="100"/>
    <n v="45000"/>
    <n v="13500"/>
    <n v="0.3"/>
    <x v="0"/>
  </r>
  <r>
    <x v="4"/>
    <n v="1185732"/>
    <x v="230"/>
    <x v="0"/>
    <s v="New Jersey"/>
    <s v="Newark"/>
    <x v="5"/>
    <n v="35"/>
    <n v="250"/>
    <n v="87500"/>
    <n v="35000"/>
    <n v="0.4"/>
    <x v="0"/>
  </r>
  <r>
    <x v="4"/>
    <n v="1185732"/>
    <x v="259"/>
    <x v="0"/>
    <s v="New Jersey"/>
    <s v="Newark"/>
    <x v="0"/>
    <n v="49.999999999999993"/>
    <n v="520"/>
    <n v="259999.99999999997"/>
    <n v="90999.999999999985"/>
    <n v="0.35"/>
    <x v="0"/>
  </r>
  <r>
    <x v="4"/>
    <n v="1185732"/>
    <x v="259"/>
    <x v="0"/>
    <s v="New Jersey"/>
    <s v="Newark"/>
    <x v="1"/>
    <n v="45"/>
    <n v="225"/>
    <n v="101250"/>
    <n v="35437.5"/>
    <n v="0.35"/>
    <x v="0"/>
  </r>
  <r>
    <x v="4"/>
    <n v="1185732"/>
    <x v="259"/>
    <x v="0"/>
    <s v="New Jersey"/>
    <s v="Newark"/>
    <x v="2"/>
    <n v="40"/>
    <n v="250"/>
    <n v="100000"/>
    <n v="40000"/>
    <n v="0.4"/>
    <x v="0"/>
  </r>
  <r>
    <x v="4"/>
    <n v="1185732"/>
    <x v="259"/>
    <x v="0"/>
    <s v="New Jersey"/>
    <s v="Newark"/>
    <x v="3"/>
    <n v="40"/>
    <n v="200"/>
    <n v="80000"/>
    <n v="32000"/>
    <n v="0.4"/>
    <x v="0"/>
  </r>
  <r>
    <x v="4"/>
    <n v="1185732"/>
    <x v="259"/>
    <x v="0"/>
    <s v="New Jersey"/>
    <s v="Newark"/>
    <x v="4"/>
    <n v="49.999999999999993"/>
    <n v="225"/>
    <n v="112499.99999999999"/>
    <n v="33749.999999999993"/>
    <n v="0.3"/>
    <x v="0"/>
  </r>
  <r>
    <x v="4"/>
    <n v="1185732"/>
    <x v="259"/>
    <x v="0"/>
    <s v="New Jersey"/>
    <s v="Newark"/>
    <x v="5"/>
    <n v="54.999999999999993"/>
    <n v="350"/>
    <n v="192499.99999999997"/>
    <n v="76999.999999999985"/>
    <n v="0.4"/>
    <x v="0"/>
  </r>
  <r>
    <x v="4"/>
    <n v="1185732"/>
    <x v="292"/>
    <x v="0"/>
    <s v="New Jersey"/>
    <s v="Newark"/>
    <x v="0"/>
    <n v="49.999999999999993"/>
    <n v="600"/>
    <n v="299999.99999999994"/>
    <n v="104999.99999999997"/>
    <n v="0.35"/>
    <x v="0"/>
  </r>
  <r>
    <x v="4"/>
    <n v="1185732"/>
    <x v="292"/>
    <x v="0"/>
    <s v="New Jersey"/>
    <s v="Newark"/>
    <x v="1"/>
    <n v="45"/>
    <n v="350"/>
    <n v="157500"/>
    <n v="55125"/>
    <n v="0.35"/>
    <x v="0"/>
  </r>
  <r>
    <x v="4"/>
    <n v="1185732"/>
    <x v="292"/>
    <x v="0"/>
    <s v="New Jersey"/>
    <s v="Newark"/>
    <x v="2"/>
    <n v="40"/>
    <n v="275"/>
    <n v="110000"/>
    <n v="44000"/>
    <n v="0.4"/>
    <x v="0"/>
  </r>
  <r>
    <x v="4"/>
    <n v="1185732"/>
    <x v="292"/>
    <x v="0"/>
    <s v="New Jersey"/>
    <s v="Newark"/>
    <x v="3"/>
    <n v="40"/>
    <n v="250"/>
    <n v="100000"/>
    <n v="40000"/>
    <n v="0.4"/>
    <x v="0"/>
  </r>
  <r>
    <x v="4"/>
    <n v="1185732"/>
    <x v="292"/>
    <x v="0"/>
    <s v="New Jersey"/>
    <s v="Newark"/>
    <x v="4"/>
    <n v="49.999999999999993"/>
    <n v="250"/>
    <n v="124999.99999999999"/>
    <n v="37499.999999999993"/>
    <n v="0.3"/>
    <x v="0"/>
  </r>
  <r>
    <x v="4"/>
    <n v="1185732"/>
    <x v="292"/>
    <x v="0"/>
    <s v="New Jersey"/>
    <s v="Newark"/>
    <x v="5"/>
    <n v="54.999999999999993"/>
    <n v="400"/>
    <n v="219999.99999999997"/>
    <n v="88000"/>
    <n v="0.4"/>
    <x v="0"/>
  </r>
  <r>
    <x v="4"/>
    <n v="1185732"/>
    <x v="320"/>
    <x v="0"/>
    <s v="New Jersey"/>
    <s v="Newark"/>
    <x v="0"/>
    <n v="49.999999999999993"/>
    <n v="625"/>
    <n v="312499.99999999994"/>
    <n v="109374.99999999997"/>
    <n v="0.35"/>
    <x v="0"/>
  </r>
  <r>
    <x v="4"/>
    <n v="1185732"/>
    <x v="320"/>
    <x v="0"/>
    <s v="New Jersey"/>
    <s v="Newark"/>
    <x v="1"/>
    <n v="45"/>
    <n v="375"/>
    <n v="168750"/>
    <n v="59062.499999999993"/>
    <n v="0.35"/>
    <x v="0"/>
  </r>
  <r>
    <x v="4"/>
    <n v="1185732"/>
    <x v="320"/>
    <x v="0"/>
    <s v="New Jersey"/>
    <s v="Newark"/>
    <x v="2"/>
    <n v="40"/>
    <n v="300"/>
    <n v="120000"/>
    <n v="48000"/>
    <n v="0.4"/>
    <x v="0"/>
  </r>
  <r>
    <x v="4"/>
    <n v="1185732"/>
    <x v="320"/>
    <x v="0"/>
    <s v="New Jersey"/>
    <s v="Newark"/>
    <x v="3"/>
    <n v="40"/>
    <n v="250"/>
    <n v="100000"/>
    <n v="40000"/>
    <n v="0.4"/>
    <x v="0"/>
  </r>
  <r>
    <x v="4"/>
    <n v="1185732"/>
    <x v="320"/>
    <x v="0"/>
    <s v="New Jersey"/>
    <s v="Newark"/>
    <x v="4"/>
    <n v="49.999999999999993"/>
    <n v="275"/>
    <n v="137499.99999999997"/>
    <n v="41249.999999999993"/>
    <n v="0.3"/>
    <x v="0"/>
  </r>
  <r>
    <x v="4"/>
    <n v="1185732"/>
    <x v="320"/>
    <x v="0"/>
    <s v="New Jersey"/>
    <s v="Newark"/>
    <x v="5"/>
    <n v="54.999999999999993"/>
    <n v="450"/>
    <n v="247499.99999999997"/>
    <n v="99000"/>
    <n v="0.4"/>
    <x v="0"/>
  </r>
  <r>
    <x v="4"/>
    <n v="1185732"/>
    <x v="352"/>
    <x v="0"/>
    <s v="New Jersey"/>
    <s v="Newark"/>
    <x v="0"/>
    <n v="49.999999999999993"/>
    <n v="600"/>
    <n v="299999.99999999994"/>
    <n v="104999.99999999997"/>
    <n v="0.35"/>
    <x v="0"/>
  </r>
  <r>
    <x v="4"/>
    <n v="1185732"/>
    <x v="352"/>
    <x v="0"/>
    <s v="New Jersey"/>
    <s v="Newark"/>
    <x v="1"/>
    <n v="45"/>
    <n v="375"/>
    <n v="168750"/>
    <n v="59062.499999999993"/>
    <n v="0.35"/>
    <x v="0"/>
  </r>
  <r>
    <x v="4"/>
    <n v="1185732"/>
    <x v="352"/>
    <x v="0"/>
    <s v="New Jersey"/>
    <s v="Newark"/>
    <x v="2"/>
    <n v="40"/>
    <n v="300"/>
    <n v="120000"/>
    <n v="48000"/>
    <n v="0.4"/>
    <x v="0"/>
  </r>
  <r>
    <x v="4"/>
    <n v="1185732"/>
    <x v="352"/>
    <x v="0"/>
    <s v="New Jersey"/>
    <s v="Newark"/>
    <x v="3"/>
    <n v="40"/>
    <n v="200"/>
    <n v="80000"/>
    <n v="32000"/>
    <n v="0.4"/>
    <x v="0"/>
  </r>
  <r>
    <x v="4"/>
    <n v="1185732"/>
    <x v="352"/>
    <x v="0"/>
    <s v="New Jersey"/>
    <s v="Newark"/>
    <x v="4"/>
    <n v="49.999999999999993"/>
    <n v="175"/>
    <n v="87499.999999999985"/>
    <n v="26249.999999999996"/>
    <n v="0.3"/>
    <x v="0"/>
  </r>
  <r>
    <x v="4"/>
    <n v="1185732"/>
    <x v="352"/>
    <x v="0"/>
    <s v="New Jersey"/>
    <s v="Newark"/>
    <x v="5"/>
    <n v="54.999999999999993"/>
    <n v="350"/>
    <n v="192499.99999999997"/>
    <n v="76999.999999999985"/>
    <n v="0.4"/>
    <x v="0"/>
  </r>
  <r>
    <x v="4"/>
    <n v="1185732"/>
    <x v="382"/>
    <x v="0"/>
    <s v="New Jersey"/>
    <s v="Newark"/>
    <x v="0"/>
    <n v="49.999999999999993"/>
    <n v="475"/>
    <n v="237499.99999999997"/>
    <n v="83124.999999999985"/>
    <n v="0.35"/>
    <x v="0"/>
  </r>
  <r>
    <x v="4"/>
    <n v="1185732"/>
    <x v="382"/>
    <x v="0"/>
    <s v="New Jersey"/>
    <s v="Newark"/>
    <x v="1"/>
    <n v="45"/>
    <n v="275"/>
    <n v="123750"/>
    <n v="43312.5"/>
    <n v="0.35"/>
    <x v="0"/>
  </r>
  <r>
    <x v="4"/>
    <n v="1185732"/>
    <x v="382"/>
    <x v="0"/>
    <s v="New Jersey"/>
    <s v="Newark"/>
    <x v="2"/>
    <n v="40"/>
    <n v="175"/>
    <n v="70000"/>
    <n v="28000"/>
    <n v="0.4"/>
    <x v="0"/>
  </r>
  <r>
    <x v="4"/>
    <n v="1185732"/>
    <x v="382"/>
    <x v="0"/>
    <s v="New Jersey"/>
    <s v="Newark"/>
    <x v="3"/>
    <n v="40"/>
    <n v="150"/>
    <n v="60000"/>
    <n v="24000"/>
    <n v="0.4"/>
    <x v="0"/>
  </r>
  <r>
    <x v="4"/>
    <n v="1185732"/>
    <x v="382"/>
    <x v="0"/>
    <s v="New Jersey"/>
    <s v="Newark"/>
    <x v="4"/>
    <n v="49.999999999999993"/>
    <n v="150"/>
    <n v="74999.999999999985"/>
    <n v="22499.999999999996"/>
    <n v="0.3"/>
    <x v="0"/>
  </r>
  <r>
    <x v="4"/>
    <n v="1185732"/>
    <x v="382"/>
    <x v="0"/>
    <s v="New Jersey"/>
    <s v="Newark"/>
    <x v="5"/>
    <n v="54.999999999999993"/>
    <n v="250"/>
    <n v="137499.99999999997"/>
    <n v="54999.999999999993"/>
    <n v="0.4"/>
    <x v="0"/>
  </r>
  <r>
    <x v="4"/>
    <n v="1185732"/>
    <x v="414"/>
    <x v="0"/>
    <s v="New Jersey"/>
    <s v="Newark"/>
    <x v="0"/>
    <n v="54.999999999999993"/>
    <n v="425"/>
    <n v="233749.99999999997"/>
    <n v="81812.499999999985"/>
    <n v="0.35"/>
    <x v="0"/>
  </r>
  <r>
    <x v="4"/>
    <n v="1185732"/>
    <x v="414"/>
    <x v="0"/>
    <s v="New Jersey"/>
    <s v="Newark"/>
    <x v="1"/>
    <n v="50"/>
    <n v="250"/>
    <n v="125000"/>
    <n v="43750"/>
    <n v="0.35"/>
    <x v="0"/>
  </r>
  <r>
    <x v="4"/>
    <n v="1185732"/>
    <x v="414"/>
    <x v="0"/>
    <s v="New Jersey"/>
    <s v="Newark"/>
    <x v="2"/>
    <n v="50"/>
    <n v="150"/>
    <n v="75000"/>
    <n v="30000"/>
    <n v="0.4"/>
    <x v="0"/>
  </r>
  <r>
    <x v="4"/>
    <n v="1185732"/>
    <x v="414"/>
    <x v="0"/>
    <s v="New Jersey"/>
    <s v="Newark"/>
    <x v="3"/>
    <n v="50"/>
    <n v="125"/>
    <n v="62500"/>
    <n v="25000"/>
    <n v="0.4"/>
    <x v="0"/>
  </r>
  <r>
    <x v="4"/>
    <n v="1185732"/>
    <x v="414"/>
    <x v="0"/>
    <s v="New Jersey"/>
    <s v="Newark"/>
    <x v="4"/>
    <n v="60"/>
    <n v="125"/>
    <n v="75000"/>
    <n v="22500"/>
    <n v="0.3"/>
    <x v="0"/>
  </r>
  <r>
    <x v="2"/>
    <n v="1185732"/>
    <x v="414"/>
    <x v="0"/>
    <s v="New Jersey"/>
    <s v="Newark"/>
    <x v="5"/>
    <n v="64.999999999999986"/>
    <n v="250"/>
    <n v="162499.99999999997"/>
    <n v="64999.999999999993"/>
    <n v="0.4"/>
    <x v="0"/>
  </r>
  <r>
    <x v="2"/>
    <n v="1185732"/>
    <x v="444"/>
    <x v="0"/>
    <s v="New Jersey"/>
    <s v="Newark"/>
    <x v="0"/>
    <n v="60"/>
    <n v="400"/>
    <n v="240000"/>
    <n v="84000"/>
    <n v="0.35"/>
    <x v="0"/>
  </r>
  <r>
    <x v="2"/>
    <n v="1185732"/>
    <x v="444"/>
    <x v="0"/>
    <s v="New Jersey"/>
    <s v="Newark"/>
    <x v="1"/>
    <n v="50"/>
    <n v="275"/>
    <n v="137500"/>
    <n v="48125"/>
    <n v="0.35"/>
    <x v="0"/>
  </r>
  <r>
    <x v="2"/>
    <n v="1185732"/>
    <x v="444"/>
    <x v="0"/>
    <s v="New Jersey"/>
    <s v="Newark"/>
    <x v="2"/>
    <n v="50"/>
    <n v="270"/>
    <n v="135000"/>
    <n v="54000"/>
    <n v="0.4"/>
    <x v="0"/>
  </r>
  <r>
    <x v="2"/>
    <n v="1185732"/>
    <x v="444"/>
    <x v="0"/>
    <s v="New Jersey"/>
    <s v="Newark"/>
    <x v="3"/>
    <n v="50"/>
    <n v="250"/>
    <n v="125000"/>
    <n v="50000"/>
    <n v="0.4"/>
    <x v="0"/>
  </r>
  <r>
    <x v="2"/>
    <n v="1185732"/>
    <x v="444"/>
    <x v="0"/>
    <s v="New Jersey"/>
    <s v="Newark"/>
    <x v="4"/>
    <n v="60"/>
    <n v="225"/>
    <n v="135000"/>
    <n v="40500"/>
    <n v="0.3"/>
    <x v="0"/>
  </r>
  <r>
    <x v="2"/>
    <n v="1185732"/>
    <x v="444"/>
    <x v="0"/>
    <s v="New Jersey"/>
    <s v="Newark"/>
    <x v="5"/>
    <n v="64.999999999999986"/>
    <n v="325"/>
    <n v="211249.99999999994"/>
    <n v="84499.999999999985"/>
    <n v="0.4"/>
    <x v="0"/>
  </r>
  <r>
    <x v="2"/>
    <n v="1185732"/>
    <x v="473"/>
    <x v="0"/>
    <s v="New Jersey"/>
    <s v="Newark"/>
    <x v="0"/>
    <n v="60"/>
    <n v="550"/>
    <n v="330000"/>
    <n v="115499.99999999999"/>
    <n v="0.35"/>
    <x v="0"/>
  </r>
  <r>
    <x v="2"/>
    <n v="1185732"/>
    <x v="473"/>
    <x v="0"/>
    <s v="New Jersey"/>
    <s v="Newark"/>
    <x v="1"/>
    <n v="50"/>
    <n v="350"/>
    <n v="175000"/>
    <n v="61249.999999999993"/>
    <n v="0.35"/>
    <x v="0"/>
  </r>
  <r>
    <x v="2"/>
    <n v="1185732"/>
    <x v="473"/>
    <x v="0"/>
    <s v="New Jersey"/>
    <s v="Newark"/>
    <x v="2"/>
    <n v="50"/>
    <n v="325"/>
    <n v="162500"/>
    <n v="65000"/>
    <n v="0.4"/>
    <x v="0"/>
  </r>
  <r>
    <x v="2"/>
    <n v="1185732"/>
    <x v="473"/>
    <x v="0"/>
    <s v="New Jersey"/>
    <s v="Newark"/>
    <x v="3"/>
    <n v="50"/>
    <n v="275"/>
    <n v="137500"/>
    <n v="55000"/>
    <n v="0.4"/>
    <x v="0"/>
  </r>
  <r>
    <x v="2"/>
    <n v="1185732"/>
    <x v="473"/>
    <x v="0"/>
    <s v="New Jersey"/>
    <s v="Newark"/>
    <x v="4"/>
    <n v="60"/>
    <n v="275"/>
    <n v="165000"/>
    <n v="49500"/>
    <n v="0.3"/>
    <x v="0"/>
  </r>
  <r>
    <x v="2"/>
    <n v="1185732"/>
    <x v="473"/>
    <x v="0"/>
    <s v="New Jersey"/>
    <s v="Newark"/>
    <x v="5"/>
    <n v="64.999999999999986"/>
    <n v="375"/>
    <n v="243749.99999999994"/>
    <n v="97499.999999999985"/>
    <n v="0.4"/>
    <x v="0"/>
  </r>
  <r>
    <x v="2"/>
    <n v="1185732"/>
    <x v="171"/>
    <x v="0"/>
    <s v="New Jersey"/>
    <s v="Newark"/>
    <x v="0"/>
    <n v="40"/>
    <n v="500"/>
    <n v="200000"/>
    <n v="80000"/>
    <n v="0.4"/>
    <x v="0"/>
  </r>
  <r>
    <x v="2"/>
    <n v="1185732"/>
    <x v="171"/>
    <x v="0"/>
    <s v="New Jersey"/>
    <s v="Newark"/>
    <x v="1"/>
    <n v="40"/>
    <n v="300"/>
    <n v="120000"/>
    <n v="48000"/>
    <n v="0.4"/>
    <x v="0"/>
  </r>
  <r>
    <x v="2"/>
    <n v="1185732"/>
    <x v="171"/>
    <x v="0"/>
    <s v="New Jersey"/>
    <s v="Newark"/>
    <x v="2"/>
    <n v="30.000000000000004"/>
    <n v="300"/>
    <n v="90000.000000000015"/>
    <n v="27000.000000000004"/>
    <n v="0.3"/>
    <x v="0"/>
  </r>
  <r>
    <x v="2"/>
    <n v="1185732"/>
    <x v="171"/>
    <x v="0"/>
    <s v="New Jersey"/>
    <s v="Newark"/>
    <x v="3"/>
    <n v="35"/>
    <n v="150"/>
    <n v="52500"/>
    <n v="15750"/>
    <n v="0.3"/>
    <x v="0"/>
  </r>
  <r>
    <x v="2"/>
    <n v="1185732"/>
    <x v="171"/>
    <x v="0"/>
    <s v="New Jersey"/>
    <s v="Newark"/>
    <x v="4"/>
    <n v="50"/>
    <n v="200"/>
    <n v="100000"/>
    <n v="30000"/>
    <n v="0.3"/>
    <x v="0"/>
  </r>
  <r>
    <x v="2"/>
    <n v="1185732"/>
    <x v="171"/>
    <x v="0"/>
    <s v="New Jersey"/>
    <s v="Newark"/>
    <x v="5"/>
    <n v="40"/>
    <n v="300"/>
    <n v="120000"/>
    <n v="42000"/>
    <n v="0.35"/>
    <x v="0"/>
  </r>
  <r>
    <x v="2"/>
    <n v="1185732"/>
    <x v="200"/>
    <x v="0"/>
    <s v="New Jersey"/>
    <s v="Newark"/>
    <x v="0"/>
    <n v="40"/>
    <n v="550"/>
    <n v="220000"/>
    <n v="88000"/>
    <n v="0.4"/>
    <x v="0"/>
  </r>
  <r>
    <x v="2"/>
    <n v="1185732"/>
    <x v="200"/>
    <x v="0"/>
    <s v="New Jersey"/>
    <s v="Newark"/>
    <x v="1"/>
    <n v="40"/>
    <n v="200"/>
    <n v="80000"/>
    <n v="32000"/>
    <n v="0.4"/>
    <x v="0"/>
  </r>
  <r>
    <x v="2"/>
    <n v="1185732"/>
    <x v="200"/>
    <x v="0"/>
    <s v="New Jersey"/>
    <s v="Newark"/>
    <x v="2"/>
    <n v="30.000000000000004"/>
    <n v="250"/>
    <n v="75000.000000000015"/>
    <n v="22500.000000000004"/>
    <n v="0.3"/>
    <x v="0"/>
  </r>
  <r>
    <x v="2"/>
    <n v="1185732"/>
    <x v="200"/>
    <x v="0"/>
    <s v="Connecticut"/>
    <s v="Hartford"/>
    <x v="3"/>
    <n v="35"/>
    <n v="125"/>
    <n v="43750"/>
    <n v="13125"/>
    <n v="0.3"/>
    <x v="0"/>
  </r>
  <r>
    <x v="2"/>
    <n v="1185732"/>
    <x v="200"/>
    <x v="0"/>
    <s v="Connecticut"/>
    <s v="Hartford"/>
    <x v="4"/>
    <n v="50"/>
    <n v="200"/>
    <n v="100000"/>
    <n v="30000"/>
    <n v="0.3"/>
    <x v="0"/>
  </r>
  <r>
    <x v="2"/>
    <n v="1185732"/>
    <x v="200"/>
    <x v="0"/>
    <s v="Connecticut"/>
    <s v="Hartford"/>
    <x v="5"/>
    <n v="40"/>
    <n v="300"/>
    <n v="120000"/>
    <n v="42000"/>
    <n v="0.35"/>
    <x v="0"/>
  </r>
  <r>
    <x v="2"/>
    <n v="1185732"/>
    <x v="705"/>
    <x v="0"/>
    <s v="Connecticut"/>
    <s v="Hartford"/>
    <x v="0"/>
    <n v="40"/>
    <n v="520"/>
    <n v="208000"/>
    <n v="83200"/>
    <n v="0.4"/>
    <x v="0"/>
  </r>
  <r>
    <x v="2"/>
    <n v="1185732"/>
    <x v="705"/>
    <x v="0"/>
    <s v="Connecticut"/>
    <s v="Hartford"/>
    <x v="1"/>
    <n v="40"/>
    <n v="225"/>
    <n v="90000"/>
    <n v="36000"/>
    <n v="0.4"/>
    <x v="0"/>
  </r>
  <r>
    <x v="2"/>
    <n v="1185732"/>
    <x v="705"/>
    <x v="0"/>
    <s v="Connecticut"/>
    <s v="Hartford"/>
    <x v="2"/>
    <n v="30.000000000000004"/>
    <n v="250"/>
    <n v="75000.000000000015"/>
    <n v="22500.000000000004"/>
    <n v="0.3"/>
    <x v="0"/>
  </r>
  <r>
    <x v="2"/>
    <n v="1185732"/>
    <x v="705"/>
    <x v="0"/>
    <s v="Connecticut"/>
    <s v="Hartford"/>
    <x v="3"/>
    <n v="35"/>
    <n v="100"/>
    <n v="35000"/>
    <n v="10500"/>
    <n v="0.3"/>
    <x v="0"/>
  </r>
  <r>
    <x v="2"/>
    <n v="1185732"/>
    <x v="705"/>
    <x v="0"/>
    <s v="Connecticut"/>
    <s v="Hartford"/>
    <x v="4"/>
    <n v="50"/>
    <n v="150"/>
    <n v="75000"/>
    <n v="22500"/>
    <n v="0.3"/>
    <x v="0"/>
  </r>
  <r>
    <x v="2"/>
    <n v="1185732"/>
    <x v="705"/>
    <x v="0"/>
    <s v="Connecticut"/>
    <s v="Hartford"/>
    <x v="5"/>
    <n v="40"/>
    <n v="250"/>
    <n v="100000"/>
    <n v="35000"/>
    <n v="0.35"/>
    <x v="0"/>
  </r>
  <r>
    <x v="2"/>
    <n v="1185732"/>
    <x v="722"/>
    <x v="0"/>
    <s v="Connecticut"/>
    <s v="Hartford"/>
    <x v="0"/>
    <n v="40"/>
    <n v="500"/>
    <n v="200000"/>
    <n v="80000"/>
    <n v="0.4"/>
    <x v="0"/>
  </r>
  <r>
    <x v="2"/>
    <n v="1185732"/>
    <x v="722"/>
    <x v="0"/>
    <s v="Connecticut"/>
    <s v="Hartford"/>
    <x v="1"/>
    <n v="40"/>
    <n v="200"/>
    <n v="80000"/>
    <n v="32000"/>
    <n v="0.4"/>
    <x v="0"/>
  </r>
  <r>
    <x v="2"/>
    <n v="1185732"/>
    <x v="722"/>
    <x v="0"/>
    <s v="Connecticut"/>
    <s v="Hartford"/>
    <x v="2"/>
    <n v="30.000000000000004"/>
    <n v="200"/>
    <n v="60000.000000000007"/>
    <n v="18000"/>
    <n v="0.3"/>
    <x v="0"/>
  </r>
  <r>
    <x v="2"/>
    <n v="1185732"/>
    <x v="722"/>
    <x v="0"/>
    <s v="Connecticut"/>
    <s v="Hartford"/>
    <x v="3"/>
    <n v="35"/>
    <n v="125"/>
    <n v="43750"/>
    <n v="13125"/>
    <n v="0.3"/>
    <x v="0"/>
  </r>
  <r>
    <x v="2"/>
    <n v="1185732"/>
    <x v="722"/>
    <x v="0"/>
    <s v="Connecticut"/>
    <s v="Hartford"/>
    <x v="4"/>
    <n v="50"/>
    <n v="125"/>
    <n v="62500"/>
    <n v="18750"/>
    <n v="0.3"/>
    <x v="0"/>
  </r>
  <r>
    <x v="2"/>
    <n v="1185732"/>
    <x v="722"/>
    <x v="0"/>
    <s v="Connecticut"/>
    <s v="Hartford"/>
    <x v="5"/>
    <n v="40"/>
    <n v="275"/>
    <n v="110000"/>
    <n v="38500"/>
    <n v="0.35"/>
    <x v="0"/>
  </r>
  <r>
    <x v="2"/>
    <n v="1185732"/>
    <x v="256"/>
    <x v="0"/>
    <s v="Connecticut"/>
    <s v="Hartford"/>
    <x v="0"/>
    <n v="54.999999999999993"/>
    <n v="545"/>
    <n v="299749.99999999994"/>
    <n v="119899.99999999999"/>
    <n v="0.4"/>
    <x v="0"/>
  </r>
  <r>
    <x v="2"/>
    <n v="1185732"/>
    <x v="256"/>
    <x v="0"/>
    <s v="Connecticut"/>
    <s v="Hartford"/>
    <x v="1"/>
    <n v="50"/>
    <n v="250"/>
    <n v="125000"/>
    <n v="50000"/>
    <n v="0.4"/>
    <x v="0"/>
  </r>
  <r>
    <x v="2"/>
    <n v="1185732"/>
    <x v="256"/>
    <x v="0"/>
    <s v="Connecticut"/>
    <s v="Hartford"/>
    <x v="2"/>
    <n v="45"/>
    <n v="275"/>
    <n v="123750"/>
    <n v="37125"/>
    <n v="0.3"/>
    <x v="0"/>
  </r>
  <r>
    <x v="2"/>
    <n v="1185732"/>
    <x v="256"/>
    <x v="0"/>
    <s v="Connecticut"/>
    <s v="Hartford"/>
    <x v="3"/>
    <n v="45"/>
    <n v="225"/>
    <n v="101250"/>
    <n v="30375"/>
    <n v="0.3"/>
    <x v="0"/>
  </r>
  <r>
    <x v="2"/>
    <n v="1185732"/>
    <x v="256"/>
    <x v="0"/>
    <s v="Connecticut"/>
    <s v="Hartford"/>
    <x v="4"/>
    <n v="54.999999999999993"/>
    <n v="250"/>
    <n v="137499.99999999997"/>
    <n v="41249.999999999993"/>
    <n v="0.3"/>
    <x v="0"/>
  </r>
  <r>
    <x v="2"/>
    <n v="1185732"/>
    <x v="256"/>
    <x v="0"/>
    <s v="Connecticut"/>
    <s v="Hartford"/>
    <x v="5"/>
    <n v="60"/>
    <n v="375"/>
    <n v="225000"/>
    <n v="78750"/>
    <n v="0.35"/>
    <x v="0"/>
  </r>
  <r>
    <x v="2"/>
    <n v="1185732"/>
    <x v="289"/>
    <x v="0"/>
    <s v="Connecticut"/>
    <s v="Hartford"/>
    <x v="0"/>
    <n v="54.999999999999993"/>
    <n v="625"/>
    <n v="343749.99999999994"/>
    <n v="137499.99999999997"/>
    <n v="0.4"/>
    <x v="0"/>
  </r>
  <r>
    <x v="2"/>
    <n v="1185732"/>
    <x v="289"/>
    <x v="0"/>
    <s v="Connecticut"/>
    <s v="Hartford"/>
    <x v="1"/>
    <n v="50"/>
    <n v="375"/>
    <n v="187500"/>
    <n v="75000"/>
    <n v="0.4"/>
    <x v="0"/>
  </r>
  <r>
    <x v="2"/>
    <n v="1185732"/>
    <x v="289"/>
    <x v="0"/>
    <s v="Connecticut"/>
    <s v="Hartford"/>
    <x v="2"/>
    <n v="45"/>
    <n v="300"/>
    <n v="135000"/>
    <n v="40500"/>
    <n v="0.3"/>
    <x v="0"/>
  </r>
  <r>
    <x v="2"/>
    <n v="1185732"/>
    <x v="289"/>
    <x v="0"/>
    <s v="Connecticut"/>
    <s v="Hartford"/>
    <x v="3"/>
    <n v="45"/>
    <n v="275"/>
    <n v="123750"/>
    <n v="37125"/>
    <n v="0.3"/>
    <x v="0"/>
  </r>
  <r>
    <x v="2"/>
    <n v="1185732"/>
    <x v="289"/>
    <x v="0"/>
    <s v="Connecticut"/>
    <s v="Hartford"/>
    <x v="4"/>
    <n v="54.999999999999993"/>
    <n v="275"/>
    <n v="151249.99999999997"/>
    <n v="45374.999999999993"/>
    <n v="0.3"/>
    <x v="0"/>
  </r>
  <r>
    <x v="2"/>
    <n v="1185732"/>
    <x v="289"/>
    <x v="0"/>
    <s v="Connecticut"/>
    <s v="Hartford"/>
    <x v="5"/>
    <n v="60"/>
    <n v="425"/>
    <n v="255000"/>
    <n v="89250"/>
    <n v="0.35"/>
    <x v="0"/>
  </r>
  <r>
    <x v="2"/>
    <n v="1185732"/>
    <x v="317"/>
    <x v="0"/>
    <s v="Connecticut"/>
    <s v="Hartford"/>
    <x v="0"/>
    <n v="54.999999999999993"/>
    <n v="650"/>
    <n v="357499.99999999994"/>
    <n v="142999.99999999997"/>
    <n v="0.4"/>
    <x v="0"/>
  </r>
  <r>
    <x v="2"/>
    <n v="1185732"/>
    <x v="317"/>
    <x v="0"/>
    <s v="Connecticut"/>
    <s v="Hartford"/>
    <x v="1"/>
    <n v="50"/>
    <n v="400"/>
    <n v="200000"/>
    <n v="80000"/>
    <n v="0.4"/>
    <x v="0"/>
  </r>
  <r>
    <x v="2"/>
    <n v="1185732"/>
    <x v="317"/>
    <x v="0"/>
    <s v="Connecticut"/>
    <s v="Hartford"/>
    <x v="2"/>
    <n v="45"/>
    <n v="325"/>
    <n v="146250"/>
    <n v="43875"/>
    <n v="0.3"/>
    <x v="0"/>
  </r>
  <r>
    <x v="2"/>
    <n v="1185732"/>
    <x v="317"/>
    <x v="0"/>
    <s v="Connecticut"/>
    <s v="Hartford"/>
    <x v="3"/>
    <n v="45"/>
    <n v="275"/>
    <n v="123750"/>
    <n v="37125"/>
    <n v="0.3"/>
    <x v="0"/>
  </r>
  <r>
    <x v="2"/>
    <n v="1185732"/>
    <x v="317"/>
    <x v="0"/>
    <s v="Connecticut"/>
    <s v="Hartford"/>
    <x v="4"/>
    <n v="54.999999999999993"/>
    <n v="300"/>
    <n v="164999.99999999997"/>
    <n v="49499.999999999993"/>
    <n v="0.3"/>
    <x v="0"/>
  </r>
  <r>
    <x v="2"/>
    <n v="1185732"/>
    <x v="317"/>
    <x v="0"/>
    <s v="Connecticut"/>
    <s v="Hartford"/>
    <x v="5"/>
    <n v="60"/>
    <n v="475"/>
    <n v="285000"/>
    <n v="99750"/>
    <n v="0.35"/>
    <x v="0"/>
  </r>
  <r>
    <x v="2"/>
    <n v="1185732"/>
    <x v="349"/>
    <x v="0"/>
    <s v="Connecticut"/>
    <s v="Hartford"/>
    <x v="0"/>
    <n v="54.999999999999993"/>
    <n v="625"/>
    <n v="343749.99999999994"/>
    <n v="137499.99999999997"/>
    <n v="0.4"/>
    <x v="0"/>
  </r>
  <r>
    <x v="2"/>
    <n v="1185732"/>
    <x v="349"/>
    <x v="0"/>
    <s v="Connecticut"/>
    <s v="Hartford"/>
    <x v="1"/>
    <n v="50"/>
    <n v="400"/>
    <n v="200000"/>
    <n v="80000"/>
    <n v="0.4"/>
    <x v="0"/>
  </r>
  <r>
    <x v="2"/>
    <n v="1185732"/>
    <x v="349"/>
    <x v="0"/>
    <s v="Connecticut"/>
    <s v="Hartford"/>
    <x v="2"/>
    <n v="45"/>
    <n v="325"/>
    <n v="146250"/>
    <n v="43875"/>
    <n v="0.3"/>
    <x v="0"/>
  </r>
  <r>
    <x v="2"/>
    <n v="1185732"/>
    <x v="349"/>
    <x v="0"/>
    <s v="Connecticut"/>
    <s v="Hartford"/>
    <x v="3"/>
    <n v="45"/>
    <n v="225"/>
    <n v="101250"/>
    <n v="30375"/>
    <n v="0.3"/>
    <x v="0"/>
  </r>
  <r>
    <x v="2"/>
    <n v="1185732"/>
    <x v="349"/>
    <x v="0"/>
    <s v="Connecticut"/>
    <s v="Hartford"/>
    <x v="4"/>
    <n v="54.999999999999993"/>
    <n v="200"/>
    <n v="109999.99999999999"/>
    <n v="32999.999999999993"/>
    <n v="0.3"/>
    <x v="0"/>
  </r>
  <r>
    <x v="2"/>
    <n v="1185732"/>
    <x v="349"/>
    <x v="0"/>
    <s v="Connecticut"/>
    <s v="Hartford"/>
    <x v="5"/>
    <n v="60"/>
    <n v="375"/>
    <n v="225000"/>
    <n v="78750"/>
    <n v="0.35"/>
    <x v="0"/>
  </r>
  <r>
    <x v="2"/>
    <n v="1185732"/>
    <x v="379"/>
    <x v="0"/>
    <s v="Connecticut"/>
    <s v="Hartford"/>
    <x v="0"/>
    <n v="54.999999999999993"/>
    <n v="500"/>
    <n v="274999.99999999994"/>
    <n v="109999.99999999999"/>
    <n v="0.4"/>
    <x v="0"/>
  </r>
  <r>
    <x v="2"/>
    <n v="1185732"/>
    <x v="379"/>
    <x v="0"/>
    <s v="Connecticut"/>
    <s v="Hartford"/>
    <x v="1"/>
    <n v="50"/>
    <n v="300"/>
    <n v="150000"/>
    <n v="60000"/>
    <n v="0.4"/>
    <x v="0"/>
  </r>
  <r>
    <x v="2"/>
    <n v="1185732"/>
    <x v="379"/>
    <x v="0"/>
    <s v="Connecticut"/>
    <s v="Hartford"/>
    <x v="2"/>
    <n v="45"/>
    <n v="200"/>
    <n v="90000"/>
    <n v="27000"/>
    <n v="0.3"/>
    <x v="0"/>
  </r>
  <r>
    <x v="2"/>
    <n v="1185732"/>
    <x v="379"/>
    <x v="0"/>
    <s v="Connecticut"/>
    <s v="Hartford"/>
    <x v="3"/>
    <n v="45"/>
    <n v="175"/>
    <n v="78750"/>
    <n v="23625"/>
    <n v="0.3"/>
    <x v="0"/>
  </r>
  <r>
    <x v="2"/>
    <n v="1185732"/>
    <x v="379"/>
    <x v="0"/>
    <s v="Connecticut"/>
    <s v="Hartford"/>
    <x v="4"/>
    <n v="54.999999999999993"/>
    <n v="175"/>
    <n v="96249.999999999985"/>
    <n v="28874.999999999996"/>
    <n v="0.3"/>
    <x v="0"/>
  </r>
  <r>
    <x v="2"/>
    <n v="1185732"/>
    <x v="379"/>
    <x v="0"/>
    <s v="Connecticut"/>
    <s v="Hartford"/>
    <x v="5"/>
    <n v="60"/>
    <n v="275"/>
    <n v="165000"/>
    <n v="57749.999999999993"/>
    <n v="0.35"/>
    <x v="0"/>
  </r>
  <r>
    <x v="2"/>
    <n v="1185732"/>
    <x v="411"/>
    <x v="0"/>
    <s v="Connecticut"/>
    <s v="Hartford"/>
    <x v="0"/>
    <n v="60"/>
    <n v="450"/>
    <n v="270000"/>
    <n v="108000"/>
    <n v="0.4"/>
    <x v="0"/>
  </r>
  <r>
    <x v="2"/>
    <n v="1185732"/>
    <x v="411"/>
    <x v="0"/>
    <s v="Connecticut"/>
    <s v="Hartford"/>
    <x v="1"/>
    <n v="55.000000000000007"/>
    <n v="275"/>
    <n v="151250.00000000003"/>
    <n v="60500.000000000015"/>
    <n v="0.4"/>
    <x v="0"/>
  </r>
  <r>
    <x v="2"/>
    <n v="1185732"/>
    <x v="411"/>
    <x v="0"/>
    <s v="Connecticut"/>
    <s v="Hartford"/>
    <x v="2"/>
    <n v="55.000000000000007"/>
    <n v="175"/>
    <n v="96250.000000000015"/>
    <n v="28875.000000000004"/>
    <n v="0.3"/>
    <x v="0"/>
  </r>
  <r>
    <x v="2"/>
    <n v="1185732"/>
    <x v="411"/>
    <x v="0"/>
    <s v="Connecticut"/>
    <s v="Hartford"/>
    <x v="3"/>
    <n v="55.000000000000007"/>
    <n v="150"/>
    <n v="82500.000000000015"/>
    <n v="24750.000000000004"/>
    <n v="0.3"/>
    <x v="0"/>
  </r>
  <r>
    <x v="2"/>
    <n v="1185732"/>
    <x v="411"/>
    <x v="0"/>
    <s v="Connecticut"/>
    <s v="Hartford"/>
    <x v="4"/>
    <n v="65"/>
    <n v="150"/>
    <n v="97500"/>
    <n v="29250"/>
    <n v="0.3"/>
    <x v="0"/>
  </r>
  <r>
    <x v="0"/>
    <n v="1185732"/>
    <x v="411"/>
    <x v="0"/>
    <s v="Connecticut"/>
    <s v="Hartford"/>
    <x v="5"/>
    <n v="70"/>
    <n v="275"/>
    <n v="192500"/>
    <n v="67375"/>
    <n v="0.35"/>
    <x v="0"/>
  </r>
  <r>
    <x v="0"/>
    <n v="1185732"/>
    <x v="441"/>
    <x v="0"/>
    <s v="Connecticut"/>
    <s v="Hartford"/>
    <x v="0"/>
    <n v="65"/>
    <n v="425"/>
    <n v="276250"/>
    <n v="110500"/>
    <n v="0.4"/>
    <x v="0"/>
  </r>
  <r>
    <x v="0"/>
    <n v="1185732"/>
    <x v="441"/>
    <x v="0"/>
    <s v="Connecticut"/>
    <s v="Hartford"/>
    <x v="1"/>
    <n v="55.000000000000007"/>
    <n v="300"/>
    <n v="165000.00000000003"/>
    <n v="66000.000000000015"/>
    <n v="0.4"/>
    <x v="0"/>
  </r>
  <r>
    <x v="0"/>
    <n v="1185732"/>
    <x v="441"/>
    <x v="0"/>
    <s v="Connecticut"/>
    <s v="Hartford"/>
    <x v="2"/>
    <n v="55.000000000000007"/>
    <n v="295"/>
    <n v="162250.00000000003"/>
    <n v="48675.000000000007"/>
    <n v="0.3"/>
    <x v="0"/>
  </r>
  <r>
    <x v="0"/>
    <n v="1185732"/>
    <x v="441"/>
    <x v="0"/>
    <s v="Connecticut"/>
    <s v="Hartford"/>
    <x v="3"/>
    <n v="55.000000000000007"/>
    <n v="275"/>
    <n v="151250.00000000003"/>
    <n v="45375.000000000007"/>
    <n v="0.3"/>
    <x v="0"/>
  </r>
  <r>
    <x v="0"/>
    <n v="1185732"/>
    <x v="441"/>
    <x v="0"/>
    <s v="Connecticut"/>
    <s v="Hartford"/>
    <x v="4"/>
    <n v="65"/>
    <n v="250"/>
    <n v="162500"/>
    <n v="48750"/>
    <n v="0.3"/>
    <x v="0"/>
  </r>
  <r>
    <x v="0"/>
    <n v="1185732"/>
    <x v="441"/>
    <x v="0"/>
    <s v="Connecticut"/>
    <s v="Hartford"/>
    <x v="5"/>
    <n v="70"/>
    <n v="350"/>
    <n v="245000"/>
    <n v="85750"/>
    <n v="0.35"/>
    <x v="0"/>
  </r>
  <r>
    <x v="0"/>
    <n v="1185732"/>
    <x v="470"/>
    <x v="0"/>
    <s v="Connecticut"/>
    <s v="Hartford"/>
    <x v="0"/>
    <n v="65"/>
    <n v="575"/>
    <n v="373750"/>
    <n v="149500"/>
    <n v="0.4"/>
    <x v="0"/>
  </r>
  <r>
    <x v="0"/>
    <n v="1185732"/>
    <x v="470"/>
    <x v="0"/>
    <s v="Connecticut"/>
    <s v="Hartford"/>
    <x v="1"/>
    <n v="55.000000000000007"/>
    <n v="375"/>
    <n v="206250.00000000003"/>
    <n v="82500.000000000015"/>
    <n v="0.4"/>
    <x v="0"/>
  </r>
  <r>
    <x v="0"/>
    <n v="1185732"/>
    <x v="470"/>
    <x v="0"/>
    <s v="Connecticut"/>
    <s v="Hartford"/>
    <x v="2"/>
    <n v="55.000000000000007"/>
    <n v="350"/>
    <n v="192500.00000000003"/>
    <n v="57750.000000000007"/>
    <n v="0.3"/>
    <x v="0"/>
  </r>
  <r>
    <x v="0"/>
    <n v="1185732"/>
    <x v="470"/>
    <x v="0"/>
    <s v="Connecticut"/>
    <s v="Hartford"/>
    <x v="3"/>
    <n v="55.000000000000007"/>
    <n v="300"/>
    <n v="165000.00000000003"/>
    <n v="49500.000000000007"/>
    <n v="0.3"/>
    <x v="0"/>
  </r>
  <r>
    <x v="0"/>
    <n v="1185732"/>
    <x v="470"/>
    <x v="0"/>
    <s v="Connecticut"/>
    <s v="Hartford"/>
    <x v="4"/>
    <n v="65"/>
    <n v="300"/>
    <n v="195000"/>
    <n v="58500"/>
    <n v="0.3"/>
    <x v="0"/>
  </r>
  <r>
    <x v="0"/>
    <n v="1185732"/>
    <x v="470"/>
    <x v="0"/>
    <s v="Connecticut"/>
    <s v="Hartford"/>
    <x v="5"/>
    <n v="70"/>
    <n v="400"/>
    <n v="280000"/>
    <n v="98000"/>
    <n v="0.35"/>
    <x v="0"/>
  </r>
  <r>
    <x v="0"/>
    <n v="1185732"/>
    <x v="174"/>
    <x v="0"/>
    <s v="Connecticut"/>
    <s v="Hartford"/>
    <x v="0"/>
    <n v="35"/>
    <n v="425"/>
    <n v="148750"/>
    <n v="52062.5"/>
    <n v="0.35"/>
    <x v="0"/>
  </r>
  <r>
    <x v="0"/>
    <n v="1185732"/>
    <x v="174"/>
    <x v="0"/>
    <s v="Connecticut"/>
    <s v="Hartford"/>
    <x v="1"/>
    <n v="35"/>
    <n v="225"/>
    <n v="78750"/>
    <n v="27562.5"/>
    <n v="0.35"/>
    <x v="0"/>
  </r>
  <r>
    <x v="0"/>
    <n v="1185732"/>
    <x v="174"/>
    <x v="0"/>
    <s v="Connecticut"/>
    <s v="Hartford"/>
    <x v="2"/>
    <n v="25.000000000000007"/>
    <n v="225"/>
    <n v="56250.000000000015"/>
    <n v="22500.000000000007"/>
    <n v="0.4"/>
    <x v="0"/>
  </r>
  <r>
    <x v="0"/>
    <n v="1185732"/>
    <x v="174"/>
    <x v="0"/>
    <s v="Connecticut"/>
    <s v="Hartford"/>
    <x v="3"/>
    <n v="30"/>
    <n v="75"/>
    <n v="22500"/>
    <n v="9000"/>
    <n v="0.4"/>
    <x v="0"/>
  </r>
  <r>
    <x v="0"/>
    <n v="1185732"/>
    <x v="174"/>
    <x v="0"/>
    <s v="Connecticut"/>
    <s v="Hartford"/>
    <x v="4"/>
    <n v="45"/>
    <n v="125"/>
    <n v="56250"/>
    <n v="16875"/>
    <n v="0.3"/>
    <x v="0"/>
  </r>
  <r>
    <x v="0"/>
    <n v="1185732"/>
    <x v="174"/>
    <x v="0"/>
    <s v="Connecticut"/>
    <s v="Hartford"/>
    <x v="5"/>
    <n v="35"/>
    <n v="225"/>
    <n v="78750"/>
    <n v="31500"/>
    <n v="0.4"/>
    <x v="0"/>
  </r>
  <r>
    <x v="0"/>
    <n v="1185732"/>
    <x v="203"/>
    <x v="0"/>
    <s v="Connecticut"/>
    <s v="Hartford"/>
    <x v="0"/>
    <n v="35"/>
    <n v="475"/>
    <n v="166250"/>
    <n v="58187.499999999993"/>
    <n v="0.35"/>
    <x v="0"/>
  </r>
  <r>
    <x v="0"/>
    <n v="1185732"/>
    <x v="203"/>
    <x v="0"/>
    <s v="Connecticut"/>
    <s v="Hartford"/>
    <x v="1"/>
    <n v="35"/>
    <n v="125"/>
    <n v="43750"/>
    <n v="15312.499999999998"/>
    <n v="0.35"/>
    <x v="0"/>
  </r>
  <r>
    <x v="0"/>
    <n v="1185732"/>
    <x v="203"/>
    <x v="0"/>
    <s v="Connecticut"/>
    <s v="Hartford"/>
    <x v="2"/>
    <n v="25.000000000000007"/>
    <n v="175"/>
    <n v="43750.000000000015"/>
    <n v="17500.000000000007"/>
    <n v="0.4"/>
    <x v="0"/>
  </r>
  <r>
    <x v="0"/>
    <n v="1185732"/>
    <x v="203"/>
    <x v="0"/>
    <s v="Rhode Island"/>
    <s v="Providence"/>
    <x v="3"/>
    <n v="30"/>
    <n v="50"/>
    <n v="15000"/>
    <n v="6000"/>
    <n v="0.4"/>
    <x v="0"/>
  </r>
  <r>
    <x v="0"/>
    <n v="1185732"/>
    <x v="203"/>
    <x v="0"/>
    <s v="Rhode Island"/>
    <s v="Providence"/>
    <x v="4"/>
    <n v="45"/>
    <n v="125"/>
    <n v="56250"/>
    <n v="16875"/>
    <n v="0.3"/>
    <x v="0"/>
  </r>
  <r>
    <x v="0"/>
    <n v="1185732"/>
    <x v="203"/>
    <x v="0"/>
    <s v="Rhode Island"/>
    <s v="Providence"/>
    <x v="5"/>
    <n v="35"/>
    <n v="225"/>
    <n v="78750"/>
    <n v="31500"/>
    <n v="0.4"/>
    <x v="0"/>
  </r>
  <r>
    <x v="0"/>
    <n v="1185732"/>
    <x v="708"/>
    <x v="0"/>
    <s v="Rhode Island"/>
    <s v="Providence"/>
    <x v="0"/>
    <n v="35"/>
    <n v="445"/>
    <n v="155750"/>
    <n v="54512.5"/>
    <n v="0.35"/>
    <x v="0"/>
  </r>
  <r>
    <x v="0"/>
    <n v="1185732"/>
    <x v="708"/>
    <x v="0"/>
    <s v="Rhode Island"/>
    <s v="Providence"/>
    <x v="1"/>
    <n v="35"/>
    <n v="150"/>
    <n v="52500"/>
    <n v="18375"/>
    <n v="0.35"/>
    <x v="0"/>
  </r>
  <r>
    <x v="0"/>
    <n v="1185732"/>
    <x v="708"/>
    <x v="0"/>
    <s v="Rhode Island"/>
    <s v="Providence"/>
    <x v="2"/>
    <n v="25.000000000000007"/>
    <n v="175"/>
    <n v="43750.000000000015"/>
    <n v="17500.000000000007"/>
    <n v="0.4"/>
    <x v="0"/>
  </r>
  <r>
    <x v="0"/>
    <n v="1185732"/>
    <x v="708"/>
    <x v="0"/>
    <s v="Rhode Island"/>
    <s v="Providence"/>
    <x v="3"/>
    <n v="30"/>
    <n v="25"/>
    <n v="7500"/>
    <n v="3000"/>
    <n v="0.4"/>
    <x v="0"/>
  </r>
  <r>
    <x v="0"/>
    <n v="1185732"/>
    <x v="708"/>
    <x v="0"/>
    <s v="Rhode Island"/>
    <s v="Providence"/>
    <x v="4"/>
    <n v="45"/>
    <n v="75"/>
    <n v="33750"/>
    <n v="10125"/>
    <n v="0.3"/>
    <x v="0"/>
  </r>
  <r>
    <x v="0"/>
    <n v="1185732"/>
    <x v="708"/>
    <x v="0"/>
    <s v="Rhode Island"/>
    <s v="Providence"/>
    <x v="5"/>
    <n v="35"/>
    <n v="175"/>
    <n v="61250"/>
    <n v="24500"/>
    <n v="0.4"/>
    <x v="0"/>
  </r>
  <r>
    <x v="0"/>
    <n v="1185732"/>
    <x v="230"/>
    <x v="0"/>
    <s v="Rhode Island"/>
    <s v="Providence"/>
    <x v="0"/>
    <n v="35"/>
    <n v="425"/>
    <n v="148750"/>
    <n v="52062.5"/>
    <n v="0.35"/>
    <x v="0"/>
  </r>
  <r>
    <x v="0"/>
    <n v="1185732"/>
    <x v="230"/>
    <x v="0"/>
    <s v="Rhode Island"/>
    <s v="Providence"/>
    <x v="1"/>
    <n v="35"/>
    <n v="125"/>
    <n v="43750"/>
    <n v="15312.499999999998"/>
    <n v="0.35"/>
    <x v="0"/>
  </r>
  <r>
    <x v="0"/>
    <n v="1185732"/>
    <x v="230"/>
    <x v="0"/>
    <s v="Rhode Island"/>
    <s v="Providence"/>
    <x v="2"/>
    <n v="25.000000000000007"/>
    <n v="125"/>
    <n v="31250.000000000007"/>
    <n v="12500.000000000004"/>
    <n v="0.4"/>
    <x v="0"/>
  </r>
  <r>
    <x v="0"/>
    <n v="1185732"/>
    <x v="230"/>
    <x v="0"/>
    <s v="Rhode Island"/>
    <s v="Providence"/>
    <x v="3"/>
    <n v="30"/>
    <n v="50"/>
    <n v="15000"/>
    <n v="6000"/>
    <n v="0.4"/>
    <x v="0"/>
  </r>
  <r>
    <x v="0"/>
    <n v="1185732"/>
    <x v="230"/>
    <x v="0"/>
    <s v="Rhode Island"/>
    <s v="Providence"/>
    <x v="4"/>
    <n v="45"/>
    <n v="50"/>
    <n v="22500"/>
    <n v="6750"/>
    <n v="0.3"/>
    <x v="0"/>
  </r>
  <r>
    <x v="0"/>
    <n v="1185732"/>
    <x v="230"/>
    <x v="0"/>
    <s v="Rhode Island"/>
    <s v="Providence"/>
    <x v="5"/>
    <n v="35"/>
    <n v="200"/>
    <n v="70000"/>
    <n v="28000"/>
    <n v="0.4"/>
    <x v="0"/>
  </r>
  <r>
    <x v="0"/>
    <n v="1185732"/>
    <x v="259"/>
    <x v="0"/>
    <s v="Rhode Island"/>
    <s v="Providence"/>
    <x v="0"/>
    <n v="49.999999999999993"/>
    <n v="470"/>
    <n v="234999.99999999997"/>
    <n v="82249.999999999985"/>
    <n v="0.35"/>
    <x v="0"/>
  </r>
  <r>
    <x v="0"/>
    <n v="1185732"/>
    <x v="259"/>
    <x v="0"/>
    <s v="Rhode Island"/>
    <s v="Providence"/>
    <x v="1"/>
    <n v="45"/>
    <n v="175"/>
    <n v="78750"/>
    <n v="27562.5"/>
    <n v="0.35"/>
    <x v="0"/>
  </r>
  <r>
    <x v="0"/>
    <n v="1185732"/>
    <x v="259"/>
    <x v="0"/>
    <s v="Rhode Island"/>
    <s v="Providence"/>
    <x v="2"/>
    <n v="40"/>
    <n v="200"/>
    <n v="80000"/>
    <n v="32000"/>
    <n v="0.4"/>
    <x v="0"/>
  </r>
  <r>
    <x v="0"/>
    <n v="1185732"/>
    <x v="259"/>
    <x v="0"/>
    <s v="Rhode Island"/>
    <s v="Providence"/>
    <x v="3"/>
    <n v="40"/>
    <n v="150"/>
    <n v="60000"/>
    <n v="24000"/>
    <n v="0.4"/>
    <x v="0"/>
  </r>
  <r>
    <x v="0"/>
    <n v="1185732"/>
    <x v="259"/>
    <x v="0"/>
    <s v="Rhode Island"/>
    <s v="Providence"/>
    <x v="4"/>
    <n v="49.999999999999993"/>
    <n v="175"/>
    <n v="87499.999999999985"/>
    <n v="26249.999999999996"/>
    <n v="0.3"/>
    <x v="0"/>
  </r>
  <r>
    <x v="0"/>
    <n v="1185732"/>
    <x v="259"/>
    <x v="0"/>
    <s v="Rhode Island"/>
    <s v="Providence"/>
    <x v="5"/>
    <n v="54.999999999999993"/>
    <n v="300"/>
    <n v="164999.99999999997"/>
    <n v="65999.999999999985"/>
    <n v="0.4"/>
    <x v="0"/>
  </r>
  <r>
    <x v="0"/>
    <n v="1185732"/>
    <x v="292"/>
    <x v="0"/>
    <s v="Rhode Island"/>
    <s v="Providence"/>
    <x v="0"/>
    <n v="49.999999999999993"/>
    <n v="550"/>
    <n v="274999.99999999994"/>
    <n v="96249.999999999971"/>
    <n v="0.35"/>
    <x v="0"/>
  </r>
  <r>
    <x v="0"/>
    <n v="1185732"/>
    <x v="292"/>
    <x v="0"/>
    <s v="Rhode Island"/>
    <s v="Providence"/>
    <x v="1"/>
    <n v="45"/>
    <n v="300"/>
    <n v="135000"/>
    <n v="47250"/>
    <n v="0.35"/>
    <x v="0"/>
  </r>
  <r>
    <x v="0"/>
    <n v="1185732"/>
    <x v="292"/>
    <x v="0"/>
    <s v="Rhode Island"/>
    <s v="Providence"/>
    <x v="2"/>
    <n v="40"/>
    <n v="225"/>
    <n v="90000"/>
    <n v="36000"/>
    <n v="0.4"/>
    <x v="0"/>
  </r>
  <r>
    <x v="0"/>
    <n v="1185732"/>
    <x v="292"/>
    <x v="0"/>
    <s v="Rhode Island"/>
    <s v="Providence"/>
    <x v="3"/>
    <n v="40"/>
    <n v="200"/>
    <n v="80000"/>
    <n v="32000"/>
    <n v="0.4"/>
    <x v="0"/>
  </r>
  <r>
    <x v="0"/>
    <n v="1185732"/>
    <x v="292"/>
    <x v="0"/>
    <s v="Rhode Island"/>
    <s v="Providence"/>
    <x v="4"/>
    <n v="49.999999999999993"/>
    <n v="200"/>
    <n v="99999.999999999985"/>
    <n v="29999.999999999993"/>
    <n v="0.3"/>
    <x v="0"/>
  </r>
  <r>
    <x v="0"/>
    <n v="1185732"/>
    <x v="292"/>
    <x v="0"/>
    <s v="Rhode Island"/>
    <s v="Providence"/>
    <x v="5"/>
    <n v="54.999999999999993"/>
    <n v="350"/>
    <n v="192499.99999999997"/>
    <n v="76999.999999999985"/>
    <n v="0.4"/>
    <x v="0"/>
  </r>
  <r>
    <x v="0"/>
    <n v="1185732"/>
    <x v="320"/>
    <x v="0"/>
    <s v="Rhode Island"/>
    <s v="Providence"/>
    <x v="0"/>
    <n v="49.999999999999993"/>
    <n v="575"/>
    <n v="287499.99999999994"/>
    <n v="100624.99999999997"/>
    <n v="0.35"/>
    <x v="0"/>
  </r>
  <r>
    <x v="0"/>
    <n v="1185732"/>
    <x v="320"/>
    <x v="0"/>
    <s v="Rhode Island"/>
    <s v="Providence"/>
    <x v="1"/>
    <n v="45"/>
    <n v="325"/>
    <n v="146250"/>
    <n v="51187.5"/>
    <n v="0.35"/>
    <x v="0"/>
  </r>
  <r>
    <x v="0"/>
    <n v="1185732"/>
    <x v="320"/>
    <x v="0"/>
    <s v="Rhode Island"/>
    <s v="Providence"/>
    <x v="2"/>
    <n v="40"/>
    <n v="250"/>
    <n v="100000"/>
    <n v="40000"/>
    <n v="0.4"/>
    <x v="0"/>
  </r>
  <r>
    <x v="0"/>
    <n v="1185732"/>
    <x v="320"/>
    <x v="0"/>
    <s v="Rhode Island"/>
    <s v="Providence"/>
    <x v="3"/>
    <n v="40"/>
    <n v="200"/>
    <n v="80000"/>
    <n v="32000"/>
    <n v="0.4"/>
    <x v="0"/>
  </r>
  <r>
    <x v="0"/>
    <n v="1185732"/>
    <x v="320"/>
    <x v="0"/>
    <s v="Rhode Island"/>
    <s v="Providence"/>
    <x v="4"/>
    <n v="49.999999999999993"/>
    <n v="225"/>
    <n v="112499.99999999999"/>
    <n v="33749.999999999993"/>
    <n v="0.3"/>
    <x v="0"/>
  </r>
  <r>
    <x v="0"/>
    <n v="1185732"/>
    <x v="320"/>
    <x v="0"/>
    <s v="Rhode Island"/>
    <s v="Providence"/>
    <x v="5"/>
    <n v="54.999999999999993"/>
    <n v="400"/>
    <n v="219999.99999999997"/>
    <n v="88000"/>
    <n v="0.4"/>
    <x v="0"/>
  </r>
  <r>
    <x v="0"/>
    <n v="1185732"/>
    <x v="352"/>
    <x v="0"/>
    <s v="Rhode Island"/>
    <s v="Providence"/>
    <x v="0"/>
    <n v="49.999999999999993"/>
    <n v="550"/>
    <n v="274999.99999999994"/>
    <n v="96249.999999999971"/>
    <n v="0.35"/>
    <x v="0"/>
  </r>
  <r>
    <x v="0"/>
    <n v="1185732"/>
    <x v="352"/>
    <x v="0"/>
    <s v="Rhode Island"/>
    <s v="Providence"/>
    <x v="1"/>
    <n v="45"/>
    <n v="325"/>
    <n v="146250"/>
    <n v="51187.5"/>
    <n v="0.35"/>
    <x v="0"/>
  </r>
  <r>
    <x v="0"/>
    <n v="1185732"/>
    <x v="352"/>
    <x v="0"/>
    <s v="Rhode Island"/>
    <s v="Providence"/>
    <x v="2"/>
    <n v="40"/>
    <n v="250"/>
    <n v="100000"/>
    <n v="40000"/>
    <n v="0.4"/>
    <x v="0"/>
  </r>
  <r>
    <x v="0"/>
    <n v="1185732"/>
    <x v="352"/>
    <x v="0"/>
    <s v="Rhode Island"/>
    <s v="Providence"/>
    <x v="3"/>
    <n v="40"/>
    <n v="150"/>
    <n v="60000"/>
    <n v="24000"/>
    <n v="0.4"/>
    <x v="0"/>
  </r>
  <r>
    <x v="0"/>
    <n v="1185732"/>
    <x v="352"/>
    <x v="0"/>
    <s v="Rhode Island"/>
    <s v="Providence"/>
    <x v="4"/>
    <n v="49.999999999999993"/>
    <n v="125"/>
    <n v="62499.999999999993"/>
    <n v="18749.999999999996"/>
    <n v="0.3"/>
    <x v="0"/>
  </r>
  <r>
    <x v="0"/>
    <n v="1185732"/>
    <x v="352"/>
    <x v="0"/>
    <s v="Rhode Island"/>
    <s v="Providence"/>
    <x v="5"/>
    <n v="54.999999999999993"/>
    <n v="300"/>
    <n v="164999.99999999997"/>
    <n v="65999.999999999985"/>
    <n v="0.4"/>
    <x v="0"/>
  </r>
  <r>
    <x v="0"/>
    <n v="1185732"/>
    <x v="382"/>
    <x v="0"/>
    <s v="Rhode Island"/>
    <s v="Providence"/>
    <x v="0"/>
    <n v="49.999999999999993"/>
    <n v="425"/>
    <n v="212499.99999999997"/>
    <n v="74374.999999999985"/>
    <n v="0.35"/>
    <x v="0"/>
  </r>
  <r>
    <x v="0"/>
    <n v="1185732"/>
    <x v="382"/>
    <x v="0"/>
    <s v="Rhode Island"/>
    <s v="Providence"/>
    <x v="1"/>
    <n v="45"/>
    <n v="225"/>
    <n v="101250"/>
    <n v="35437.5"/>
    <n v="0.35"/>
    <x v="0"/>
  </r>
  <r>
    <x v="0"/>
    <n v="1185732"/>
    <x v="382"/>
    <x v="0"/>
    <s v="Rhode Island"/>
    <s v="Providence"/>
    <x v="2"/>
    <n v="40"/>
    <n v="125"/>
    <n v="50000"/>
    <n v="20000"/>
    <n v="0.4"/>
    <x v="0"/>
  </r>
  <r>
    <x v="0"/>
    <n v="1185732"/>
    <x v="382"/>
    <x v="0"/>
    <s v="Rhode Island"/>
    <s v="Providence"/>
    <x v="3"/>
    <n v="40"/>
    <n v="100"/>
    <n v="40000"/>
    <n v="16000"/>
    <n v="0.4"/>
    <x v="0"/>
  </r>
  <r>
    <x v="0"/>
    <n v="1185732"/>
    <x v="382"/>
    <x v="0"/>
    <s v="Rhode Island"/>
    <s v="Providence"/>
    <x v="4"/>
    <n v="49.999999999999993"/>
    <n v="100"/>
    <n v="49999.999999999993"/>
    <n v="14999.999999999996"/>
    <n v="0.3"/>
    <x v="0"/>
  </r>
  <r>
    <x v="0"/>
    <n v="1185732"/>
    <x v="382"/>
    <x v="0"/>
    <s v="Rhode Island"/>
    <s v="Providence"/>
    <x v="5"/>
    <n v="54.999999999999993"/>
    <n v="200"/>
    <n v="109999.99999999999"/>
    <n v="44000"/>
    <n v="0.4"/>
    <x v="0"/>
  </r>
  <r>
    <x v="0"/>
    <n v="1185732"/>
    <x v="414"/>
    <x v="0"/>
    <s v="Rhode Island"/>
    <s v="Providence"/>
    <x v="0"/>
    <n v="54.999999999999993"/>
    <n v="375"/>
    <n v="206249.99999999997"/>
    <n v="72187.499999999985"/>
    <n v="0.35"/>
    <x v="0"/>
  </r>
  <r>
    <x v="0"/>
    <n v="1185732"/>
    <x v="414"/>
    <x v="0"/>
    <s v="Rhode Island"/>
    <s v="Providence"/>
    <x v="1"/>
    <n v="50"/>
    <n v="200"/>
    <n v="100000"/>
    <n v="35000"/>
    <n v="0.35"/>
    <x v="0"/>
  </r>
  <r>
    <x v="0"/>
    <n v="1185732"/>
    <x v="414"/>
    <x v="0"/>
    <s v="Rhode Island"/>
    <s v="Providence"/>
    <x v="2"/>
    <n v="50"/>
    <n v="100"/>
    <n v="50000"/>
    <n v="20000"/>
    <n v="0.4"/>
    <x v="0"/>
  </r>
  <r>
    <x v="0"/>
    <n v="1185732"/>
    <x v="414"/>
    <x v="0"/>
    <s v="Rhode Island"/>
    <s v="Providence"/>
    <x v="3"/>
    <n v="50"/>
    <n v="75"/>
    <n v="37500"/>
    <n v="15000"/>
    <n v="0.4"/>
    <x v="0"/>
  </r>
  <r>
    <x v="0"/>
    <n v="1185732"/>
    <x v="414"/>
    <x v="0"/>
    <s v="Rhode Island"/>
    <s v="Providence"/>
    <x v="4"/>
    <n v="60"/>
    <n v="75"/>
    <n v="45000"/>
    <n v="13500"/>
    <n v="0.3"/>
    <x v="0"/>
  </r>
  <r>
    <x v="2"/>
    <n v="1185732"/>
    <x v="414"/>
    <x v="0"/>
    <s v="Rhode Island"/>
    <s v="Providence"/>
    <x v="5"/>
    <n v="64.999999999999986"/>
    <n v="200"/>
    <n v="129999.99999999997"/>
    <n v="51999.999999999993"/>
    <n v="0.4"/>
    <x v="0"/>
  </r>
  <r>
    <x v="2"/>
    <n v="1185732"/>
    <x v="444"/>
    <x v="0"/>
    <s v="Rhode Island"/>
    <s v="Providence"/>
    <x v="0"/>
    <n v="60"/>
    <n v="350"/>
    <n v="210000"/>
    <n v="73500"/>
    <n v="0.35"/>
    <x v="0"/>
  </r>
  <r>
    <x v="2"/>
    <n v="1185732"/>
    <x v="444"/>
    <x v="0"/>
    <s v="Rhode Island"/>
    <s v="Providence"/>
    <x v="1"/>
    <n v="50"/>
    <n v="225"/>
    <n v="112500"/>
    <n v="39375"/>
    <n v="0.35"/>
    <x v="0"/>
  </r>
  <r>
    <x v="2"/>
    <n v="1185732"/>
    <x v="444"/>
    <x v="0"/>
    <s v="Rhode Island"/>
    <s v="Providence"/>
    <x v="2"/>
    <n v="50"/>
    <n v="220"/>
    <n v="110000"/>
    <n v="44000"/>
    <n v="0.4"/>
    <x v="0"/>
  </r>
  <r>
    <x v="2"/>
    <n v="1185732"/>
    <x v="444"/>
    <x v="0"/>
    <s v="Rhode Island"/>
    <s v="Providence"/>
    <x v="3"/>
    <n v="50"/>
    <n v="200"/>
    <n v="100000"/>
    <n v="40000"/>
    <n v="0.4"/>
    <x v="0"/>
  </r>
  <r>
    <x v="2"/>
    <n v="1185732"/>
    <x v="444"/>
    <x v="0"/>
    <s v="Rhode Island"/>
    <s v="Providence"/>
    <x v="4"/>
    <n v="60"/>
    <n v="175"/>
    <n v="105000"/>
    <n v="31500"/>
    <n v="0.3"/>
    <x v="0"/>
  </r>
  <r>
    <x v="2"/>
    <n v="1185732"/>
    <x v="444"/>
    <x v="0"/>
    <s v="Rhode Island"/>
    <s v="Providence"/>
    <x v="5"/>
    <n v="64.999999999999986"/>
    <n v="275"/>
    <n v="178749.99999999997"/>
    <n v="71499.999999999985"/>
    <n v="0.4"/>
    <x v="0"/>
  </r>
  <r>
    <x v="2"/>
    <n v="1185732"/>
    <x v="473"/>
    <x v="0"/>
    <s v="Rhode Island"/>
    <s v="Providence"/>
    <x v="0"/>
    <n v="60"/>
    <n v="500"/>
    <n v="300000"/>
    <n v="105000"/>
    <n v="0.35"/>
    <x v="0"/>
  </r>
  <r>
    <x v="2"/>
    <n v="1185732"/>
    <x v="473"/>
    <x v="0"/>
    <s v="Rhode Island"/>
    <s v="Providence"/>
    <x v="1"/>
    <n v="50"/>
    <n v="300"/>
    <n v="150000"/>
    <n v="52500"/>
    <n v="0.35"/>
    <x v="0"/>
  </r>
  <r>
    <x v="2"/>
    <n v="1185732"/>
    <x v="473"/>
    <x v="0"/>
    <s v="Rhode Island"/>
    <s v="Providence"/>
    <x v="2"/>
    <n v="50"/>
    <n v="275"/>
    <n v="137500"/>
    <n v="55000"/>
    <n v="0.4"/>
    <x v="0"/>
  </r>
  <r>
    <x v="2"/>
    <n v="1185732"/>
    <x v="473"/>
    <x v="0"/>
    <s v="Rhode Island"/>
    <s v="Providence"/>
    <x v="3"/>
    <n v="50"/>
    <n v="225"/>
    <n v="112500"/>
    <n v="45000"/>
    <n v="0.4"/>
    <x v="0"/>
  </r>
  <r>
    <x v="2"/>
    <n v="1185732"/>
    <x v="473"/>
    <x v="0"/>
    <s v="Rhode Island"/>
    <s v="Providence"/>
    <x v="4"/>
    <n v="60"/>
    <n v="225"/>
    <n v="135000"/>
    <n v="40500"/>
    <n v="0.3"/>
    <x v="0"/>
  </r>
  <r>
    <x v="2"/>
    <n v="1185732"/>
    <x v="473"/>
    <x v="0"/>
    <s v="Rhode Island"/>
    <s v="Providence"/>
    <x v="5"/>
    <n v="64.999999999999986"/>
    <n v="325"/>
    <n v="211249.99999999994"/>
    <n v="84499.999999999985"/>
    <n v="0.4"/>
    <x v="0"/>
  </r>
  <r>
    <x v="2"/>
    <n v="1185732"/>
    <x v="181"/>
    <x v="0"/>
    <s v="Rhode Island"/>
    <s v="Providence"/>
    <x v="0"/>
    <n v="40"/>
    <n v="450"/>
    <n v="180000"/>
    <n v="54000"/>
    <n v="0.3"/>
    <x v="0"/>
  </r>
  <r>
    <x v="2"/>
    <n v="1185732"/>
    <x v="181"/>
    <x v="0"/>
    <s v="Rhode Island"/>
    <s v="Providence"/>
    <x v="1"/>
    <n v="40"/>
    <n v="250"/>
    <n v="100000"/>
    <n v="30000"/>
    <n v="0.3"/>
    <x v="0"/>
  </r>
  <r>
    <x v="2"/>
    <n v="1185732"/>
    <x v="181"/>
    <x v="0"/>
    <s v="Rhode Island"/>
    <s v="Providence"/>
    <x v="2"/>
    <n v="30.000000000000004"/>
    <n v="250"/>
    <n v="75000.000000000015"/>
    <n v="18750.000000000004"/>
    <n v="0.25"/>
    <x v="0"/>
  </r>
  <r>
    <x v="2"/>
    <n v="1185732"/>
    <x v="181"/>
    <x v="0"/>
    <s v="Rhode Island"/>
    <s v="Providence"/>
    <x v="3"/>
    <n v="35"/>
    <n v="100"/>
    <n v="35000"/>
    <n v="8750"/>
    <n v="0.25"/>
    <x v="0"/>
  </r>
  <r>
    <x v="2"/>
    <n v="1185732"/>
    <x v="181"/>
    <x v="0"/>
    <s v="Rhode Island"/>
    <s v="Providence"/>
    <x v="4"/>
    <n v="50"/>
    <n v="150"/>
    <n v="75000"/>
    <n v="18750"/>
    <n v="0.25"/>
    <x v="0"/>
  </r>
  <r>
    <x v="2"/>
    <n v="1185732"/>
    <x v="181"/>
    <x v="0"/>
    <s v="Rhode Island"/>
    <s v="Providence"/>
    <x v="5"/>
    <n v="40"/>
    <n v="250"/>
    <n v="100000"/>
    <n v="30000"/>
    <n v="0.3"/>
    <x v="0"/>
  </r>
  <r>
    <x v="2"/>
    <n v="1185732"/>
    <x v="210"/>
    <x v="0"/>
    <s v="Rhode Island"/>
    <s v="Providence"/>
    <x v="0"/>
    <n v="40"/>
    <n v="500"/>
    <n v="200000"/>
    <n v="60000"/>
    <n v="0.3"/>
    <x v="0"/>
  </r>
  <r>
    <x v="2"/>
    <n v="1185732"/>
    <x v="210"/>
    <x v="0"/>
    <s v="Rhode Island"/>
    <s v="Providence"/>
    <x v="1"/>
    <n v="40"/>
    <n v="150"/>
    <n v="60000"/>
    <n v="18000"/>
    <n v="0.3"/>
    <x v="0"/>
  </r>
  <r>
    <x v="2"/>
    <n v="1185732"/>
    <x v="210"/>
    <x v="0"/>
    <s v="Rhode Island"/>
    <s v="Providence"/>
    <x v="2"/>
    <n v="30.000000000000004"/>
    <n v="200"/>
    <n v="60000.000000000007"/>
    <n v="15000.000000000002"/>
    <n v="0.25"/>
    <x v="0"/>
  </r>
  <r>
    <x v="2"/>
    <n v="1185732"/>
    <x v="210"/>
    <x v="0"/>
    <s v="Massachusetts"/>
    <s v="Boston"/>
    <x v="3"/>
    <n v="35"/>
    <n v="250"/>
    <n v="87500"/>
    <n v="21875"/>
    <n v="0.25"/>
    <x v="0"/>
  </r>
  <r>
    <x v="2"/>
    <n v="1185732"/>
    <x v="210"/>
    <x v="0"/>
    <s v="Massachusetts"/>
    <s v="Boston"/>
    <x v="4"/>
    <n v="50"/>
    <n v="150"/>
    <n v="75000"/>
    <n v="18750"/>
    <n v="0.25"/>
    <x v="0"/>
  </r>
  <r>
    <x v="2"/>
    <n v="1185732"/>
    <x v="210"/>
    <x v="0"/>
    <s v="Massachusetts"/>
    <s v="Boston"/>
    <x v="5"/>
    <n v="40"/>
    <n v="250"/>
    <n v="100000"/>
    <n v="30000"/>
    <n v="0.3"/>
    <x v="0"/>
  </r>
  <r>
    <x v="2"/>
    <n v="1185732"/>
    <x v="218"/>
    <x v="0"/>
    <s v="Massachusetts"/>
    <s v="Boston"/>
    <x v="0"/>
    <n v="40"/>
    <n v="470"/>
    <n v="188000"/>
    <n v="56400"/>
    <n v="0.3"/>
    <x v="0"/>
  </r>
  <r>
    <x v="2"/>
    <n v="1185732"/>
    <x v="218"/>
    <x v="0"/>
    <s v="Massachusetts"/>
    <s v="Boston"/>
    <x v="1"/>
    <n v="40"/>
    <n v="175"/>
    <n v="70000"/>
    <n v="21000"/>
    <n v="0.3"/>
    <x v="0"/>
  </r>
  <r>
    <x v="2"/>
    <n v="1185732"/>
    <x v="218"/>
    <x v="0"/>
    <s v="Massachusetts"/>
    <s v="Boston"/>
    <x v="2"/>
    <n v="30.000000000000004"/>
    <n v="200"/>
    <n v="60000.000000000007"/>
    <n v="15000.000000000002"/>
    <n v="0.25"/>
    <x v="0"/>
  </r>
  <r>
    <x v="2"/>
    <n v="1185732"/>
    <x v="218"/>
    <x v="0"/>
    <s v="Massachusetts"/>
    <s v="Boston"/>
    <x v="3"/>
    <n v="35"/>
    <n v="300"/>
    <n v="105000"/>
    <n v="26250"/>
    <n v="0.25"/>
    <x v="0"/>
  </r>
  <r>
    <x v="2"/>
    <n v="1185732"/>
    <x v="218"/>
    <x v="0"/>
    <s v="Massachusetts"/>
    <s v="Boston"/>
    <x v="4"/>
    <n v="50"/>
    <n v="100"/>
    <n v="50000"/>
    <n v="12500"/>
    <n v="0.25"/>
    <x v="0"/>
  </r>
  <r>
    <x v="2"/>
    <n v="1185732"/>
    <x v="218"/>
    <x v="0"/>
    <s v="Massachusetts"/>
    <s v="Boston"/>
    <x v="5"/>
    <n v="40"/>
    <n v="200"/>
    <n v="80000"/>
    <n v="24000"/>
    <n v="0.3"/>
    <x v="0"/>
  </r>
  <r>
    <x v="2"/>
    <n v="1185732"/>
    <x v="237"/>
    <x v="0"/>
    <s v="Massachusetts"/>
    <s v="Boston"/>
    <x v="0"/>
    <n v="40"/>
    <n v="450"/>
    <n v="180000"/>
    <n v="54000"/>
    <n v="0.3"/>
    <x v="0"/>
  </r>
  <r>
    <x v="2"/>
    <n v="1185732"/>
    <x v="237"/>
    <x v="0"/>
    <s v="Massachusetts"/>
    <s v="Boston"/>
    <x v="1"/>
    <n v="40"/>
    <n v="150"/>
    <n v="60000"/>
    <n v="18000"/>
    <n v="0.3"/>
    <x v="0"/>
  </r>
  <r>
    <x v="2"/>
    <n v="1185732"/>
    <x v="237"/>
    <x v="0"/>
    <s v="Massachusetts"/>
    <s v="Boston"/>
    <x v="2"/>
    <n v="30.000000000000004"/>
    <n v="150"/>
    <n v="45000.000000000007"/>
    <n v="11250.000000000002"/>
    <n v="0.25"/>
    <x v="0"/>
  </r>
  <r>
    <x v="2"/>
    <n v="1185732"/>
    <x v="237"/>
    <x v="0"/>
    <s v="Massachusetts"/>
    <s v="Boston"/>
    <x v="3"/>
    <n v="35"/>
    <n v="125"/>
    <n v="43750"/>
    <n v="10937.5"/>
    <n v="0.25"/>
    <x v="0"/>
  </r>
  <r>
    <x v="2"/>
    <n v="1185732"/>
    <x v="237"/>
    <x v="0"/>
    <s v="Massachusetts"/>
    <s v="Boston"/>
    <x v="4"/>
    <n v="50"/>
    <n v="125"/>
    <n v="62500"/>
    <n v="15625"/>
    <n v="0.25"/>
    <x v="0"/>
  </r>
  <r>
    <x v="2"/>
    <n v="1185732"/>
    <x v="237"/>
    <x v="0"/>
    <s v="Massachusetts"/>
    <s v="Boston"/>
    <x v="5"/>
    <n v="40"/>
    <n v="275"/>
    <n v="110000"/>
    <n v="33000"/>
    <n v="0.3"/>
    <x v="0"/>
  </r>
  <r>
    <x v="2"/>
    <n v="1185732"/>
    <x v="266"/>
    <x v="0"/>
    <s v="Massachusetts"/>
    <s v="Boston"/>
    <x v="0"/>
    <n v="54.999999999999993"/>
    <n v="495"/>
    <n v="272249.99999999994"/>
    <n v="81674.999999999985"/>
    <n v="0.3"/>
    <x v="0"/>
  </r>
  <r>
    <x v="2"/>
    <n v="1185732"/>
    <x v="266"/>
    <x v="0"/>
    <s v="Massachusetts"/>
    <s v="Boston"/>
    <x v="1"/>
    <n v="50"/>
    <n v="200"/>
    <n v="100000"/>
    <n v="30000"/>
    <n v="0.3"/>
    <x v="0"/>
  </r>
  <r>
    <x v="2"/>
    <n v="1185732"/>
    <x v="266"/>
    <x v="0"/>
    <s v="Massachusetts"/>
    <s v="Boston"/>
    <x v="2"/>
    <n v="45"/>
    <n v="225"/>
    <n v="101250"/>
    <n v="25312.5"/>
    <n v="0.25"/>
    <x v="0"/>
  </r>
  <r>
    <x v="2"/>
    <n v="1185732"/>
    <x v="266"/>
    <x v="0"/>
    <s v="Massachusetts"/>
    <s v="Boston"/>
    <x v="3"/>
    <n v="45"/>
    <n v="175"/>
    <n v="78750"/>
    <n v="19687.5"/>
    <n v="0.25"/>
    <x v="0"/>
  </r>
  <r>
    <x v="2"/>
    <n v="1185732"/>
    <x v="266"/>
    <x v="0"/>
    <s v="Massachusetts"/>
    <s v="Boston"/>
    <x v="4"/>
    <n v="54.999999999999993"/>
    <n v="200"/>
    <n v="109999.99999999999"/>
    <n v="27499.999999999996"/>
    <n v="0.25"/>
    <x v="0"/>
  </r>
  <r>
    <x v="2"/>
    <n v="1185732"/>
    <x v="266"/>
    <x v="0"/>
    <s v="Massachusetts"/>
    <s v="Boston"/>
    <x v="5"/>
    <n v="60"/>
    <n v="325"/>
    <n v="195000"/>
    <n v="58500"/>
    <n v="0.3"/>
    <x v="0"/>
  </r>
  <r>
    <x v="2"/>
    <n v="1185732"/>
    <x v="299"/>
    <x v="0"/>
    <s v="Massachusetts"/>
    <s v="Boston"/>
    <x v="0"/>
    <n v="54.999999999999993"/>
    <n v="575"/>
    <n v="316249.99999999994"/>
    <n v="94874.999999999985"/>
    <n v="0.3"/>
    <x v="0"/>
  </r>
  <r>
    <x v="2"/>
    <n v="1185732"/>
    <x v="299"/>
    <x v="0"/>
    <s v="Massachusetts"/>
    <s v="Boston"/>
    <x v="1"/>
    <n v="50"/>
    <n v="325"/>
    <n v="162500"/>
    <n v="48750"/>
    <n v="0.3"/>
    <x v="0"/>
  </r>
  <r>
    <x v="2"/>
    <n v="1185732"/>
    <x v="299"/>
    <x v="0"/>
    <s v="Massachusetts"/>
    <s v="Boston"/>
    <x v="2"/>
    <n v="45"/>
    <n v="250"/>
    <n v="112500"/>
    <n v="28125"/>
    <n v="0.25"/>
    <x v="0"/>
  </r>
  <r>
    <x v="2"/>
    <n v="1185732"/>
    <x v="299"/>
    <x v="0"/>
    <s v="Massachusetts"/>
    <s v="Boston"/>
    <x v="3"/>
    <n v="45"/>
    <n v="225"/>
    <n v="101250"/>
    <n v="25312.5"/>
    <n v="0.25"/>
    <x v="0"/>
  </r>
  <r>
    <x v="2"/>
    <n v="1185732"/>
    <x v="299"/>
    <x v="0"/>
    <s v="Massachusetts"/>
    <s v="Boston"/>
    <x v="4"/>
    <n v="54.999999999999993"/>
    <n v="225"/>
    <n v="123749.99999999999"/>
    <n v="30937.499999999996"/>
    <n v="0.25"/>
    <x v="0"/>
  </r>
  <r>
    <x v="2"/>
    <n v="1185732"/>
    <x v="299"/>
    <x v="0"/>
    <s v="Massachusetts"/>
    <s v="Boston"/>
    <x v="5"/>
    <n v="60"/>
    <n v="375"/>
    <n v="225000"/>
    <n v="67500"/>
    <n v="0.3"/>
    <x v="0"/>
  </r>
  <r>
    <x v="2"/>
    <n v="1185732"/>
    <x v="327"/>
    <x v="0"/>
    <s v="Massachusetts"/>
    <s v="Boston"/>
    <x v="0"/>
    <n v="54.999999999999993"/>
    <n v="600"/>
    <n v="329999.99999999994"/>
    <n v="98999.999999999985"/>
    <n v="0.3"/>
    <x v="0"/>
  </r>
  <r>
    <x v="2"/>
    <n v="1185732"/>
    <x v="327"/>
    <x v="0"/>
    <s v="Massachusetts"/>
    <s v="Boston"/>
    <x v="1"/>
    <n v="50"/>
    <n v="350"/>
    <n v="175000"/>
    <n v="52500"/>
    <n v="0.3"/>
    <x v="0"/>
  </r>
  <r>
    <x v="2"/>
    <n v="1185732"/>
    <x v="327"/>
    <x v="0"/>
    <s v="Massachusetts"/>
    <s v="Boston"/>
    <x v="2"/>
    <n v="45"/>
    <n v="275"/>
    <n v="123750"/>
    <n v="30937.5"/>
    <n v="0.25"/>
    <x v="0"/>
  </r>
  <r>
    <x v="2"/>
    <n v="1185732"/>
    <x v="327"/>
    <x v="0"/>
    <s v="Massachusetts"/>
    <s v="Boston"/>
    <x v="3"/>
    <n v="45"/>
    <n v="225"/>
    <n v="101250"/>
    <n v="25312.5"/>
    <n v="0.25"/>
    <x v="0"/>
  </r>
  <r>
    <x v="2"/>
    <n v="1185732"/>
    <x v="327"/>
    <x v="0"/>
    <s v="Massachusetts"/>
    <s v="Boston"/>
    <x v="4"/>
    <n v="54.999999999999993"/>
    <n v="250"/>
    <n v="137499.99999999997"/>
    <n v="34374.999999999993"/>
    <n v="0.25"/>
    <x v="0"/>
  </r>
  <r>
    <x v="2"/>
    <n v="1185732"/>
    <x v="327"/>
    <x v="0"/>
    <s v="Massachusetts"/>
    <s v="Boston"/>
    <x v="5"/>
    <n v="60"/>
    <n v="425"/>
    <n v="255000"/>
    <n v="76500"/>
    <n v="0.3"/>
    <x v="0"/>
  </r>
  <r>
    <x v="2"/>
    <n v="1185732"/>
    <x v="359"/>
    <x v="0"/>
    <s v="Massachusetts"/>
    <s v="Boston"/>
    <x v="0"/>
    <n v="54.999999999999993"/>
    <n v="575"/>
    <n v="316249.99999999994"/>
    <n v="94874.999999999985"/>
    <n v="0.3"/>
    <x v="0"/>
  </r>
  <r>
    <x v="2"/>
    <n v="1185732"/>
    <x v="359"/>
    <x v="0"/>
    <s v="Massachusetts"/>
    <s v="Boston"/>
    <x v="1"/>
    <n v="50"/>
    <n v="350"/>
    <n v="175000"/>
    <n v="52500"/>
    <n v="0.3"/>
    <x v="0"/>
  </r>
  <r>
    <x v="2"/>
    <n v="1185732"/>
    <x v="359"/>
    <x v="0"/>
    <s v="Massachusetts"/>
    <s v="Boston"/>
    <x v="2"/>
    <n v="45"/>
    <n v="275"/>
    <n v="123750"/>
    <n v="30937.5"/>
    <n v="0.25"/>
    <x v="0"/>
  </r>
  <r>
    <x v="2"/>
    <n v="1185732"/>
    <x v="359"/>
    <x v="0"/>
    <s v="Massachusetts"/>
    <s v="Boston"/>
    <x v="3"/>
    <n v="45"/>
    <n v="175"/>
    <n v="78750"/>
    <n v="19687.5"/>
    <n v="0.25"/>
    <x v="0"/>
  </r>
  <r>
    <x v="2"/>
    <n v="1185732"/>
    <x v="359"/>
    <x v="0"/>
    <s v="Massachusetts"/>
    <s v="Boston"/>
    <x v="4"/>
    <n v="54.999999999999993"/>
    <n v="150"/>
    <n v="82499.999999999985"/>
    <n v="20624.999999999996"/>
    <n v="0.25"/>
    <x v="0"/>
  </r>
  <r>
    <x v="2"/>
    <n v="1185732"/>
    <x v="359"/>
    <x v="0"/>
    <s v="Massachusetts"/>
    <s v="Boston"/>
    <x v="5"/>
    <n v="60"/>
    <n v="325"/>
    <n v="195000"/>
    <n v="58500"/>
    <n v="0.3"/>
    <x v="0"/>
  </r>
  <r>
    <x v="2"/>
    <n v="1185732"/>
    <x v="389"/>
    <x v="0"/>
    <s v="Massachusetts"/>
    <s v="Boston"/>
    <x v="0"/>
    <n v="54.999999999999993"/>
    <n v="450"/>
    <n v="247499.99999999997"/>
    <n v="74249.999999999985"/>
    <n v="0.3"/>
    <x v="0"/>
  </r>
  <r>
    <x v="2"/>
    <n v="1185732"/>
    <x v="389"/>
    <x v="0"/>
    <s v="Massachusetts"/>
    <s v="Boston"/>
    <x v="1"/>
    <n v="50"/>
    <n v="250"/>
    <n v="125000"/>
    <n v="37500"/>
    <n v="0.3"/>
    <x v="0"/>
  </r>
  <r>
    <x v="2"/>
    <n v="1185732"/>
    <x v="389"/>
    <x v="0"/>
    <s v="Massachusetts"/>
    <s v="Boston"/>
    <x v="2"/>
    <n v="45"/>
    <n v="150"/>
    <n v="67500"/>
    <n v="16875"/>
    <n v="0.25"/>
    <x v="0"/>
  </r>
  <r>
    <x v="2"/>
    <n v="1185732"/>
    <x v="389"/>
    <x v="0"/>
    <s v="Massachusetts"/>
    <s v="Boston"/>
    <x v="3"/>
    <n v="45"/>
    <n v="125"/>
    <n v="56250"/>
    <n v="14062.5"/>
    <n v="0.25"/>
    <x v="0"/>
  </r>
  <r>
    <x v="2"/>
    <n v="1185732"/>
    <x v="389"/>
    <x v="0"/>
    <s v="Massachusetts"/>
    <s v="Boston"/>
    <x v="4"/>
    <n v="54.999999999999993"/>
    <n v="125"/>
    <n v="68749.999999999985"/>
    <n v="17187.499999999996"/>
    <n v="0.25"/>
    <x v="0"/>
  </r>
  <r>
    <x v="2"/>
    <n v="1185732"/>
    <x v="389"/>
    <x v="0"/>
    <s v="Massachusetts"/>
    <s v="Boston"/>
    <x v="5"/>
    <n v="60"/>
    <n v="225"/>
    <n v="135000"/>
    <n v="40500"/>
    <n v="0.3"/>
    <x v="0"/>
  </r>
  <r>
    <x v="2"/>
    <n v="1185732"/>
    <x v="421"/>
    <x v="0"/>
    <s v="Massachusetts"/>
    <s v="Boston"/>
    <x v="0"/>
    <n v="60"/>
    <n v="400"/>
    <n v="240000"/>
    <n v="72000"/>
    <n v="0.3"/>
    <x v="0"/>
  </r>
  <r>
    <x v="2"/>
    <n v="1185732"/>
    <x v="421"/>
    <x v="0"/>
    <s v="Massachusetts"/>
    <s v="Boston"/>
    <x v="1"/>
    <n v="55.000000000000007"/>
    <n v="225"/>
    <n v="123750.00000000001"/>
    <n v="37125"/>
    <n v="0.3"/>
    <x v="0"/>
  </r>
  <r>
    <x v="2"/>
    <n v="1185732"/>
    <x v="421"/>
    <x v="0"/>
    <s v="Massachusetts"/>
    <s v="Boston"/>
    <x v="2"/>
    <n v="55.000000000000007"/>
    <n v="125"/>
    <n v="68750.000000000015"/>
    <n v="17187.500000000004"/>
    <n v="0.25"/>
    <x v="0"/>
  </r>
  <r>
    <x v="2"/>
    <n v="1185732"/>
    <x v="421"/>
    <x v="0"/>
    <s v="Massachusetts"/>
    <s v="Boston"/>
    <x v="3"/>
    <n v="55.000000000000007"/>
    <n v="100"/>
    <n v="55000.000000000007"/>
    <n v="13750.000000000002"/>
    <n v="0.25"/>
    <x v="0"/>
  </r>
  <r>
    <x v="2"/>
    <n v="1185732"/>
    <x v="421"/>
    <x v="0"/>
    <s v="Massachusetts"/>
    <s v="Boston"/>
    <x v="4"/>
    <n v="65"/>
    <n v="100"/>
    <n v="65000"/>
    <n v="16250"/>
    <n v="0.25"/>
    <x v="0"/>
  </r>
  <r>
    <x v="5"/>
    <n v="1185732"/>
    <x v="421"/>
    <x v="0"/>
    <s v="Massachusetts"/>
    <s v="Boston"/>
    <x v="5"/>
    <n v="70"/>
    <n v="225"/>
    <n v="157500"/>
    <n v="47250"/>
    <n v="0.3"/>
    <x v="0"/>
  </r>
  <r>
    <x v="5"/>
    <n v="1185732"/>
    <x v="451"/>
    <x v="0"/>
    <s v="Massachusetts"/>
    <s v="Boston"/>
    <x v="0"/>
    <n v="65"/>
    <n v="375"/>
    <n v="243750"/>
    <n v="73125"/>
    <n v="0.3"/>
    <x v="0"/>
  </r>
  <r>
    <x v="5"/>
    <n v="1185732"/>
    <x v="451"/>
    <x v="0"/>
    <s v="Massachusetts"/>
    <s v="Boston"/>
    <x v="1"/>
    <n v="55.000000000000007"/>
    <n v="300"/>
    <n v="165000.00000000003"/>
    <n v="49500.000000000007"/>
    <n v="0.3"/>
    <x v="0"/>
  </r>
  <r>
    <x v="5"/>
    <n v="1185732"/>
    <x v="451"/>
    <x v="0"/>
    <s v="Massachusetts"/>
    <s v="Boston"/>
    <x v="2"/>
    <n v="55.000000000000007"/>
    <n v="295"/>
    <n v="162250.00000000003"/>
    <n v="40562.500000000007"/>
    <n v="0.25"/>
    <x v="0"/>
  </r>
  <r>
    <x v="5"/>
    <n v="1185732"/>
    <x v="451"/>
    <x v="0"/>
    <s v="Massachusetts"/>
    <s v="Boston"/>
    <x v="3"/>
    <n v="55.000000000000007"/>
    <n v="275"/>
    <n v="151250.00000000003"/>
    <n v="37812.500000000007"/>
    <n v="0.25"/>
    <x v="0"/>
  </r>
  <r>
    <x v="5"/>
    <n v="1185732"/>
    <x v="451"/>
    <x v="0"/>
    <s v="Massachusetts"/>
    <s v="Boston"/>
    <x v="4"/>
    <n v="65"/>
    <n v="250"/>
    <n v="162500"/>
    <n v="40625"/>
    <n v="0.25"/>
    <x v="0"/>
  </r>
  <r>
    <x v="5"/>
    <n v="1185732"/>
    <x v="451"/>
    <x v="0"/>
    <s v="Massachusetts"/>
    <s v="Boston"/>
    <x v="5"/>
    <n v="70"/>
    <n v="350"/>
    <n v="245000"/>
    <n v="73500"/>
    <n v="0.3"/>
    <x v="0"/>
  </r>
  <r>
    <x v="5"/>
    <n v="1185732"/>
    <x v="480"/>
    <x v="0"/>
    <s v="Massachusetts"/>
    <s v="Boston"/>
    <x v="0"/>
    <n v="65"/>
    <n v="575"/>
    <n v="373750"/>
    <n v="112125"/>
    <n v="0.3"/>
    <x v="0"/>
  </r>
  <r>
    <x v="5"/>
    <n v="1185732"/>
    <x v="480"/>
    <x v="0"/>
    <s v="Massachusetts"/>
    <s v="Boston"/>
    <x v="1"/>
    <n v="55.000000000000007"/>
    <n v="375"/>
    <n v="206250.00000000003"/>
    <n v="61875.000000000007"/>
    <n v="0.3"/>
    <x v="0"/>
  </r>
  <r>
    <x v="5"/>
    <n v="1185732"/>
    <x v="480"/>
    <x v="0"/>
    <s v="Massachusetts"/>
    <s v="Boston"/>
    <x v="2"/>
    <n v="55.000000000000007"/>
    <n v="350"/>
    <n v="192500.00000000003"/>
    <n v="48125.000000000007"/>
    <n v="0.25"/>
    <x v="0"/>
  </r>
  <r>
    <x v="5"/>
    <n v="1185732"/>
    <x v="480"/>
    <x v="0"/>
    <s v="Massachusetts"/>
    <s v="Boston"/>
    <x v="3"/>
    <n v="55.000000000000007"/>
    <n v="300"/>
    <n v="165000.00000000003"/>
    <n v="41250.000000000007"/>
    <n v="0.25"/>
    <x v="0"/>
  </r>
  <r>
    <x v="5"/>
    <n v="1185732"/>
    <x v="480"/>
    <x v="0"/>
    <s v="Massachusetts"/>
    <s v="Boston"/>
    <x v="4"/>
    <n v="65"/>
    <n v="300"/>
    <n v="195000"/>
    <n v="48750"/>
    <n v="0.25"/>
    <x v="0"/>
  </r>
  <r>
    <x v="5"/>
    <n v="1185732"/>
    <x v="480"/>
    <x v="0"/>
    <s v="Massachusetts"/>
    <s v="Boston"/>
    <x v="5"/>
    <n v="70"/>
    <n v="400"/>
    <n v="280000"/>
    <n v="84000"/>
    <n v="0.3"/>
    <x v="0"/>
  </r>
  <r>
    <x v="5"/>
    <n v="1185732"/>
    <x v="178"/>
    <x v="0"/>
    <s v="Massachusetts"/>
    <s v="Boston"/>
    <x v="0"/>
    <n v="45"/>
    <n v="525"/>
    <n v="236250"/>
    <n v="106312.5"/>
    <n v="0.45"/>
    <x v="0"/>
  </r>
  <r>
    <x v="5"/>
    <n v="1185732"/>
    <x v="178"/>
    <x v="0"/>
    <s v="Massachusetts"/>
    <s v="Boston"/>
    <x v="1"/>
    <n v="45"/>
    <n v="325"/>
    <n v="146250"/>
    <n v="65812.5"/>
    <n v="0.45"/>
    <x v="0"/>
  </r>
  <r>
    <x v="5"/>
    <n v="1185732"/>
    <x v="178"/>
    <x v="0"/>
    <s v="Massachusetts"/>
    <s v="Boston"/>
    <x v="2"/>
    <n v="35"/>
    <n v="325"/>
    <n v="113750"/>
    <n v="39812.5"/>
    <n v="0.35"/>
    <x v="0"/>
  </r>
  <r>
    <x v="5"/>
    <n v="1185732"/>
    <x v="178"/>
    <x v="0"/>
    <s v="Massachusetts"/>
    <s v="Boston"/>
    <x v="3"/>
    <n v="40"/>
    <n v="175"/>
    <n v="70000"/>
    <n v="24500"/>
    <n v="0.35"/>
    <x v="0"/>
  </r>
  <r>
    <x v="5"/>
    <n v="1185732"/>
    <x v="178"/>
    <x v="0"/>
    <s v="Massachusetts"/>
    <s v="Boston"/>
    <x v="4"/>
    <n v="55.000000000000007"/>
    <n v="225"/>
    <n v="123750.00000000001"/>
    <n v="43312.5"/>
    <n v="0.35"/>
    <x v="0"/>
  </r>
  <r>
    <x v="5"/>
    <n v="1185732"/>
    <x v="178"/>
    <x v="0"/>
    <s v="Massachusetts"/>
    <s v="Boston"/>
    <x v="5"/>
    <n v="45"/>
    <n v="325"/>
    <n v="146250"/>
    <n v="58499.999999999993"/>
    <n v="0.39999999999999997"/>
    <x v="0"/>
  </r>
  <r>
    <x v="5"/>
    <n v="1185732"/>
    <x v="207"/>
    <x v="0"/>
    <s v="Massachusetts"/>
    <s v="Boston"/>
    <x v="0"/>
    <n v="45"/>
    <n v="575"/>
    <n v="258750"/>
    <n v="116437.5"/>
    <n v="0.45"/>
    <x v="0"/>
  </r>
  <r>
    <x v="5"/>
    <n v="1185732"/>
    <x v="207"/>
    <x v="0"/>
    <s v="Massachusetts"/>
    <s v="Boston"/>
    <x v="1"/>
    <n v="45"/>
    <n v="225"/>
    <n v="101250"/>
    <n v="45562.5"/>
    <n v="0.45"/>
    <x v="0"/>
  </r>
  <r>
    <x v="5"/>
    <n v="1185732"/>
    <x v="207"/>
    <x v="0"/>
    <s v="Massachusetts"/>
    <s v="Boston"/>
    <x v="2"/>
    <n v="35"/>
    <n v="275"/>
    <n v="96250"/>
    <n v="33687.5"/>
    <n v="0.35"/>
    <x v="0"/>
  </r>
  <r>
    <x v="5"/>
    <n v="1185732"/>
    <x v="207"/>
    <x v="0"/>
    <s v="Vermont"/>
    <s v="Burlington"/>
    <x v="3"/>
    <n v="40"/>
    <n v="150"/>
    <n v="60000"/>
    <n v="21000"/>
    <n v="0.35"/>
    <x v="0"/>
  </r>
  <r>
    <x v="5"/>
    <n v="1185732"/>
    <x v="207"/>
    <x v="0"/>
    <s v="Vermont"/>
    <s v="Burlington"/>
    <x v="4"/>
    <n v="55.000000000000007"/>
    <n v="225"/>
    <n v="123750.00000000001"/>
    <n v="43312.5"/>
    <n v="0.35"/>
    <x v="0"/>
  </r>
  <r>
    <x v="5"/>
    <n v="1185732"/>
    <x v="207"/>
    <x v="0"/>
    <s v="Vermont"/>
    <s v="Burlington"/>
    <x v="5"/>
    <n v="45"/>
    <n v="325"/>
    <n v="146250"/>
    <n v="58499.999999999993"/>
    <n v="0.39999999999999997"/>
    <x v="0"/>
  </r>
  <r>
    <x v="5"/>
    <n v="1185732"/>
    <x v="215"/>
    <x v="0"/>
    <s v="Vermont"/>
    <s v="Burlington"/>
    <x v="0"/>
    <n v="45"/>
    <n v="545"/>
    <n v="245250"/>
    <n v="110362.5"/>
    <n v="0.45"/>
    <x v="0"/>
  </r>
  <r>
    <x v="5"/>
    <n v="1185732"/>
    <x v="215"/>
    <x v="0"/>
    <s v="Vermont"/>
    <s v="Burlington"/>
    <x v="1"/>
    <n v="45"/>
    <n v="250"/>
    <n v="112500"/>
    <n v="50625"/>
    <n v="0.45"/>
    <x v="0"/>
  </r>
  <r>
    <x v="5"/>
    <n v="1185732"/>
    <x v="215"/>
    <x v="0"/>
    <s v="Vermont"/>
    <s v="Burlington"/>
    <x v="2"/>
    <n v="35"/>
    <n v="275"/>
    <n v="96250"/>
    <n v="33687.5"/>
    <n v="0.35"/>
    <x v="0"/>
  </r>
  <r>
    <x v="5"/>
    <n v="1185732"/>
    <x v="215"/>
    <x v="0"/>
    <s v="Vermont"/>
    <s v="Burlington"/>
    <x v="3"/>
    <n v="40"/>
    <n v="125"/>
    <n v="50000"/>
    <n v="17500"/>
    <n v="0.35"/>
    <x v="0"/>
  </r>
  <r>
    <x v="5"/>
    <n v="1185732"/>
    <x v="215"/>
    <x v="0"/>
    <s v="Vermont"/>
    <s v="Burlington"/>
    <x v="4"/>
    <n v="55.000000000000007"/>
    <n v="175"/>
    <n v="96250.000000000015"/>
    <n v="33687.5"/>
    <n v="0.35"/>
    <x v="0"/>
  </r>
  <r>
    <x v="5"/>
    <n v="1185732"/>
    <x v="215"/>
    <x v="0"/>
    <s v="Vermont"/>
    <s v="Burlington"/>
    <x v="5"/>
    <n v="45"/>
    <n v="275"/>
    <n v="123750"/>
    <n v="49499.999999999993"/>
    <n v="0.39999999999999997"/>
    <x v="0"/>
  </r>
  <r>
    <x v="5"/>
    <n v="1185732"/>
    <x v="234"/>
    <x v="0"/>
    <s v="Vermont"/>
    <s v="Burlington"/>
    <x v="0"/>
    <n v="45"/>
    <n v="525"/>
    <n v="236250"/>
    <n v="106312.5"/>
    <n v="0.45"/>
    <x v="0"/>
  </r>
  <r>
    <x v="5"/>
    <n v="1185732"/>
    <x v="234"/>
    <x v="0"/>
    <s v="Vermont"/>
    <s v="Burlington"/>
    <x v="1"/>
    <n v="45"/>
    <n v="225"/>
    <n v="101250"/>
    <n v="45562.5"/>
    <n v="0.45"/>
    <x v="0"/>
  </r>
  <r>
    <x v="5"/>
    <n v="1185732"/>
    <x v="234"/>
    <x v="0"/>
    <s v="Vermont"/>
    <s v="Burlington"/>
    <x v="2"/>
    <n v="35"/>
    <n v="225"/>
    <n v="78750"/>
    <n v="27562.5"/>
    <n v="0.35"/>
    <x v="0"/>
  </r>
  <r>
    <x v="5"/>
    <n v="1185732"/>
    <x v="234"/>
    <x v="0"/>
    <s v="Vermont"/>
    <s v="Burlington"/>
    <x v="3"/>
    <n v="40"/>
    <n v="150"/>
    <n v="60000"/>
    <n v="21000"/>
    <n v="0.35"/>
    <x v="0"/>
  </r>
  <r>
    <x v="5"/>
    <n v="1185732"/>
    <x v="234"/>
    <x v="0"/>
    <s v="Vermont"/>
    <s v="Burlington"/>
    <x v="4"/>
    <n v="55.000000000000007"/>
    <n v="150"/>
    <n v="82500.000000000015"/>
    <n v="28875.000000000004"/>
    <n v="0.35"/>
    <x v="0"/>
  </r>
  <r>
    <x v="5"/>
    <n v="1185732"/>
    <x v="234"/>
    <x v="0"/>
    <s v="Vermont"/>
    <s v="Burlington"/>
    <x v="5"/>
    <n v="45"/>
    <n v="300"/>
    <n v="135000"/>
    <n v="53999.999999999993"/>
    <n v="0.39999999999999997"/>
    <x v="0"/>
  </r>
  <r>
    <x v="5"/>
    <n v="1185732"/>
    <x v="263"/>
    <x v="0"/>
    <s v="Vermont"/>
    <s v="Burlington"/>
    <x v="0"/>
    <n v="60"/>
    <n v="570"/>
    <n v="342000"/>
    <n v="153900"/>
    <n v="0.45"/>
    <x v="0"/>
  </r>
  <r>
    <x v="5"/>
    <n v="1185732"/>
    <x v="263"/>
    <x v="0"/>
    <s v="Vermont"/>
    <s v="Burlington"/>
    <x v="1"/>
    <n v="55.000000000000007"/>
    <n v="275"/>
    <n v="151250.00000000003"/>
    <n v="68062.500000000015"/>
    <n v="0.45"/>
    <x v="0"/>
  </r>
  <r>
    <x v="5"/>
    <n v="1185732"/>
    <x v="263"/>
    <x v="0"/>
    <s v="Vermont"/>
    <s v="Burlington"/>
    <x v="2"/>
    <n v="50"/>
    <n v="300"/>
    <n v="150000"/>
    <n v="52500"/>
    <n v="0.35"/>
    <x v="0"/>
  </r>
  <r>
    <x v="5"/>
    <n v="1185732"/>
    <x v="263"/>
    <x v="0"/>
    <s v="Vermont"/>
    <s v="Burlington"/>
    <x v="3"/>
    <n v="50"/>
    <n v="250"/>
    <n v="125000"/>
    <n v="43750"/>
    <n v="0.35"/>
    <x v="0"/>
  </r>
  <r>
    <x v="5"/>
    <n v="1185732"/>
    <x v="263"/>
    <x v="0"/>
    <s v="Vermont"/>
    <s v="Burlington"/>
    <x v="4"/>
    <n v="60"/>
    <n v="275"/>
    <n v="165000"/>
    <n v="57749.999999999993"/>
    <n v="0.35"/>
    <x v="0"/>
  </r>
  <r>
    <x v="5"/>
    <n v="1185732"/>
    <x v="263"/>
    <x v="0"/>
    <s v="Vermont"/>
    <s v="Burlington"/>
    <x v="5"/>
    <n v="65"/>
    <n v="400"/>
    <n v="260000"/>
    <n v="103999.99999999999"/>
    <n v="0.39999999999999997"/>
    <x v="0"/>
  </r>
  <r>
    <x v="5"/>
    <n v="1185732"/>
    <x v="296"/>
    <x v="0"/>
    <s v="Vermont"/>
    <s v="Burlington"/>
    <x v="0"/>
    <n v="60"/>
    <n v="650"/>
    <n v="390000"/>
    <n v="175500"/>
    <n v="0.45"/>
    <x v="0"/>
  </r>
  <r>
    <x v="5"/>
    <n v="1185732"/>
    <x v="296"/>
    <x v="0"/>
    <s v="Vermont"/>
    <s v="Burlington"/>
    <x v="1"/>
    <n v="55.000000000000007"/>
    <n v="400"/>
    <n v="220000.00000000003"/>
    <n v="99000.000000000015"/>
    <n v="0.45"/>
    <x v="0"/>
  </r>
  <r>
    <x v="5"/>
    <n v="1185732"/>
    <x v="296"/>
    <x v="0"/>
    <s v="Vermont"/>
    <s v="Burlington"/>
    <x v="2"/>
    <n v="50"/>
    <n v="325"/>
    <n v="162500"/>
    <n v="56875"/>
    <n v="0.35"/>
    <x v="0"/>
  </r>
  <r>
    <x v="5"/>
    <n v="1185732"/>
    <x v="296"/>
    <x v="0"/>
    <s v="Vermont"/>
    <s v="Burlington"/>
    <x v="3"/>
    <n v="50"/>
    <n v="300"/>
    <n v="150000"/>
    <n v="52500"/>
    <n v="0.35"/>
    <x v="0"/>
  </r>
  <r>
    <x v="5"/>
    <n v="1185732"/>
    <x v="296"/>
    <x v="0"/>
    <s v="Vermont"/>
    <s v="Burlington"/>
    <x v="4"/>
    <n v="60"/>
    <n v="300"/>
    <n v="180000"/>
    <n v="62999.999999999993"/>
    <n v="0.35"/>
    <x v="0"/>
  </r>
  <r>
    <x v="5"/>
    <n v="1185732"/>
    <x v="296"/>
    <x v="0"/>
    <s v="Vermont"/>
    <s v="Burlington"/>
    <x v="5"/>
    <n v="65"/>
    <n v="450"/>
    <n v="292500"/>
    <n v="116999.99999999999"/>
    <n v="0.39999999999999997"/>
    <x v="0"/>
  </r>
  <r>
    <x v="5"/>
    <n v="1185732"/>
    <x v="324"/>
    <x v="0"/>
    <s v="Vermont"/>
    <s v="Burlington"/>
    <x v="0"/>
    <n v="60"/>
    <n v="675"/>
    <n v="405000"/>
    <n v="182250"/>
    <n v="0.45"/>
    <x v="0"/>
  </r>
  <r>
    <x v="5"/>
    <n v="1185732"/>
    <x v="324"/>
    <x v="0"/>
    <s v="Vermont"/>
    <s v="Burlington"/>
    <x v="1"/>
    <n v="55.000000000000007"/>
    <n v="425"/>
    <n v="233750.00000000003"/>
    <n v="105187.50000000001"/>
    <n v="0.45"/>
    <x v="0"/>
  </r>
  <r>
    <x v="5"/>
    <n v="1185732"/>
    <x v="324"/>
    <x v="0"/>
    <s v="Vermont"/>
    <s v="Burlington"/>
    <x v="2"/>
    <n v="50"/>
    <n v="350"/>
    <n v="175000"/>
    <n v="61249.999999999993"/>
    <n v="0.35"/>
    <x v="0"/>
  </r>
  <r>
    <x v="5"/>
    <n v="1185732"/>
    <x v="324"/>
    <x v="0"/>
    <s v="Vermont"/>
    <s v="Burlington"/>
    <x v="3"/>
    <n v="50"/>
    <n v="300"/>
    <n v="150000"/>
    <n v="52500"/>
    <n v="0.35"/>
    <x v="0"/>
  </r>
  <r>
    <x v="5"/>
    <n v="1185732"/>
    <x v="324"/>
    <x v="0"/>
    <s v="Vermont"/>
    <s v="Burlington"/>
    <x v="4"/>
    <n v="60"/>
    <n v="325"/>
    <n v="195000"/>
    <n v="68250"/>
    <n v="0.35"/>
    <x v="0"/>
  </r>
  <r>
    <x v="5"/>
    <n v="1185732"/>
    <x v="324"/>
    <x v="0"/>
    <s v="Vermont"/>
    <s v="Burlington"/>
    <x v="5"/>
    <n v="65"/>
    <n v="500"/>
    <n v="325000"/>
    <n v="129999.99999999999"/>
    <n v="0.39999999999999997"/>
    <x v="0"/>
  </r>
  <r>
    <x v="5"/>
    <n v="1185732"/>
    <x v="356"/>
    <x v="0"/>
    <s v="Vermont"/>
    <s v="Burlington"/>
    <x v="0"/>
    <n v="60"/>
    <n v="650"/>
    <n v="390000"/>
    <n v="175500"/>
    <n v="0.45"/>
    <x v="0"/>
  </r>
  <r>
    <x v="5"/>
    <n v="1185732"/>
    <x v="356"/>
    <x v="0"/>
    <s v="Vermont"/>
    <s v="Burlington"/>
    <x v="1"/>
    <n v="55.000000000000007"/>
    <n v="425"/>
    <n v="233750.00000000003"/>
    <n v="105187.50000000001"/>
    <n v="0.45"/>
    <x v="0"/>
  </r>
  <r>
    <x v="5"/>
    <n v="1185732"/>
    <x v="356"/>
    <x v="0"/>
    <s v="Vermont"/>
    <s v="Burlington"/>
    <x v="2"/>
    <n v="50"/>
    <n v="350"/>
    <n v="175000"/>
    <n v="61249.999999999993"/>
    <n v="0.35"/>
    <x v="0"/>
  </r>
  <r>
    <x v="5"/>
    <n v="1185732"/>
    <x v="356"/>
    <x v="0"/>
    <s v="Vermont"/>
    <s v="Burlington"/>
    <x v="3"/>
    <n v="50"/>
    <n v="250"/>
    <n v="125000"/>
    <n v="43750"/>
    <n v="0.35"/>
    <x v="0"/>
  </r>
  <r>
    <x v="5"/>
    <n v="1185732"/>
    <x v="356"/>
    <x v="0"/>
    <s v="Vermont"/>
    <s v="Burlington"/>
    <x v="4"/>
    <n v="60"/>
    <n v="225"/>
    <n v="135000"/>
    <n v="47250"/>
    <n v="0.35"/>
    <x v="0"/>
  </r>
  <r>
    <x v="5"/>
    <n v="1185732"/>
    <x v="356"/>
    <x v="0"/>
    <s v="Vermont"/>
    <s v="Burlington"/>
    <x v="5"/>
    <n v="65"/>
    <n v="400"/>
    <n v="260000"/>
    <n v="103999.99999999999"/>
    <n v="0.39999999999999997"/>
    <x v="0"/>
  </r>
  <r>
    <x v="5"/>
    <n v="1185732"/>
    <x v="386"/>
    <x v="0"/>
    <s v="Vermont"/>
    <s v="Burlington"/>
    <x v="0"/>
    <n v="60"/>
    <n v="525"/>
    <n v="315000"/>
    <n v="141750"/>
    <n v="0.45"/>
    <x v="0"/>
  </r>
  <r>
    <x v="5"/>
    <n v="1185732"/>
    <x v="386"/>
    <x v="0"/>
    <s v="Vermont"/>
    <s v="Burlington"/>
    <x v="1"/>
    <n v="55.000000000000007"/>
    <n v="325"/>
    <n v="178750.00000000003"/>
    <n v="80437.500000000015"/>
    <n v="0.45"/>
    <x v="0"/>
  </r>
  <r>
    <x v="5"/>
    <n v="1185732"/>
    <x v="386"/>
    <x v="0"/>
    <s v="Vermont"/>
    <s v="Burlington"/>
    <x v="2"/>
    <n v="50"/>
    <n v="225"/>
    <n v="112500"/>
    <n v="39375"/>
    <n v="0.35"/>
    <x v="0"/>
  </r>
  <r>
    <x v="5"/>
    <n v="1185732"/>
    <x v="386"/>
    <x v="0"/>
    <s v="Vermont"/>
    <s v="Burlington"/>
    <x v="3"/>
    <n v="50"/>
    <n v="200"/>
    <n v="100000"/>
    <n v="35000"/>
    <n v="0.35"/>
    <x v="0"/>
  </r>
  <r>
    <x v="5"/>
    <n v="1185732"/>
    <x v="386"/>
    <x v="0"/>
    <s v="Vermont"/>
    <s v="Burlington"/>
    <x v="4"/>
    <n v="60"/>
    <n v="200"/>
    <n v="120000"/>
    <n v="42000"/>
    <n v="0.35"/>
    <x v="0"/>
  </r>
  <r>
    <x v="5"/>
    <n v="1185732"/>
    <x v="386"/>
    <x v="0"/>
    <s v="Vermont"/>
    <s v="Burlington"/>
    <x v="5"/>
    <n v="65"/>
    <n v="300"/>
    <n v="195000"/>
    <n v="78000"/>
    <n v="0.39999999999999997"/>
    <x v="0"/>
  </r>
  <r>
    <x v="5"/>
    <n v="1185732"/>
    <x v="418"/>
    <x v="0"/>
    <s v="Vermont"/>
    <s v="Burlington"/>
    <x v="0"/>
    <n v="65"/>
    <n v="475"/>
    <n v="308750"/>
    <n v="138937.5"/>
    <n v="0.45"/>
    <x v="0"/>
  </r>
  <r>
    <x v="5"/>
    <n v="1185732"/>
    <x v="418"/>
    <x v="0"/>
    <s v="Vermont"/>
    <s v="Burlington"/>
    <x v="1"/>
    <n v="60.000000000000007"/>
    <n v="300"/>
    <n v="180000.00000000003"/>
    <n v="81000.000000000015"/>
    <n v="0.45"/>
    <x v="0"/>
  </r>
  <r>
    <x v="5"/>
    <n v="1185732"/>
    <x v="418"/>
    <x v="0"/>
    <s v="Vermont"/>
    <s v="Burlington"/>
    <x v="2"/>
    <n v="60.000000000000007"/>
    <n v="200"/>
    <n v="120000.00000000001"/>
    <n v="42000"/>
    <n v="0.35"/>
    <x v="0"/>
  </r>
  <r>
    <x v="5"/>
    <n v="1185732"/>
    <x v="418"/>
    <x v="0"/>
    <s v="Vermont"/>
    <s v="Burlington"/>
    <x v="3"/>
    <n v="60.000000000000007"/>
    <n v="175"/>
    <n v="105000.00000000001"/>
    <n v="36750"/>
    <n v="0.35"/>
    <x v="0"/>
  </r>
  <r>
    <x v="5"/>
    <n v="1185732"/>
    <x v="418"/>
    <x v="0"/>
    <s v="Vermont"/>
    <s v="Burlington"/>
    <x v="4"/>
    <n v="70"/>
    <n v="175"/>
    <n v="122500"/>
    <n v="42875"/>
    <n v="0.35"/>
    <x v="0"/>
  </r>
  <r>
    <x v="3"/>
    <n v="1185732"/>
    <x v="418"/>
    <x v="0"/>
    <s v="Vermont"/>
    <s v="Burlington"/>
    <x v="5"/>
    <n v="75"/>
    <n v="300"/>
    <n v="225000"/>
    <n v="89999.999999999985"/>
    <n v="0.39999999999999997"/>
    <x v="0"/>
  </r>
  <r>
    <x v="3"/>
    <n v="1185732"/>
    <x v="448"/>
    <x v="0"/>
    <s v="Vermont"/>
    <s v="Burlington"/>
    <x v="0"/>
    <n v="70"/>
    <n v="450"/>
    <n v="315000"/>
    <n v="141750"/>
    <n v="0.45"/>
    <x v="0"/>
  </r>
  <r>
    <x v="3"/>
    <n v="1185732"/>
    <x v="448"/>
    <x v="0"/>
    <s v="Vermont"/>
    <s v="Burlington"/>
    <x v="1"/>
    <n v="60.000000000000007"/>
    <n v="325"/>
    <n v="195000.00000000003"/>
    <n v="87750.000000000015"/>
    <n v="0.45"/>
    <x v="0"/>
  </r>
  <r>
    <x v="3"/>
    <n v="1185732"/>
    <x v="448"/>
    <x v="0"/>
    <s v="Vermont"/>
    <s v="Burlington"/>
    <x v="2"/>
    <n v="60.000000000000007"/>
    <n v="320"/>
    <n v="192000.00000000003"/>
    <n v="67200"/>
    <n v="0.35"/>
    <x v="0"/>
  </r>
  <r>
    <x v="5"/>
    <n v="1185732"/>
    <x v="448"/>
    <x v="0"/>
    <s v="Vermont"/>
    <s v="Burlington"/>
    <x v="3"/>
    <n v="60.000000000000007"/>
    <n v="300"/>
    <n v="180000.00000000003"/>
    <n v="63000.000000000007"/>
    <n v="0.35"/>
    <x v="0"/>
  </r>
  <r>
    <x v="5"/>
    <n v="1185732"/>
    <x v="448"/>
    <x v="0"/>
    <s v="Vermont"/>
    <s v="Burlington"/>
    <x v="4"/>
    <n v="70"/>
    <n v="275"/>
    <n v="192500"/>
    <n v="67375"/>
    <n v="0.35"/>
    <x v="0"/>
  </r>
  <r>
    <x v="5"/>
    <n v="1185732"/>
    <x v="448"/>
    <x v="0"/>
    <s v="Vermont"/>
    <s v="Burlington"/>
    <x v="5"/>
    <n v="75"/>
    <n v="375"/>
    <n v="281250"/>
    <n v="112499.99999999999"/>
    <n v="0.39999999999999997"/>
    <x v="0"/>
  </r>
  <r>
    <x v="5"/>
    <n v="1185732"/>
    <x v="477"/>
    <x v="0"/>
    <s v="Vermont"/>
    <s v="Burlington"/>
    <x v="0"/>
    <n v="70"/>
    <n v="600"/>
    <n v="420000"/>
    <n v="189000"/>
    <n v="0.45"/>
    <x v="0"/>
  </r>
  <r>
    <x v="5"/>
    <n v="1185732"/>
    <x v="477"/>
    <x v="0"/>
    <s v="Vermont"/>
    <s v="Burlington"/>
    <x v="1"/>
    <n v="60.000000000000007"/>
    <n v="400"/>
    <n v="240000.00000000003"/>
    <n v="108000.00000000001"/>
    <n v="0.45"/>
    <x v="0"/>
  </r>
  <r>
    <x v="5"/>
    <n v="1185732"/>
    <x v="477"/>
    <x v="0"/>
    <s v="Vermont"/>
    <s v="Burlington"/>
    <x v="2"/>
    <n v="60.000000000000007"/>
    <n v="375"/>
    <n v="225000.00000000003"/>
    <n v="78750"/>
    <n v="0.35"/>
    <x v="0"/>
  </r>
  <r>
    <x v="5"/>
    <n v="1185732"/>
    <x v="477"/>
    <x v="0"/>
    <s v="Vermont"/>
    <s v="Burlington"/>
    <x v="3"/>
    <n v="60.000000000000007"/>
    <n v="325"/>
    <n v="195000.00000000003"/>
    <n v="68250"/>
    <n v="0.35"/>
    <x v="0"/>
  </r>
  <r>
    <x v="5"/>
    <n v="1185732"/>
    <x v="477"/>
    <x v="0"/>
    <s v="Vermont"/>
    <s v="Burlington"/>
    <x v="4"/>
    <n v="70"/>
    <n v="325"/>
    <n v="227500"/>
    <n v="79625"/>
    <n v="0.35"/>
    <x v="0"/>
  </r>
  <r>
    <x v="5"/>
    <n v="1185732"/>
    <x v="477"/>
    <x v="0"/>
    <s v="Vermont"/>
    <s v="Burlington"/>
    <x v="5"/>
    <n v="75"/>
    <n v="425"/>
    <n v="318750"/>
    <n v="127499.99999999999"/>
    <n v="0.39999999999999997"/>
    <x v="0"/>
  </r>
  <r>
    <x v="5"/>
    <n v="1185732"/>
    <x v="185"/>
    <x v="0"/>
    <s v="Vermont"/>
    <s v="Burlington"/>
    <x v="0"/>
    <n v="50"/>
    <n v="525"/>
    <n v="262500"/>
    <n v="105000"/>
    <n v="0.4"/>
    <x v="0"/>
  </r>
  <r>
    <x v="5"/>
    <n v="1185732"/>
    <x v="185"/>
    <x v="0"/>
    <s v="Vermont"/>
    <s v="Burlington"/>
    <x v="1"/>
    <n v="50"/>
    <n v="325"/>
    <n v="162500"/>
    <n v="65000"/>
    <n v="0.4"/>
    <x v="0"/>
  </r>
  <r>
    <x v="5"/>
    <n v="1185732"/>
    <x v="185"/>
    <x v="0"/>
    <s v="Vermont"/>
    <s v="Burlington"/>
    <x v="2"/>
    <n v="40"/>
    <n v="325"/>
    <n v="130000"/>
    <n v="39000"/>
    <n v="0.3"/>
    <x v="0"/>
  </r>
  <r>
    <x v="5"/>
    <n v="1185732"/>
    <x v="185"/>
    <x v="0"/>
    <s v="Vermont"/>
    <s v="Burlington"/>
    <x v="3"/>
    <n v="44.999999999999993"/>
    <n v="175"/>
    <n v="78749.999999999985"/>
    <n v="23624.999999999996"/>
    <n v="0.3"/>
    <x v="0"/>
  </r>
  <r>
    <x v="5"/>
    <n v="1185732"/>
    <x v="185"/>
    <x v="0"/>
    <s v="Vermont"/>
    <s v="Burlington"/>
    <x v="4"/>
    <n v="60.000000000000007"/>
    <n v="225"/>
    <n v="135000.00000000003"/>
    <n v="40500.000000000007"/>
    <n v="0.3"/>
    <x v="0"/>
  </r>
  <r>
    <x v="5"/>
    <n v="1185732"/>
    <x v="185"/>
    <x v="0"/>
    <s v="Vermont"/>
    <s v="Burlington"/>
    <x v="5"/>
    <n v="50"/>
    <n v="325"/>
    <n v="162500"/>
    <n v="56875"/>
    <n v="0.35"/>
    <x v="0"/>
  </r>
  <r>
    <x v="5"/>
    <n v="1185732"/>
    <x v="693"/>
    <x v="0"/>
    <s v="Vermont"/>
    <s v="Burlington"/>
    <x v="0"/>
    <n v="50"/>
    <n v="600"/>
    <n v="300000"/>
    <n v="120000"/>
    <n v="0.4"/>
    <x v="0"/>
  </r>
  <r>
    <x v="5"/>
    <n v="1185732"/>
    <x v="693"/>
    <x v="0"/>
    <s v="Vermont"/>
    <s v="Burlington"/>
    <x v="1"/>
    <n v="50"/>
    <n v="250"/>
    <n v="125000"/>
    <n v="50000"/>
    <n v="0.4"/>
    <x v="0"/>
  </r>
  <r>
    <x v="5"/>
    <n v="1185732"/>
    <x v="693"/>
    <x v="0"/>
    <s v="Vermont"/>
    <s v="Burlington"/>
    <x v="2"/>
    <n v="40"/>
    <n v="300"/>
    <n v="120000"/>
    <n v="36000"/>
    <n v="0.3"/>
    <x v="0"/>
  </r>
  <r>
    <x v="5"/>
    <n v="1185732"/>
    <x v="693"/>
    <x v="0"/>
    <s v="New Hampshire"/>
    <s v="Manchester"/>
    <x v="3"/>
    <n v="44.999999999999993"/>
    <n v="200"/>
    <n v="89999.999999999985"/>
    <n v="26999.999999999996"/>
    <n v="0.3"/>
    <x v="0"/>
  </r>
  <r>
    <x v="5"/>
    <n v="1185732"/>
    <x v="693"/>
    <x v="0"/>
    <s v="New Hampshire"/>
    <s v="Manchester"/>
    <x v="4"/>
    <n v="60.000000000000007"/>
    <n v="275"/>
    <n v="165000.00000000003"/>
    <n v="49500.000000000007"/>
    <n v="0.3"/>
    <x v="0"/>
  </r>
  <r>
    <x v="5"/>
    <n v="1185732"/>
    <x v="693"/>
    <x v="0"/>
    <s v="New Hampshire"/>
    <s v="Manchester"/>
    <x v="5"/>
    <n v="50"/>
    <n v="375"/>
    <n v="187500"/>
    <n v="65625"/>
    <n v="0.35"/>
    <x v="0"/>
  </r>
  <r>
    <x v="5"/>
    <n v="1185732"/>
    <x v="222"/>
    <x v="0"/>
    <s v="New Hampshire"/>
    <s v="Manchester"/>
    <x v="0"/>
    <n v="50"/>
    <n v="570"/>
    <n v="285000"/>
    <n v="114000"/>
    <n v="0.4"/>
    <x v="0"/>
  </r>
  <r>
    <x v="5"/>
    <n v="1185732"/>
    <x v="222"/>
    <x v="0"/>
    <s v="New Hampshire"/>
    <s v="Manchester"/>
    <x v="1"/>
    <n v="50"/>
    <n v="275"/>
    <n v="137500"/>
    <n v="55000"/>
    <n v="0.4"/>
    <x v="0"/>
  </r>
  <r>
    <x v="5"/>
    <n v="1185732"/>
    <x v="222"/>
    <x v="0"/>
    <s v="New Hampshire"/>
    <s v="Manchester"/>
    <x v="2"/>
    <n v="40"/>
    <n v="300"/>
    <n v="120000"/>
    <n v="36000"/>
    <n v="0.3"/>
    <x v="0"/>
  </r>
  <r>
    <x v="5"/>
    <n v="1185732"/>
    <x v="222"/>
    <x v="0"/>
    <s v="New Hampshire"/>
    <s v="Manchester"/>
    <x v="3"/>
    <n v="44.999999999999993"/>
    <n v="150"/>
    <n v="67499.999999999985"/>
    <n v="20249.999999999996"/>
    <n v="0.3"/>
    <x v="0"/>
  </r>
  <r>
    <x v="5"/>
    <n v="1185732"/>
    <x v="222"/>
    <x v="0"/>
    <s v="New Hampshire"/>
    <s v="Manchester"/>
    <x v="4"/>
    <n v="60.000000000000007"/>
    <n v="200"/>
    <n v="120000.00000000001"/>
    <n v="36000"/>
    <n v="0.3"/>
    <x v="0"/>
  </r>
  <r>
    <x v="5"/>
    <n v="1185732"/>
    <x v="222"/>
    <x v="0"/>
    <s v="New Hampshire"/>
    <s v="Manchester"/>
    <x v="5"/>
    <n v="50"/>
    <n v="300"/>
    <n v="150000"/>
    <n v="52500"/>
    <n v="0.35"/>
    <x v="0"/>
  </r>
  <r>
    <x v="5"/>
    <n v="1185732"/>
    <x v="241"/>
    <x v="0"/>
    <s v="New Hampshire"/>
    <s v="Manchester"/>
    <x v="0"/>
    <n v="50"/>
    <n v="550"/>
    <n v="275000"/>
    <n v="110000"/>
    <n v="0.4"/>
    <x v="0"/>
  </r>
  <r>
    <x v="5"/>
    <n v="1185732"/>
    <x v="241"/>
    <x v="0"/>
    <s v="New Hampshire"/>
    <s v="Manchester"/>
    <x v="1"/>
    <n v="50"/>
    <n v="250"/>
    <n v="125000"/>
    <n v="50000"/>
    <n v="0.4"/>
    <x v="0"/>
  </r>
  <r>
    <x v="5"/>
    <n v="1185732"/>
    <x v="241"/>
    <x v="0"/>
    <s v="New Hampshire"/>
    <s v="Manchester"/>
    <x v="2"/>
    <n v="40"/>
    <n v="250"/>
    <n v="100000"/>
    <n v="30000"/>
    <n v="0.3"/>
    <x v="0"/>
  </r>
  <r>
    <x v="5"/>
    <n v="1185732"/>
    <x v="241"/>
    <x v="0"/>
    <s v="New Hampshire"/>
    <s v="Manchester"/>
    <x v="3"/>
    <n v="44.999999999999993"/>
    <n v="175"/>
    <n v="78749.999999999985"/>
    <n v="23624.999999999996"/>
    <n v="0.3"/>
    <x v="0"/>
  </r>
  <r>
    <x v="5"/>
    <n v="1185732"/>
    <x v="241"/>
    <x v="0"/>
    <s v="New Hampshire"/>
    <s v="Manchester"/>
    <x v="4"/>
    <n v="60.000000000000007"/>
    <n v="175"/>
    <n v="105000.00000000001"/>
    <n v="31500.000000000004"/>
    <n v="0.3"/>
    <x v="0"/>
  </r>
  <r>
    <x v="5"/>
    <n v="1185732"/>
    <x v="241"/>
    <x v="0"/>
    <s v="New Hampshire"/>
    <s v="Manchester"/>
    <x v="5"/>
    <n v="50"/>
    <n v="325"/>
    <n v="162500"/>
    <n v="56875"/>
    <n v="0.35"/>
    <x v="0"/>
  </r>
  <r>
    <x v="5"/>
    <n v="1185732"/>
    <x v="270"/>
    <x v="0"/>
    <s v="New Hampshire"/>
    <s v="Manchester"/>
    <x v="0"/>
    <n v="65"/>
    <n v="595"/>
    <n v="386750"/>
    <n v="154700"/>
    <n v="0.4"/>
    <x v="0"/>
  </r>
  <r>
    <x v="5"/>
    <n v="1185732"/>
    <x v="270"/>
    <x v="0"/>
    <s v="New Hampshire"/>
    <s v="Manchester"/>
    <x v="1"/>
    <n v="60.000000000000007"/>
    <n v="300"/>
    <n v="180000.00000000003"/>
    <n v="72000.000000000015"/>
    <n v="0.4"/>
    <x v="0"/>
  </r>
  <r>
    <x v="5"/>
    <n v="1185732"/>
    <x v="270"/>
    <x v="0"/>
    <s v="New Hampshire"/>
    <s v="Manchester"/>
    <x v="2"/>
    <n v="55.000000000000007"/>
    <n v="325"/>
    <n v="178750.00000000003"/>
    <n v="53625.000000000007"/>
    <n v="0.3"/>
    <x v="0"/>
  </r>
  <r>
    <x v="5"/>
    <n v="1185732"/>
    <x v="270"/>
    <x v="0"/>
    <s v="New Hampshire"/>
    <s v="Manchester"/>
    <x v="3"/>
    <n v="55.000000000000007"/>
    <n v="275"/>
    <n v="151250.00000000003"/>
    <n v="45375.000000000007"/>
    <n v="0.3"/>
    <x v="0"/>
  </r>
  <r>
    <x v="5"/>
    <n v="1185732"/>
    <x v="270"/>
    <x v="0"/>
    <s v="New Hampshire"/>
    <s v="Manchester"/>
    <x v="4"/>
    <n v="65"/>
    <n v="300"/>
    <n v="195000"/>
    <n v="58500"/>
    <n v="0.3"/>
    <x v="0"/>
  </r>
  <r>
    <x v="5"/>
    <n v="1185732"/>
    <x v="270"/>
    <x v="0"/>
    <s v="New Hampshire"/>
    <s v="Manchester"/>
    <x v="5"/>
    <n v="70"/>
    <n v="425"/>
    <n v="297500"/>
    <n v="104125"/>
    <n v="0.35"/>
    <x v="0"/>
  </r>
  <r>
    <x v="5"/>
    <n v="1185732"/>
    <x v="303"/>
    <x v="0"/>
    <s v="New Hampshire"/>
    <s v="Manchester"/>
    <x v="0"/>
    <n v="65"/>
    <n v="675"/>
    <n v="438750"/>
    <n v="175500"/>
    <n v="0.4"/>
    <x v="0"/>
  </r>
  <r>
    <x v="5"/>
    <n v="1185732"/>
    <x v="303"/>
    <x v="0"/>
    <s v="New Hampshire"/>
    <s v="Manchester"/>
    <x v="1"/>
    <n v="60.000000000000007"/>
    <n v="425"/>
    <n v="255000.00000000003"/>
    <n v="102000.00000000001"/>
    <n v="0.4"/>
    <x v="0"/>
  </r>
  <r>
    <x v="5"/>
    <n v="1185732"/>
    <x v="303"/>
    <x v="0"/>
    <s v="New Hampshire"/>
    <s v="Manchester"/>
    <x v="2"/>
    <n v="55.000000000000007"/>
    <n v="350"/>
    <n v="192500.00000000003"/>
    <n v="57750.000000000007"/>
    <n v="0.3"/>
    <x v="0"/>
  </r>
  <r>
    <x v="5"/>
    <n v="1185732"/>
    <x v="303"/>
    <x v="0"/>
    <s v="New Hampshire"/>
    <s v="Manchester"/>
    <x v="3"/>
    <n v="55.000000000000007"/>
    <n v="325"/>
    <n v="178750.00000000003"/>
    <n v="53625.000000000007"/>
    <n v="0.3"/>
    <x v="0"/>
  </r>
  <r>
    <x v="5"/>
    <n v="1185732"/>
    <x v="303"/>
    <x v="0"/>
    <s v="New Hampshire"/>
    <s v="Manchester"/>
    <x v="4"/>
    <n v="65"/>
    <n v="325"/>
    <n v="211250"/>
    <n v="63375"/>
    <n v="0.3"/>
    <x v="0"/>
  </r>
  <r>
    <x v="5"/>
    <n v="1185732"/>
    <x v="303"/>
    <x v="0"/>
    <s v="New Hampshire"/>
    <s v="Manchester"/>
    <x v="5"/>
    <n v="70"/>
    <n v="475"/>
    <n v="332500"/>
    <n v="116374.99999999999"/>
    <n v="0.35"/>
    <x v="0"/>
  </r>
  <r>
    <x v="5"/>
    <n v="1185732"/>
    <x v="331"/>
    <x v="0"/>
    <s v="New Hampshire"/>
    <s v="Manchester"/>
    <x v="0"/>
    <n v="65"/>
    <n v="700"/>
    <n v="455000"/>
    <n v="182000"/>
    <n v="0.4"/>
    <x v="0"/>
  </r>
  <r>
    <x v="5"/>
    <n v="1185732"/>
    <x v="331"/>
    <x v="0"/>
    <s v="New Hampshire"/>
    <s v="Manchester"/>
    <x v="1"/>
    <n v="60.000000000000007"/>
    <n v="450"/>
    <n v="270000.00000000006"/>
    <n v="108000.00000000003"/>
    <n v="0.4"/>
    <x v="1"/>
  </r>
  <r>
    <x v="5"/>
    <n v="1185732"/>
    <x v="331"/>
    <x v="0"/>
    <s v="New Hampshire"/>
    <s v="Manchester"/>
    <x v="2"/>
    <n v="55.000000000000007"/>
    <n v="375"/>
    <n v="206250.00000000003"/>
    <n v="61875.000000000007"/>
    <n v="0.3"/>
    <x v="1"/>
  </r>
  <r>
    <x v="5"/>
    <n v="1185732"/>
    <x v="331"/>
    <x v="0"/>
    <s v="New Hampshire"/>
    <s v="Manchester"/>
    <x v="3"/>
    <n v="55.000000000000007"/>
    <n v="325"/>
    <n v="178750.00000000003"/>
    <n v="53625.000000000007"/>
    <n v="0.3"/>
    <x v="1"/>
  </r>
  <r>
    <x v="5"/>
    <n v="1185732"/>
    <x v="331"/>
    <x v="0"/>
    <s v="New Hampshire"/>
    <s v="Manchester"/>
    <x v="4"/>
    <n v="65"/>
    <n v="350"/>
    <n v="227500"/>
    <n v="68250"/>
    <n v="0.3"/>
    <x v="1"/>
  </r>
  <r>
    <x v="5"/>
    <n v="1185732"/>
    <x v="331"/>
    <x v="0"/>
    <s v="New Hampshire"/>
    <s v="Manchester"/>
    <x v="5"/>
    <n v="70"/>
    <n v="525"/>
    <n v="367500"/>
    <n v="128624.99999999999"/>
    <n v="0.35"/>
    <x v="1"/>
  </r>
  <r>
    <x v="5"/>
    <n v="1185732"/>
    <x v="363"/>
    <x v="0"/>
    <s v="New Hampshire"/>
    <s v="Manchester"/>
    <x v="0"/>
    <n v="65"/>
    <n v="675"/>
    <n v="438750"/>
    <n v="175500"/>
    <n v="0.4"/>
    <x v="1"/>
  </r>
  <r>
    <x v="5"/>
    <n v="1185732"/>
    <x v="363"/>
    <x v="0"/>
    <s v="New Hampshire"/>
    <s v="Manchester"/>
    <x v="1"/>
    <n v="60.000000000000007"/>
    <n v="450"/>
    <n v="270000.00000000006"/>
    <n v="108000.00000000003"/>
    <n v="0.4"/>
    <x v="1"/>
  </r>
  <r>
    <x v="5"/>
    <n v="1185732"/>
    <x v="363"/>
    <x v="0"/>
    <s v="New Hampshire"/>
    <s v="Manchester"/>
    <x v="2"/>
    <n v="55.000000000000007"/>
    <n v="375"/>
    <n v="206250.00000000003"/>
    <n v="61875.000000000007"/>
    <n v="0.3"/>
    <x v="1"/>
  </r>
  <r>
    <x v="5"/>
    <n v="1185732"/>
    <x v="363"/>
    <x v="0"/>
    <s v="New Hampshire"/>
    <s v="Manchester"/>
    <x v="3"/>
    <n v="55.000000000000007"/>
    <n v="275"/>
    <n v="151250.00000000003"/>
    <n v="45375.000000000007"/>
    <n v="0.3"/>
    <x v="1"/>
  </r>
  <r>
    <x v="5"/>
    <n v="1185732"/>
    <x v="363"/>
    <x v="0"/>
    <s v="New Hampshire"/>
    <s v="Manchester"/>
    <x v="4"/>
    <n v="65"/>
    <n v="250"/>
    <n v="162500"/>
    <n v="48750"/>
    <n v="0.3"/>
    <x v="1"/>
  </r>
  <r>
    <x v="5"/>
    <n v="1185732"/>
    <x v="363"/>
    <x v="0"/>
    <s v="New Hampshire"/>
    <s v="Manchester"/>
    <x v="5"/>
    <n v="70"/>
    <n v="425"/>
    <n v="297500"/>
    <n v="104125"/>
    <n v="0.35"/>
    <x v="1"/>
  </r>
  <r>
    <x v="5"/>
    <n v="1185732"/>
    <x v="393"/>
    <x v="0"/>
    <s v="New Hampshire"/>
    <s v="Manchester"/>
    <x v="0"/>
    <n v="65"/>
    <n v="550"/>
    <n v="357500"/>
    <n v="143000"/>
    <n v="0.4"/>
    <x v="1"/>
  </r>
  <r>
    <x v="5"/>
    <n v="1185732"/>
    <x v="393"/>
    <x v="0"/>
    <s v="New Hampshire"/>
    <s v="Manchester"/>
    <x v="1"/>
    <n v="60.000000000000007"/>
    <n v="350"/>
    <n v="210000.00000000003"/>
    <n v="84000.000000000015"/>
    <n v="0.4"/>
    <x v="1"/>
  </r>
  <r>
    <x v="5"/>
    <n v="1185732"/>
    <x v="393"/>
    <x v="0"/>
    <s v="New Hampshire"/>
    <s v="Manchester"/>
    <x v="2"/>
    <n v="55.000000000000007"/>
    <n v="250"/>
    <n v="137500.00000000003"/>
    <n v="41250.000000000007"/>
    <n v="0.3"/>
    <x v="1"/>
  </r>
  <r>
    <x v="5"/>
    <n v="1185732"/>
    <x v="393"/>
    <x v="0"/>
    <s v="New Hampshire"/>
    <s v="Manchester"/>
    <x v="3"/>
    <n v="55.000000000000007"/>
    <n v="225"/>
    <n v="123750.00000000001"/>
    <n v="37125"/>
    <n v="0.3"/>
    <x v="1"/>
  </r>
  <r>
    <x v="5"/>
    <n v="1185732"/>
    <x v="393"/>
    <x v="0"/>
    <s v="New Hampshire"/>
    <s v="Manchester"/>
    <x v="4"/>
    <n v="65"/>
    <n v="225"/>
    <n v="146250"/>
    <n v="43875"/>
    <n v="0.3"/>
    <x v="1"/>
  </r>
  <r>
    <x v="5"/>
    <n v="1185732"/>
    <x v="393"/>
    <x v="0"/>
    <s v="New Hampshire"/>
    <s v="Manchester"/>
    <x v="5"/>
    <n v="70"/>
    <n v="325"/>
    <n v="227500"/>
    <n v="79625"/>
    <n v="0.35"/>
    <x v="1"/>
  </r>
  <r>
    <x v="0"/>
    <n v="1185732"/>
    <x v="425"/>
    <x v="0"/>
    <s v="New Hampshire"/>
    <s v="Manchester"/>
    <x v="0"/>
    <n v="70"/>
    <n v="475"/>
    <n v="332500"/>
    <n v="133000"/>
    <n v="0.4"/>
    <x v="1"/>
  </r>
  <r>
    <x v="0"/>
    <n v="1185732"/>
    <x v="425"/>
    <x v="0"/>
    <s v="New Hampshire"/>
    <s v="Manchester"/>
    <x v="1"/>
    <n v="65.000000000000014"/>
    <n v="300"/>
    <n v="195000.00000000003"/>
    <n v="78000.000000000015"/>
    <n v="0.4"/>
    <x v="1"/>
  </r>
  <r>
    <x v="0"/>
    <n v="1185732"/>
    <x v="425"/>
    <x v="0"/>
    <s v="New Hampshire"/>
    <s v="Manchester"/>
    <x v="2"/>
    <n v="65.000000000000014"/>
    <n v="200"/>
    <n v="130000.00000000003"/>
    <n v="39000.000000000007"/>
    <n v="0.3"/>
    <x v="1"/>
  </r>
  <r>
    <x v="0"/>
    <n v="1185732"/>
    <x v="425"/>
    <x v="0"/>
    <s v="New Hampshire"/>
    <s v="Manchester"/>
    <x v="3"/>
    <n v="65.000000000000014"/>
    <n v="175"/>
    <n v="113750.00000000003"/>
    <n v="34125.000000000007"/>
    <n v="0.3"/>
    <x v="1"/>
  </r>
  <r>
    <x v="0"/>
    <n v="1185732"/>
    <x v="425"/>
    <x v="0"/>
    <s v="New Hampshire"/>
    <s v="Manchester"/>
    <x v="4"/>
    <n v="75.000000000000014"/>
    <n v="175"/>
    <n v="131250.00000000003"/>
    <n v="39375.000000000007"/>
    <n v="0.3"/>
    <x v="1"/>
  </r>
  <r>
    <x v="0"/>
    <n v="1185732"/>
    <x v="425"/>
    <x v="0"/>
    <s v="New Hampshire"/>
    <s v="Manchester"/>
    <x v="5"/>
    <n v="80"/>
    <n v="300"/>
    <n v="240000"/>
    <n v="84000"/>
    <n v="0.35"/>
    <x v="1"/>
  </r>
  <r>
    <x v="0"/>
    <n v="1185732"/>
    <x v="455"/>
    <x v="0"/>
    <s v="New Hampshire"/>
    <s v="Manchester"/>
    <x v="0"/>
    <n v="75.000000000000014"/>
    <n v="450"/>
    <n v="337500.00000000006"/>
    <n v="135000.00000000003"/>
    <n v="0.4"/>
    <x v="1"/>
  </r>
  <r>
    <x v="0"/>
    <n v="1185732"/>
    <x v="455"/>
    <x v="0"/>
    <s v="New Hampshire"/>
    <s v="Manchester"/>
    <x v="1"/>
    <n v="65.000000000000014"/>
    <n v="325"/>
    <n v="211250.00000000006"/>
    <n v="84500.000000000029"/>
    <n v="0.4"/>
    <x v="1"/>
  </r>
  <r>
    <x v="0"/>
    <n v="1185732"/>
    <x v="455"/>
    <x v="0"/>
    <s v="New Hampshire"/>
    <s v="Manchester"/>
    <x v="2"/>
    <n v="65.000000000000014"/>
    <n v="345"/>
    <n v="224250.00000000006"/>
    <n v="67275.000000000015"/>
    <n v="0.3"/>
    <x v="1"/>
  </r>
  <r>
    <x v="0"/>
    <n v="1185732"/>
    <x v="455"/>
    <x v="0"/>
    <s v="New Hampshire"/>
    <s v="Manchester"/>
    <x v="3"/>
    <n v="65.000000000000014"/>
    <n v="325"/>
    <n v="211250.00000000006"/>
    <n v="63375.000000000015"/>
    <n v="0.3"/>
    <x v="1"/>
  </r>
  <r>
    <x v="0"/>
    <n v="1185732"/>
    <x v="455"/>
    <x v="0"/>
    <s v="New Hampshire"/>
    <s v="Manchester"/>
    <x v="4"/>
    <n v="75.000000000000014"/>
    <n v="300"/>
    <n v="225000.00000000003"/>
    <n v="67500"/>
    <n v="0.3"/>
    <x v="1"/>
  </r>
  <r>
    <x v="0"/>
    <n v="1185732"/>
    <x v="455"/>
    <x v="0"/>
    <s v="New Hampshire"/>
    <s v="Manchester"/>
    <x v="5"/>
    <n v="80"/>
    <n v="400"/>
    <n v="320000"/>
    <n v="112000"/>
    <n v="0.35"/>
    <x v="1"/>
  </r>
  <r>
    <x v="0"/>
    <n v="1185732"/>
    <x v="484"/>
    <x v="0"/>
    <s v="New Hampshire"/>
    <s v="Manchester"/>
    <x v="0"/>
    <n v="75.000000000000014"/>
    <n v="625"/>
    <n v="468750.00000000012"/>
    <n v="187500.00000000006"/>
    <n v="0.4"/>
    <x v="1"/>
  </r>
  <r>
    <x v="0"/>
    <n v="1185732"/>
    <x v="484"/>
    <x v="0"/>
    <s v="New Hampshire"/>
    <s v="Manchester"/>
    <x v="1"/>
    <n v="65.000000000000014"/>
    <n v="425"/>
    <n v="276250.00000000006"/>
    <n v="110500.00000000003"/>
    <n v="0.4"/>
    <x v="1"/>
  </r>
  <r>
    <x v="0"/>
    <n v="1185732"/>
    <x v="484"/>
    <x v="0"/>
    <s v="New Hampshire"/>
    <s v="Manchester"/>
    <x v="2"/>
    <n v="65.000000000000014"/>
    <n v="400"/>
    <n v="260000.00000000006"/>
    <n v="78000.000000000015"/>
    <n v="0.3"/>
    <x v="1"/>
  </r>
  <r>
    <x v="0"/>
    <n v="1185732"/>
    <x v="484"/>
    <x v="0"/>
    <s v="New Hampshire"/>
    <s v="Manchester"/>
    <x v="3"/>
    <n v="65.000000000000014"/>
    <n v="350"/>
    <n v="227500.00000000006"/>
    <n v="68250.000000000015"/>
    <n v="0.3"/>
    <x v="1"/>
  </r>
  <r>
    <x v="0"/>
    <n v="1185732"/>
    <x v="484"/>
    <x v="0"/>
    <s v="New Hampshire"/>
    <s v="Manchester"/>
    <x v="4"/>
    <n v="75.000000000000014"/>
    <n v="350"/>
    <n v="262500.00000000006"/>
    <n v="78750.000000000015"/>
    <n v="0.3"/>
    <x v="1"/>
  </r>
  <r>
    <x v="0"/>
    <n v="1185732"/>
    <x v="484"/>
    <x v="0"/>
    <s v="New Hampshire"/>
    <s v="Manchester"/>
    <x v="5"/>
    <n v="80"/>
    <n v="450"/>
    <n v="360000"/>
    <n v="125999.99999999999"/>
    <n v="0.35"/>
    <x v="1"/>
  </r>
  <r>
    <x v="0"/>
    <n v="1185732"/>
    <x v="188"/>
    <x v="0"/>
    <s v="New Hampshire"/>
    <s v="Manchester"/>
    <x v="0"/>
    <n v="55.000000000000007"/>
    <n v="500"/>
    <n v="275000.00000000006"/>
    <n v="96250.000000000029"/>
    <n v="0.35000000000000003"/>
    <x v="1"/>
  </r>
  <r>
    <x v="0"/>
    <n v="1185732"/>
    <x v="188"/>
    <x v="0"/>
    <s v="New Hampshire"/>
    <s v="Manchester"/>
    <x v="1"/>
    <n v="55.000000000000007"/>
    <n v="300"/>
    <n v="165000.00000000003"/>
    <n v="57750.000000000015"/>
    <n v="0.35000000000000003"/>
    <x v="1"/>
  </r>
  <r>
    <x v="0"/>
    <n v="1185732"/>
    <x v="188"/>
    <x v="0"/>
    <s v="New Hampshire"/>
    <s v="Manchester"/>
    <x v="2"/>
    <n v="45"/>
    <n v="300"/>
    <n v="135000"/>
    <n v="33750"/>
    <n v="0.25"/>
    <x v="1"/>
  </r>
  <r>
    <x v="0"/>
    <n v="1185732"/>
    <x v="188"/>
    <x v="0"/>
    <s v="New Hampshire"/>
    <s v="Manchester"/>
    <x v="3"/>
    <n v="49.999999999999993"/>
    <n v="150"/>
    <n v="74999.999999999985"/>
    <n v="18749.999999999996"/>
    <n v="0.25"/>
    <x v="1"/>
  </r>
  <r>
    <x v="0"/>
    <n v="1185732"/>
    <x v="188"/>
    <x v="0"/>
    <s v="New Hampshire"/>
    <s v="Manchester"/>
    <x v="4"/>
    <n v="65.000000000000014"/>
    <n v="200"/>
    <n v="130000.00000000003"/>
    <n v="32500.000000000007"/>
    <n v="0.25"/>
    <x v="1"/>
  </r>
  <r>
    <x v="0"/>
    <n v="1185732"/>
    <x v="188"/>
    <x v="0"/>
    <s v="New Hampshire"/>
    <s v="Manchester"/>
    <x v="5"/>
    <n v="55.000000000000007"/>
    <n v="300"/>
    <n v="165000.00000000003"/>
    <n v="49500.000000000007"/>
    <n v="0.3"/>
    <x v="1"/>
  </r>
  <r>
    <x v="0"/>
    <n v="1185732"/>
    <x v="696"/>
    <x v="0"/>
    <s v="New Hampshire"/>
    <s v="Manchester"/>
    <x v="0"/>
    <n v="55.000000000000007"/>
    <n v="575"/>
    <n v="316250.00000000006"/>
    <n v="110687.50000000003"/>
    <n v="0.35000000000000003"/>
    <x v="1"/>
  </r>
  <r>
    <x v="0"/>
    <n v="1185732"/>
    <x v="696"/>
    <x v="0"/>
    <s v="New Hampshire"/>
    <s v="Manchester"/>
    <x v="1"/>
    <n v="55.000000000000007"/>
    <n v="225"/>
    <n v="123750.00000000001"/>
    <n v="43312.500000000007"/>
    <n v="0.35000000000000003"/>
    <x v="1"/>
  </r>
  <r>
    <x v="0"/>
    <n v="1185732"/>
    <x v="696"/>
    <x v="0"/>
    <s v="New Hampshire"/>
    <s v="Manchester"/>
    <x v="2"/>
    <n v="45"/>
    <n v="275"/>
    <n v="123750"/>
    <n v="30937.5"/>
    <n v="0.25"/>
    <x v="1"/>
  </r>
  <r>
    <x v="0"/>
    <n v="1185732"/>
    <x v="0"/>
    <x v="0"/>
    <s v="New York"/>
    <s v="New York"/>
    <x v="0"/>
    <n v="47"/>
    <n v="336"/>
    <n v="15792"/>
    <n v="9633.119999999999"/>
    <n v="0.61"/>
    <x v="2"/>
  </r>
  <r>
    <x v="0"/>
    <n v="1185732"/>
    <x v="1"/>
    <x v="0"/>
    <s v="New York"/>
    <s v="New York"/>
    <x v="1"/>
    <n v="47"/>
    <n v="260"/>
    <n v="12220"/>
    <n v="5132.3999999999996"/>
    <n v="0.42"/>
    <x v="2"/>
  </r>
  <r>
    <x v="0"/>
    <n v="1185732"/>
    <x v="2"/>
    <x v="0"/>
    <s v="New York"/>
    <s v="New York"/>
    <x v="2"/>
    <n v="36"/>
    <n v="250"/>
    <n v="9000"/>
    <n v="4140"/>
    <n v="0.45999999999999996"/>
    <x v="2"/>
  </r>
  <r>
    <x v="0"/>
    <n v="1185732"/>
    <x v="3"/>
    <x v="0"/>
    <s v="New York"/>
    <s v="New York"/>
    <x v="3"/>
    <n v="41"/>
    <n v="247"/>
    <n v="10127"/>
    <n v="4658.42"/>
    <n v="0.45999999999999996"/>
    <x v="2"/>
  </r>
  <r>
    <x v="0"/>
    <n v="1185732"/>
    <x v="4"/>
    <x v="0"/>
    <s v="New York"/>
    <s v="New York"/>
    <x v="4"/>
    <n v="55"/>
    <n v="234"/>
    <n v="12870"/>
    <n v="5148"/>
    <n v="0.4"/>
    <x v="2"/>
  </r>
  <r>
    <x v="0"/>
    <n v="1185732"/>
    <x v="5"/>
    <x v="0"/>
    <s v="New York"/>
    <s v="New York"/>
    <x v="5"/>
    <n v="46"/>
    <n v="260"/>
    <n v="11960"/>
    <n v="4425.2"/>
    <n v="0.37"/>
    <x v="2"/>
  </r>
  <r>
    <x v="0"/>
    <n v="1185732"/>
    <x v="6"/>
    <x v="0"/>
    <s v="New York"/>
    <s v="New York"/>
    <x v="0"/>
    <n v="46"/>
    <n v="313"/>
    <n v="14398"/>
    <n v="8926.76"/>
    <n v="0.62"/>
    <x v="2"/>
  </r>
  <r>
    <x v="0"/>
    <n v="1185732"/>
    <x v="7"/>
    <x v="0"/>
    <s v="New York"/>
    <s v="New York"/>
    <x v="1"/>
    <n v="46"/>
    <n v="261"/>
    <n v="12006"/>
    <n v="5282.64"/>
    <n v="0.44"/>
    <x v="2"/>
  </r>
  <r>
    <x v="0"/>
    <n v="1185732"/>
    <x v="8"/>
    <x v="0"/>
    <s v="New York"/>
    <s v="New York"/>
    <x v="2"/>
    <n v="36"/>
    <n v="276"/>
    <n v="9936"/>
    <n v="4669.92"/>
    <n v="0.47"/>
    <x v="2"/>
  </r>
  <r>
    <x v="0"/>
    <n v="1185732"/>
    <x v="9"/>
    <x v="0"/>
    <s v="New York"/>
    <s v="New York"/>
    <x v="3"/>
    <n v="44"/>
    <n v="206"/>
    <n v="9064"/>
    <n v="4441.3599999999997"/>
    <n v="0.49"/>
    <x v="2"/>
  </r>
  <r>
    <x v="0"/>
    <n v="1185732"/>
    <x v="10"/>
    <x v="0"/>
    <s v="New York"/>
    <s v="New York"/>
    <x v="4"/>
    <n v="58"/>
    <n v="243"/>
    <n v="14094"/>
    <n v="6060.42"/>
    <n v="0.43"/>
    <x v="2"/>
  </r>
  <r>
    <x v="0"/>
    <n v="1185732"/>
    <x v="11"/>
    <x v="0"/>
    <s v="New York"/>
    <s v="New York"/>
    <x v="5"/>
    <n v="48"/>
    <n v="290"/>
    <n v="13920"/>
    <n v="5289.6"/>
    <n v="0.38"/>
    <x v="2"/>
  </r>
  <r>
    <x v="0"/>
    <n v="1185732"/>
    <x v="12"/>
    <x v="0"/>
    <s v="New York"/>
    <s v="New York"/>
    <x v="0"/>
    <n v="46"/>
    <n v="354"/>
    <n v="16284"/>
    <n v="10258.92"/>
    <n v="0.63"/>
    <x v="2"/>
  </r>
  <r>
    <x v="0"/>
    <n v="1185732"/>
    <x v="13"/>
    <x v="0"/>
    <s v="New York"/>
    <s v="New York"/>
    <x v="1"/>
    <n v="48"/>
    <n v="259"/>
    <n v="12432"/>
    <n v="5345.76"/>
    <n v="0.43"/>
    <x v="2"/>
  </r>
  <r>
    <x v="0"/>
    <n v="1185732"/>
    <x v="14"/>
    <x v="0"/>
    <s v="New York"/>
    <s v="New York"/>
    <x v="2"/>
    <n v="39"/>
    <n v="247"/>
    <n v="9633"/>
    <n v="4720.17"/>
    <n v="0.49"/>
    <x v="2"/>
  </r>
  <r>
    <x v="0"/>
    <n v="1185732"/>
    <x v="15"/>
    <x v="0"/>
    <s v="New York"/>
    <s v="New York"/>
    <x v="3"/>
    <n v="43"/>
    <n v="216"/>
    <n v="9288"/>
    <n v="4644"/>
    <n v="0.5"/>
    <x v="2"/>
  </r>
  <r>
    <x v="0"/>
    <n v="1185732"/>
    <x v="16"/>
    <x v="0"/>
    <s v="New York"/>
    <s v="New York"/>
    <x v="4"/>
    <n v="59"/>
    <n v="230"/>
    <n v="13570"/>
    <n v="5699.4"/>
    <n v="0.42"/>
    <x v="2"/>
  </r>
  <r>
    <x v="0"/>
    <n v="1185732"/>
    <x v="17"/>
    <x v="0"/>
    <s v="New York"/>
    <s v="New York"/>
    <x v="5"/>
    <n v="45"/>
    <n v="238"/>
    <n v="10710"/>
    <n v="3748.4999999999995"/>
    <n v="0.35"/>
    <x v="2"/>
  </r>
  <r>
    <x v="0"/>
    <n v="1185732"/>
    <x v="18"/>
    <x v="0"/>
    <s v="New York"/>
    <s v="New York"/>
    <x v="0"/>
    <n v="45"/>
    <n v="300"/>
    <n v="13500"/>
    <n v="8370"/>
    <n v="0.62"/>
    <x v="2"/>
  </r>
  <r>
    <x v="0"/>
    <n v="1185732"/>
    <x v="19"/>
    <x v="0"/>
    <s v="New York"/>
    <s v="New York"/>
    <x v="1"/>
    <n v="47"/>
    <n v="234"/>
    <n v="10998"/>
    <n v="4509.1799999999994"/>
    <n v="0.41"/>
    <x v="2"/>
  </r>
  <r>
    <x v="0"/>
    <n v="1185732"/>
    <x v="20"/>
    <x v="0"/>
    <s v="New York"/>
    <s v="New York"/>
    <x v="2"/>
    <n v="39"/>
    <n v="252"/>
    <n v="9828"/>
    <n v="4914"/>
    <n v="0.5"/>
    <x v="2"/>
  </r>
  <r>
    <x v="0"/>
    <n v="1185732"/>
    <x v="21"/>
    <x v="0"/>
    <s v="New York"/>
    <s v="New York"/>
    <x v="3"/>
    <n v="41"/>
    <n v="239"/>
    <n v="9799"/>
    <n v="4801.51"/>
    <n v="0.49"/>
    <x v="2"/>
  </r>
  <r>
    <x v="0"/>
    <n v="1185732"/>
    <x v="22"/>
    <x v="0"/>
    <s v="New York"/>
    <s v="New York"/>
    <x v="4"/>
    <n v="56"/>
    <n v="215"/>
    <n v="12040"/>
    <n v="5056.8"/>
    <n v="0.42"/>
    <x v="2"/>
  </r>
  <r>
    <x v="0"/>
    <n v="1185732"/>
    <x v="23"/>
    <x v="0"/>
    <s v="New York"/>
    <s v="New York"/>
    <x v="5"/>
    <n v="49"/>
    <n v="238"/>
    <n v="11662"/>
    <n v="4314.9399999999996"/>
    <n v="0.37"/>
    <x v="2"/>
  </r>
  <r>
    <x v="0"/>
    <n v="1185732"/>
    <x v="24"/>
    <x v="0"/>
    <s v="New York"/>
    <s v="New York"/>
    <x v="0"/>
    <n v="54"/>
    <n v="317"/>
    <n v="17118"/>
    <n v="10955.52"/>
    <n v="0.64"/>
    <x v="2"/>
  </r>
  <r>
    <x v="0"/>
    <n v="1185732"/>
    <x v="25"/>
    <x v="0"/>
    <s v="New York"/>
    <s v="New York"/>
    <x v="1"/>
    <n v="50"/>
    <n v="259"/>
    <n v="12950"/>
    <n v="5180"/>
    <n v="0.4"/>
    <x v="2"/>
  </r>
  <r>
    <x v="0"/>
    <n v="1185732"/>
    <x v="26"/>
    <x v="0"/>
    <s v="New York"/>
    <s v="New York"/>
    <x v="2"/>
    <n v="46"/>
    <n v="261"/>
    <n v="12006"/>
    <n v="5642.82"/>
    <n v="0.47"/>
    <x v="2"/>
  </r>
  <r>
    <x v="0"/>
    <n v="1185732"/>
    <x v="27"/>
    <x v="0"/>
    <s v="New York"/>
    <s v="New York"/>
    <x v="3"/>
    <n v="46"/>
    <n v="230"/>
    <n v="10580"/>
    <n v="5078.3999999999996"/>
    <n v="0.48"/>
    <x v="2"/>
  </r>
  <r>
    <x v="0"/>
    <n v="1185732"/>
    <x v="28"/>
    <x v="0"/>
    <s v="New York"/>
    <s v="New York"/>
    <x v="4"/>
    <n v="59"/>
    <n v="245"/>
    <n v="14455"/>
    <n v="6504.7499999999991"/>
    <n v="0.44999999999999996"/>
    <x v="2"/>
  </r>
  <r>
    <x v="0"/>
    <n v="1185732"/>
    <x v="29"/>
    <x v="0"/>
    <s v="New York"/>
    <s v="New York"/>
    <x v="5"/>
    <n v="59"/>
    <n v="290"/>
    <n v="17110"/>
    <n v="6159.5999999999995"/>
    <n v="0.36"/>
    <x v="2"/>
  </r>
  <r>
    <x v="0"/>
    <n v="1185732"/>
    <x v="30"/>
    <x v="0"/>
    <s v="New York"/>
    <s v="New York"/>
    <x v="0"/>
    <n v="55"/>
    <n v="313"/>
    <n v="17215"/>
    <n v="10501.15"/>
    <n v="0.61"/>
    <x v="2"/>
  </r>
  <r>
    <x v="0"/>
    <n v="1185732"/>
    <x v="31"/>
    <x v="0"/>
    <s v="New York"/>
    <s v="New York"/>
    <x v="1"/>
    <n v="54"/>
    <n v="270"/>
    <n v="14580"/>
    <n v="5977.7999999999993"/>
    <n v="0.41"/>
    <x v="2"/>
  </r>
  <r>
    <x v="0"/>
    <n v="1185732"/>
    <x v="32"/>
    <x v="0"/>
    <s v="New York"/>
    <s v="New York"/>
    <x v="2"/>
    <n v="46"/>
    <n v="278"/>
    <n v="12788"/>
    <n v="6138.24"/>
    <n v="0.48"/>
    <x v="2"/>
  </r>
  <r>
    <x v="0"/>
    <n v="1185732"/>
    <x v="33"/>
    <x v="0"/>
    <s v="New York"/>
    <s v="New York"/>
    <x v="3"/>
    <n v="47"/>
    <n v="261"/>
    <n v="12267"/>
    <n v="5520.15"/>
    <n v="0.44999999999999996"/>
    <x v="2"/>
  </r>
  <r>
    <x v="0"/>
    <n v="1185732"/>
    <x v="34"/>
    <x v="0"/>
    <s v="New York"/>
    <s v="New York"/>
    <x v="4"/>
    <n v="55"/>
    <n v="252"/>
    <n v="13860"/>
    <n v="6236.9999999999991"/>
    <n v="0.44999999999999996"/>
    <x v="2"/>
  </r>
  <r>
    <x v="0"/>
    <n v="1185732"/>
    <x v="35"/>
    <x v="0"/>
    <s v="New York"/>
    <s v="New York"/>
    <x v="5"/>
    <n v="64"/>
    <n v="305"/>
    <n v="19520"/>
    <n v="7612.8"/>
    <n v="0.39"/>
    <x v="2"/>
  </r>
  <r>
    <x v="0"/>
    <n v="1185732"/>
    <x v="36"/>
    <x v="0"/>
    <s v="New York"/>
    <s v="New York"/>
    <x v="0"/>
    <n v="59"/>
    <n v="319"/>
    <n v="18821"/>
    <n v="11292.6"/>
    <n v="0.6"/>
    <x v="2"/>
  </r>
  <r>
    <x v="0"/>
    <n v="1185732"/>
    <x v="37"/>
    <x v="0"/>
    <s v="New York"/>
    <s v="New York"/>
    <x v="1"/>
    <n v="53"/>
    <n v="267"/>
    <n v="14151"/>
    <n v="5943.42"/>
    <n v="0.42"/>
    <x v="2"/>
  </r>
  <r>
    <x v="0"/>
    <n v="1185732"/>
    <x v="38"/>
    <x v="0"/>
    <s v="New York"/>
    <s v="New York"/>
    <x v="2"/>
    <n v="46"/>
    <n v="247"/>
    <n v="11362"/>
    <n v="5112.8999999999996"/>
    <n v="0.44999999999999996"/>
    <x v="2"/>
  </r>
  <r>
    <x v="0"/>
    <n v="1185732"/>
    <x v="39"/>
    <x v="0"/>
    <s v="New York"/>
    <s v="New York"/>
    <x v="3"/>
    <n v="46"/>
    <n v="243"/>
    <n v="11178"/>
    <n v="5141.8799999999992"/>
    <n v="0.45999999999999996"/>
    <x v="2"/>
  </r>
  <r>
    <x v="0"/>
    <n v="1185732"/>
    <x v="40"/>
    <x v="0"/>
    <s v="New York"/>
    <s v="New York"/>
    <x v="4"/>
    <n v="58"/>
    <n v="231"/>
    <n v="13398"/>
    <n v="5761.14"/>
    <n v="0.43"/>
    <x v="2"/>
  </r>
  <r>
    <x v="0"/>
    <n v="1185732"/>
    <x v="41"/>
    <x v="0"/>
    <s v="New York"/>
    <s v="New York"/>
    <x v="5"/>
    <n v="61"/>
    <n v="286"/>
    <n v="17446"/>
    <n v="6978.4000000000005"/>
    <n v="0.4"/>
    <x v="2"/>
  </r>
  <r>
    <x v="0"/>
    <n v="1185732"/>
    <x v="42"/>
    <x v="0"/>
    <s v="New York"/>
    <s v="New York"/>
    <x v="0"/>
    <n v="58"/>
    <n v="325"/>
    <n v="18850"/>
    <n v="11498.5"/>
    <n v="0.61"/>
    <x v="2"/>
  </r>
  <r>
    <x v="0"/>
    <n v="1185732"/>
    <x v="43"/>
    <x v="0"/>
    <s v="New York"/>
    <s v="New York"/>
    <x v="1"/>
    <n v="53"/>
    <n v="308"/>
    <n v="16324"/>
    <n v="6692.8399999999992"/>
    <n v="0.41"/>
    <x v="2"/>
  </r>
  <r>
    <x v="0"/>
    <n v="1185732"/>
    <x v="44"/>
    <x v="0"/>
    <s v="New York"/>
    <s v="New York"/>
    <x v="2"/>
    <n v="45"/>
    <n v="257"/>
    <n v="11565"/>
    <n v="5319.9"/>
    <n v="0.45999999999999996"/>
    <x v="2"/>
  </r>
  <r>
    <x v="0"/>
    <n v="1185732"/>
    <x v="45"/>
    <x v="0"/>
    <s v="New York"/>
    <s v="New York"/>
    <x v="3"/>
    <n v="47"/>
    <n v="241"/>
    <n v="11327"/>
    <n v="5323.69"/>
    <n v="0.47"/>
    <x v="2"/>
  </r>
  <r>
    <x v="1"/>
    <n v="1185732"/>
    <x v="46"/>
    <x v="0"/>
    <s v="New York"/>
    <s v="New York"/>
    <x v="4"/>
    <n v="54"/>
    <n v="270"/>
    <n v="14580"/>
    <n v="6560.9999999999991"/>
    <n v="0.44999999999999996"/>
    <x v="2"/>
  </r>
  <r>
    <x v="1"/>
    <n v="1185732"/>
    <x v="47"/>
    <x v="0"/>
    <s v="New York"/>
    <s v="New York"/>
    <x v="5"/>
    <n v="62"/>
    <n v="290"/>
    <n v="17980"/>
    <n v="6652.6"/>
    <n v="0.37"/>
    <x v="2"/>
  </r>
  <r>
    <x v="1"/>
    <n v="1185732"/>
    <x v="48"/>
    <x v="0"/>
    <s v="New York"/>
    <s v="New York"/>
    <x v="0"/>
    <n v="56"/>
    <n v="360"/>
    <n v="20160"/>
    <n v="12499.2"/>
    <n v="0.62"/>
    <x v="2"/>
  </r>
  <r>
    <x v="1"/>
    <n v="1185732"/>
    <x v="49"/>
    <x v="0"/>
    <s v="New York"/>
    <s v="New York"/>
    <x v="1"/>
    <n v="50"/>
    <n v="270"/>
    <n v="13500"/>
    <n v="5940"/>
    <n v="0.44"/>
    <x v="2"/>
  </r>
  <r>
    <x v="1"/>
    <n v="1185732"/>
    <x v="50"/>
    <x v="0"/>
    <s v="New York"/>
    <s v="New York"/>
    <x v="2"/>
    <n v="47"/>
    <n v="268"/>
    <n v="12596"/>
    <n v="5920.12"/>
    <n v="0.47"/>
    <x v="2"/>
  </r>
  <r>
    <x v="1"/>
    <n v="1185732"/>
    <x v="51"/>
    <x v="0"/>
    <s v="New York"/>
    <s v="New York"/>
    <x v="3"/>
    <n v="47"/>
    <n v="252"/>
    <n v="11844"/>
    <n v="5448.24"/>
    <n v="0.45999999999999996"/>
    <x v="2"/>
  </r>
  <r>
    <x v="1"/>
    <n v="1185732"/>
    <x v="52"/>
    <x v="0"/>
    <s v="New York"/>
    <s v="New York"/>
    <x v="4"/>
    <n v="58"/>
    <n v="252"/>
    <n v="14616"/>
    <n v="5846.4000000000005"/>
    <n v="0.4"/>
    <x v="2"/>
  </r>
  <r>
    <x v="1"/>
    <n v="1185732"/>
    <x v="53"/>
    <x v="0"/>
    <s v="New York"/>
    <s v="New York"/>
    <x v="5"/>
    <n v="59"/>
    <n v="280"/>
    <n v="16520"/>
    <n v="6608"/>
    <n v="0.4"/>
    <x v="2"/>
  </r>
  <r>
    <x v="1"/>
    <n v="1185732"/>
    <x v="54"/>
    <x v="0"/>
    <s v="New York"/>
    <s v="New York"/>
    <x v="4"/>
    <n v="64"/>
    <n v="236"/>
    <n v="15104"/>
    <n v="6343.6799999999994"/>
    <n v="0.42"/>
    <x v="2"/>
  </r>
  <r>
    <x v="1"/>
    <n v="1185732"/>
    <x v="55"/>
    <x v="0"/>
    <s v="New York"/>
    <s v="New York"/>
    <x v="5"/>
    <n v="68"/>
    <n v="290"/>
    <n v="19720"/>
    <n v="7493.6"/>
    <n v="0.38"/>
    <x v="2"/>
  </r>
  <r>
    <x v="1"/>
    <n v="1185732"/>
    <x v="56"/>
    <x v="0"/>
    <s v="New York"/>
    <s v="New York"/>
    <x v="0"/>
    <n v="60"/>
    <n v="299"/>
    <n v="17940"/>
    <n v="10764"/>
    <n v="0.6"/>
    <x v="2"/>
  </r>
  <r>
    <x v="1"/>
    <n v="1185732"/>
    <x v="57"/>
    <x v="0"/>
    <s v="New York"/>
    <s v="New York"/>
    <x v="1"/>
    <n v="53"/>
    <n v="273"/>
    <n v="14469"/>
    <n v="6221.67"/>
    <n v="0.43"/>
    <x v="2"/>
  </r>
  <r>
    <x v="1"/>
    <n v="1185732"/>
    <x v="58"/>
    <x v="0"/>
    <s v="New York"/>
    <s v="New York"/>
    <x v="2"/>
    <n v="52"/>
    <n v="258"/>
    <n v="13416"/>
    <n v="6439.6799999999994"/>
    <n v="0.48"/>
    <x v="2"/>
  </r>
  <r>
    <x v="1"/>
    <n v="1185732"/>
    <x v="59"/>
    <x v="0"/>
    <s v="New York"/>
    <s v="New York"/>
    <x v="3"/>
    <n v="50"/>
    <n v="252"/>
    <n v="12600"/>
    <n v="6174"/>
    <n v="0.49"/>
    <x v="2"/>
  </r>
  <r>
    <x v="1"/>
    <n v="1185732"/>
    <x v="60"/>
    <x v="0"/>
    <s v="New York"/>
    <s v="New York"/>
    <x v="4"/>
    <n v="64"/>
    <n v="254"/>
    <n v="16256"/>
    <n v="6827.5199999999995"/>
    <n v="0.42"/>
    <x v="2"/>
  </r>
  <r>
    <x v="1"/>
    <n v="1185732"/>
    <x v="61"/>
    <x v="0"/>
    <s v="New York"/>
    <s v="New York"/>
    <x v="5"/>
    <n v="66"/>
    <n v="263"/>
    <n v="17358"/>
    <n v="6422.46"/>
    <n v="0.37"/>
    <x v="2"/>
  </r>
  <r>
    <x v="1"/>
    <n v="1185732"/>
    <x v="62"/>
    <x v="0"/>
    <s v="New York"/>
    <s v="New York"/>
    <x v="0"/>
    <n v="62"/>
    <n v="312"/>
    <n v="19344"/>
    <n v="12380.16"/>
    <n v="0.64"/>
    <x v="2"/>
  </r>
  <r>
    <x v="1"/>
    <n v="1185732"/>
    <x v="63"/>
    <x v="0"/>
    <s v="New York"/>
    <s v="New York"/>
    <x v="1"/>
    <n v="51"/>
    <n v="300"/>
    <n v="15300"/>
    <n v="6426"/>
    <n v="0.42"/>
    <x v="2"/>
  </r>
  <r>
    <x v="1"/>
    <n v="1185732"/>
    <x v="64"/>
    <x v="0"/>
    <s v="New York"/>
    <s v="New York"/>
    <x v="2"/>
    <n v="54"/>
    <n v="285"/>
    <n v="15390"/>
    <n v="7233.2999999999993"/>
    <n v="0.47"/>
    <x v="2"/>
  </r>
  <r>
    <x v="1"/>
    <n v="1185732"/>
    <x v="65"/>
    <x v="0"/>
    <s v="New York"/>
    <s v="New York"/>
    <x v="3"/>
    <n v="54"/>
    <n v="225"/>
    <n v="12150"/>
    <n v="5589"/>
    <n v="0.45999999999999996"/>
    <x v="2"/>
  </r>
  <r>
    <x v="1"/>
    <n v="1185732"/>
    <x v="66"/>
    <x v="0"/>
    <s v="New York"/>
    <s v="New York"/>
    <x v="4"/>
    <n v="60"/>
    <n v="261"/>
    <n v="15660"/>
    <n v="6733.8"/>
    <n v="0.43"/>
    <x v="2"/>
  </r>
  <r>
    <x v="1"/>
    <n v="1185732"/>
    <x v="67"/>
    <x v="0"/>
    <s v="New York"/>
    <s v="New York"/>
    <x v="5"/>
    <n v="68"/>
    <n v="290"/>
    <n v="19720"/>
    <n v="6902"/>
    <n v="0.35"/>
    <x v="2"/>
  </r>
  <r>
    <x v="2"/>
    <n v="1197831"/>
    <x v="68"/>
    <x v="0"/>
    <s v="New York"/>
    <s v="New York"/>
    <x v="0"/>
    <n v="24"/>
    <n v="234"/>
    <n v="5616"/>
    <n v="2639.52"/>
    <n v="0.47"/>
    <x v="2"/>
  </r>
  <r>
    <x v="2"/>
    <n v="1197831"/>
    <x v="69"/>
    <x v="0"/>
    <s v="New York"/>
    <s v="New York"/>
    <x v="1"/>
    <n v="34"/>
    <n v="225"/>
    <n v="7650"/>
    <n v="3748.5"/>
    <n v="0.49"/>
    <x v="2"/>
  </r>
  <r>
    <x v="2"/>
    <n v="1197831"/>
    <x v="70"/>
    <x v="0"/>
    <s v="New York"/>
    <s v="New York"/>
    <x v="2"/>
    <n v="33"/>
    <n v="210"/>
    <n v="6930"/>
    <n v="3187.7999999999997"/>
    <n v="0.45999999999999996"/>
    <x v="2"/>
  </r>
  <r>
    <x v="2"/>
    <n v="1197831"/>
    <x v="71"/>
    <x v="0"/>
    <s v="New York"/>
    <s v="New York"/>
    <x v="3"/>
    <n v="34"/>
    <n v="175"/>
    <n v="5950"/>
    <n v="3272.5000000000005"/>
    <n v="0.55000000000000004"/>
    <x v="2"/>
  </r>
  <r>
    <x v="2"/>
    <n v="1197831"/>
    <x v="72"/>
    <x v="1"/>
    <s v="Texas"/>
    <s v="Houston"/>
    <x v="4"/>
    <n v="36"/>
    <n v="154"/>
    <n v="5544"/>
    <n v="2383.92"/>
    <n v="0.43"/>
    <x v="2"/>
  </r>
  <r>
    <x v="2"/>
    <n v="1197831"/>
    <x v="73"/>
    <x v="1"/>
    <s v="Texas"/>
    <s v="Houston"/>
    <x v="5"/>
    <n v="34"/>
    <n v="203"/>
    <n v="6902"/>
    <n v="4417.28"/>
    <n v="0.64"/>
    <x v="2"/>
  </r>
  <r>
    <x v="2"/>
    <n v="1197831"/>
    <x v="74"/>
    <x v="1"/>
    <s v="Texas"/>
    <s v="Houston"/>
    <x v="0"/>
    <n v="23"/>
    <n v="213"/>
    <n v="4899"/>
    <n v="2449.5"/>
    <n v="0.5"/>
    <x v="2"/>
  </r>
  <r>
    <x v="2"/>
    <n v="1197831"/>
    <x v="75"/>
    <x v="1"/>
    <s v="Texas"/>
    <s v="Houston"/>
    <x v="1"/>
    <n v="33"/>
    <n v="255"/>
    <n v="8415"/>
    <n v="3786.7499999999995"/>
    <n v="0.44999999999999996"/>
    <x v="2"/>
  </r>
  <r>
    <x v="2"/>
    <n v="1197831"/>
    <x v="76"/>
    <x v="1"/>
    <s v="Texas"/>
    <s v="Houston"/>
    <x v="2"/>
    <n v="32"/>
    <n v="176"/>
    <n v="5632"/>
    <n v="2534.3999999999996"/>
    <n v="0.44999999999999996"/>
    <x v="2"/>
  </r>
  <r>
    <x v="2"/>
    <n v="1197831"/>
    <x v="77"/>
    <x v="1"/>
    <s v="Texas"/>
    <s v="Houston"/>
    <x v="3"/>
    <n v="34"/>
    <n v="175"/>
    <n v="5950"/>
    <n v="3570"/>
    <n v="0.6"/>
    <x v="2"/>
  </r>
  <r>
    <x v="2"/>
    <n v="1197831"/>
    <x v="78"/>
    <x v="1"/>
    <s v="Texas"/>
    <s v="Houston"/>
    <x v="4"/>
    <n v="38"/>
    <n v="125"/>
    <n v="4750"/>
    <n v="2137.5"/>
    <n v="0.44999999999999996"/>
    <x v="2"/>
  </r>
  <r>
    <x v="2"/>
    <n v="1197831"/>
    <x v="79"/>
    <x v="1"/>
    <s v="Texas"/>
    <s v="Houston"/>
    <x v="5"/>
    <n v="34"/>
    <n v="196"/>
    <n v="6664"/>
    <n v="4198.32"/>
    <n v="0.63"/>
    <x v="2"/>
  </r>
  <r>
    <x v="2"/>
    <n v="1197831"/>
    <x v="80"/>
    <x v="1"/>
    <s v="Texas"/>
    <s v="Houston"/>
    <x v="0"/>
    <n v="29"/>
    <n v="254"/>
    <n v="7366"/>
    <n v="3314.7"/>
    <n v="0.44999999999999996"/>
    <x v="2"/>
  </r>
  <r>
    <x v="2"/>
    <n v="1197831"/>
    <x v="81"/>
    <x v="1"/>
    <s v="Texas"/>
    <s v="Houston"/>
    <x v="1"/>
    <n v="39"/>
    <n v="236"/>
    <n v="9204"/>
    <n v="4141.7999999999993"/>
    <n v="0.44999999999999996"/>
    <x v="2"/>
  </r>
  <r>
    <x v="2"/>
    <n v="1197831"/>
    <x v="82"/>
    <x v="1"/>
    <s v="Texas"/>
    <s v="Houston"/>
    <x v="2"/>
    <n v="32"/>
    <n v="182"/>
    <n v="5824"/>
    <n v="2853.7599999999998"/>
    <n v="0.49"/>
    <x v="2"/>
  </r>
  <r>
    <x v="2"/>
    <n v="1197831"/>
    <x v="83"/>
    <x v="1"/>
    <s v="Texas"/>
    <s v="Houston"/>
    <x v="3"/>
    <n v="37"/>
    <n v="174"/>
    <n v="6438"/>
    <n v="3734.0400000000004"/>
    <n v="0.58000000000000007"/>
    <x v="2"/>
  </r>
  <r>
    <x v="2"/>
    <n v="1197831"/>
    <x v="84"/>
    <x v="1"/>
    <s v="Texas"/>
    <s v="Houston"/>
    <x v="4"/>
    <n v="41"/>
    <n v="125"/>
    <n v="5125"/>
    <n v="2050"/>
    <n v="0.4"/>
    <x v="2"/>
  </r>
  <r>
    <x v="2"/>
    <n v="1197831"/>
    <x v="85"/>
    <x v="1"/>
    <s v="Texas"/>
    <s v="Houston"/>
    <x v="5"/>
    <n v="39"/>
    <n v="189"/>
    <n v="7371"/>
    <n v="4422.5999999999995"/>
    <n v="0.6"/>
    <x v="2"/>
  </r>
  <r>
    <x v="2"/>
    <n v="1197831"/>
    <x v="86"/>
    <x v="1"/>
    <s v="Texas"/>
    <s v="Houston"/>
    <x v="0"/>
    <n v="27"/>
    <n v="234"/>
    <n v="6318"/>
    <n v="3032.64"/>
    <n v="0.48"/>
    <x v="2"/>
  </r>
  <r>
    <x v="2"/>
    <n v="1197831"/>
    <x v="87"/>
    <x v="1"/>
    <s v="Texas"/>
    <s v="Houston"/>
    <x v="1"/>
    <n v="38"/>
    <n v="225"/>
    <n v="8550"/>
    <n v="3847.4999999999995"/>
    <n v="0.44999999999999996"/>
    <x v="2"/>
  </r>
  <r>
    <x v="2"/>
    <n v="1197831"/>
    <x v="88"/>
    <x v="1"/>
    <s v="Texas"/>
    <s v="Houston"/>
    <x v="2"/>
    <n v="34"/>
    <n v="203"/>
    <n v="6902"/>
    <n v="3174.9199999999996"/>
    <n v="0.45999999999999996"/>
    <x v="2"/>
  </r>
  <r>
    <x v="2"/>
    <n v="1197831"/>
    <x v="89"/>
    <x v="1"/>
    <s v="Texas"/>
    <s v="Houston"/>
    <x v="3"/>
    <n v="36"/>
    <n v="163"/>
    <n v="5868"/>
    <n v="3462.1200000000003"/>
    <n v="0.59000000000000008"/>
    <x v="2"/>
  </r>
  <r>
    <x v="1"/>
    <n v="1197831"/>
    <x v="90"/>
    <x v="1"/>
    <s v="Texas"/>
    <s v="Houston"/>
    <x v="4"/>
    <n v="42"/>
    <n v="147"/>
    <n v="6174"/>
    <n v="2593.08"/>
    <n v="0.42"/>
    <x v="2"/>
  </r>
  <r>
    <x v="1"/>
    <n v="1197831"/>
    <x v="91"/>
    <x v="1"/>
    <s v="Texas"/>
    <s v="Houston"/>
    <x v="5"/>
    <n v="39"/>
    <n v="232"/>
    <n v="9048"/>
    <n v="5519.28"/>
    <n v="0.61"/>
    <x v="2"/>
  </r>
  <r>
    <x v="1"/>
    <n v="1197831"/>
    <x v="92"/>
    <x v="1"/>
    <s v="Texas"/>
    <s v="Houston"/>
    <x v="0"/>
    <n v="29"/>
    <n v="268"/>
    <n v="7772"/>
    <n v="3730.56"/>
    <n v="0.48"/>
    <x v="2"/>
  </r>
  <r>
    <x v="1"/>
    <n v="1197831"/>
    <x v="93"/>
    <x v="1"/>
    <s v="Texas"/>
    <s v="Houston"/>
    <x v="1"/>
    <n v="38"/>
    <n v="259"/>
    <n v="9842"/>
    <n v="4527.32"/>
    <n v="0.45999999999999996"/>
    <x v="2"/>
  </r>
  <r>
    <x v="1"/>
    <n v="1197831"/>
    <x v="94"/>
    <x v="1"/>
    <s v="Texas"/>
    <s v="Houston"/>
    <x v="2"/>
    <n v="33"/>
    <n v="225"/>
    <n v="7425"/>
    <n v="3564"/>
    <n v="0.48"/>
    <x v="2"/>
  </r>
  <r>
    <x v="1"/>
    <n v="1197831"/>
    <x v="95"/>
    <x v="1"/>
    <s v="Texas"/>
    <s v="Houston"/>
    <x v="3"/>
    <n v="39"/>
    <n v="189"/>
    <n v="7371"/>
    <n v="4275.18"/>
    <n v="0.58000000000000007"/>
    <x v="2"/>
  </r>
  <r>
    <x v="1"/>
    <n v="1197831"/>
    <x v="96"/>
    <x v="1"/>
    <s v="Texas"/>
    <s v="Houston"/>
    <x v="4"/>
    <n v="42"/>
    <n v="168"/>
    <n v="7056"/>
    <n v="2822.4"/>
    <n v="0.4"/>
    <x v="2"/>
  </r>
  <r>
    <x v="1"/>
    <n v="1197831"/>
    <x v="97"/>
    <x v="1"/>
    <s v="Texas"/>
    <s v="Houston"/>
    <x v="5"/>
    <n v="37"/>
    <n v="276"/>
    <n v="10212"/>
    <n v="6433.56"/>
    <n v="0.63"/>
    <x v="2"/>
  </r>
  <r>
    <x v="1"/>
    <n v="1197831"/>
    <x v="98"/>
    <x v="1"/>
    <s v="Texas"/>
    <s v="Houston"/>
    <x v="0"/>
    <n v="39"/>
    <n v="238"/>
    <n v="9282"/>
    <n v="4362.54"/>
    <n v="0.47"/>
    <x v="2"/>
  </r>
  <r>
    <x v="1"/>
    <n v="1197831"/>
    <x v="99"/>
    <x v="1"/>
    <s v="Texas"/>
    <s v="Houston"/>
    <x v="1"/>
    <n v="42"/>
    <n v="238"/>
    <n v="9996"/>
    <n v="4498.2"/>
    <n v="0.44999999999999996"/>
    <x v="2"/>
  </r>
  <r>
    <x v="1"/>
    <n v="1197831"/>
    <x v="100"/>
    <x v="1"/>
    <s v="Texas"/>
    <s v="Houston"/>
    <x v="2"/>
    <n v="37"/>
    <n v="232"/>
    <n v="8584"/>
    <n v="4206.16"/>
    <n v="0.49"/>
    <x v="2"/>
  </r>
  <r>
    <x v="1"/>
    <n v="1197831"/>
    <x v="101"/>
    <x v="1"/>
    <s v="Texas"/>
    <s v="Houston"/>
    <x v="3"/>
    <n v="38"/>
    <n v="203"/>
    <n v="7714"/>
    <n v="4396.9800000000005"/>
    <n v="0.57000000000000006"/>
    <x v="2"/>
  </r>
  <r>
    <x v="1"/>
    <n v="1197831"/>
    <x v="102"/>
    <x v="1"/>
    <s v="Texas"/>
    <s v="Houston"/>
    <x v="4"/>
    <n v="41"/>
    <n v="169"/>
    <n v="6929"/>
    <n v="3118.0499999999997"/>
    <n v="0.44999999999999996"/>
    <x v="2"/>
  </r>
  <r>
    <x v="1"/>
    <n v="1197831"/>
    <x v="103"/>
    <x v="1"/>
    <s v="Texas"/>
    <s v="Houston"/>
    <x v="5"/>
    <n v="47"/>
    <n v="250"/>
    <n v="11750"/>
    <n v="7520"/>
    <n v="0.64"/>
    <x v="2"/>
  </r>
  <r>
    <x v="1"/>
    <n v="1197831"/>
    <x v="104"/>
    <x v="1"/>
    <s v="Texas"/>
    <s v="Houston"/>
    <x v="0"/>
    <n v="37"/>
    <n v="238"/>
    <n v="8806"/>
    <n v="3962.7"/>
    <n v="0.44999999999999996"/>
    <x v="2"/>
  </r>
  <r>
    <x v="1"/>
    <n v="1197831"/>
    <x v="105"/>
    <x v="1"/>
    <s v="Texas"/>
    <s v="Houston"/>
    <x v="1"/>
    <n v="42"/>
    <n v="238"/>
    <n v="9996"/>
    <n v="4598.16"/>
    <n v="0.45999999999999996"/>
    <x v="2"/>
  </r>
  <r>
    <x v="1"/>
    <n v="1197831"/>
    <x v="106"/>
    <x v="1"/>
    <s v="Texas"/>
    <s v="Houston"/>
    <x v="2"/>
    <n v="37"/>
    <n v="319"/>
    <n v="11803"/>
    <n v="5311.3499999999995"/>
    <n v="0.44999999999999996"/>
    <x v="2"/>
  </r>
  <r>
    <x v="1"/>
    <n v="1197831"/>
    <x v="107"/>
    <x v="1"/>
    <s v="Texas"/>
    <s v="Houston"/>
    <x v="3"/>
    <n v="36"/>
    <n v="210"/>
    <n v="7560"/>
    <n v="4536"/>
    <n v="0.6"/>
    <x v="2"/>
  </r>
  <r>
    <x v="1"/>
    <n v="1197831"/>
    <x v="108"/>
    <x v="1"/>
    <s v="Texas"/>
    <s v="Houston"/>
    <x v="4"/>
    <n v="41"/>
    <n v="196"/>
    <n v="8036"/>
    <n v="3214.4"/>
    <n v="0.4"/>
    <x v="2"/>
  </r>
  <r>
    <x v="1"/>
    <n v="1197831"/>
    <x v="109"/>
    <x v="1"/>
    <s v="Texas"/>
    <s v="Houston"/>
    <x v="5"/>
    <n v="47"/>
    <n v="293"/>
    <n v="13771"/>
    <n v="8675.73"/>
    <n v="0.63"/>
    <x v="2"/>
  </r>
  <r>
    <x v="1"/>
    <n v="1197831"/>
    <x v="110"/>
    <x v="1"/>
    <s v="Texas"/>
    <s v="Houston"/>
    <x v="0"/>
    <n v="37"/>
    <n v="268"/>
    <n v="9916"/>
    <n v="4858.84"/>
    <n v="0.49"/>
    <x v="2"/>
  </r>
  <r>
    <x v="1"/>
    <n v="1197831"/>
    <x v="111"/>
    <x v="1"/>
    <s v="Texas"/>
    <s v="Houston"/>
    <x v="1"/>
    <n v="41"/>
    <n v="259"/>
    <n v="10619"/>
    <n v="4778.5499999999993"/>
    <n v="0.44999999999999996"/>
    <x v="2"/>
  </r>
  <r>
    <x v="1"/>
    <n v="1197831"/>
    <x v="112"/>
    <x v="1"/>
    <s v="Texas"/>
    <s v="Houston"/>
    <x v="2"/>
    <n v="39"/>
    <n v="297"/>
    <n v="11583"/>
    <n v="5328.1799999999994"/>
    <n v="0.45999999999999996"/>
    <x v="2"/>
  </r>
  <r>
    <x v="1"/>
    <n v="1197831"/>
    <x v="113"/>
    <x v="1"/>
    <s v="Texas"/>
    <s v="Houston"/>
    <x v="3"/>
    <n v="38"/>
    <n v="189"/>
    <n v="7182"/>
    <n v="4237.380000000001"/>
    <n v="0.59000000000000008"/>
    <x v="2"/>
  </r>
  <r>
    <x v="1"/>
    <n v="1197831"/>
    <x v="114"/>
    <x v="1"/>
    <s v="Texas"/>
    <s v="Houston"/>
    <x v="4"/>
    <n v="41"/>
    <n v="169"/>
    <n v="6929"/>
    <n v="2771.6000000000004"/>
    <n v="0.4"/>
    <x v="2"/>
  </r>
  <r>
    <x v="1"/>
    <n v="1197831"/>
    <x v="115"/>
    <x v="1"/>
    <s v="Texas"/>
    <s v="Houston"/>
    <x v="5"/>
    <n v="46"/>
    <n v="225"/>
    <n v="10350"/>
    <n v="6727.5"/>
    <n v="0.65"/>
    <x v="2"/>
  </r>
  <r>
    <x v="1"/>
    <n v="1197831"/>
    <x v="116"/>
    <x v="1"/>
    <s v="Texas"/>
    <s v="Houston"/>
    <x v="0"/>
    <n v="44"/>
    <n v="255"/>
    <n v="11220"/>
    <n v="5385.5999999999995"/>
    <n v="0.48"/>
    <x v="2"/>
  </r>
  <r>
    <x v="1"/>
    <n v="1197831"/>
    <x v="117"/>
    <x v="1"/>
    <s v="Texas"/>
    <s v="Houston"/>
    <x v="1"/>
    <n v="41"/>
    <n v="213"/>
    <n v="8733"/>
    <n v="4017.18"/>
    <n v="0.45999999999999996"/>
    <x v="2"/>
  </r>
  <r>
    <x v="1"/>
    <n v="1197831"/>
    <x v="118"/>
    <x v="1"/>
    <s v="Texas"/>
    <s v="Houston"/>
    <x v="2"/>
    <n v="46"/>
    <n v="234"/>
    <n v="10764"/>
    <n v="5274.36"/>
    <n v="0.49"/>
    <x v="2"/>
  </r>
  <r>
    <x v="1"/>
    <n v="1197831"/>
    <x v="119"/>
    <x v="1"/>
    <s v="Texas"/>
    <s v="Houston"/>
    <x v="3"/>
    <n v="47"/>
    <n v="181"/>
    <n v="8507"/>
    <n v="4678.8500000000004"/>
    <n v="0.55000000000000004"/>
    <x v="2"/>
  </r>
  <r>
    <x v="1"/>
    <n v="1197831"/>
    <x v="120"/>
    <x v="1"/>
    <s v="Texas"/>
    <s v="Houston"/>
    <x v="4"/>
    <n v="44"/>
    <n v="175"/>
    <n v="7700"/>
    <n v="3311"/>
    <n v="0.43"/>
    <x v="2"/>
  </r>
  <r>
    <x v="1"/>
    <n v="1197831"/>
    <x v="121"/>
    <x v="1"/>
    <s v="Texas"/>
    <s v="Houston"/>
    <x v="5"/>
    <n v="50"/>
    <n v="213"/>
    <n v="10650"/>
    <n v="6816"/>
    <n v="0.64"/>
    <x v="2"/>
  </r>
  <r>
    <x v="1"/>
    <n v="1197831"/>
    <x v="122"/>
    <x v="1"/>
    <s v="Texas"/>
    <s v="Houston"/>
    <x v="0"/>
    <n v="44"/>
    <n v="240"/>
    <n v="10560"/>
    <n v="5280"/>
    <n v="0.5"/>
    <x v="2"/>
  </r>
  <r>
    <x v="1"/>
    <n v="1197831"/>
    <x v="123"/>
    <x v="1"/>
    <s v="Texas"/>
    <s v="Houston"/>
    <x v="1"/>
    <n v="43"/>
    <n v="216"/>
    <n v="9288"/>
    <n v="4365.3599999999997"/>
    <n v="0.47"/>
    <x v="2"/>
  </r>
  <r>
    <x v="1"/>
    <n v="1197831"/>
    <x v="124"/>
    <x v="1"/>
    <s v="Texas"/>
    <s v="Houston"/>
    <x v="2"/>
    <n v="48"/>
    <n v="188"/>
    <n v="9024"/>
    <n v="4241.28"/>
    <n v="0.47"/>
    <x v="2"/>
  </r>
  <r>
    <x v="1"/>
    <n v="1197831"/>
    <x v="125"/>
    <x v="1"/>
    <s v="Texas"/>
    <s v="Houston"/>
    <x v="3"/>
    <n v="45"/>
    <n v="168"/>
    <n v="7560"/>
    <n v="4384.8"/>
    <n v="0.58000000000000007"/>
    <x v="2"/>
  </r>
  <r>
    <x v="1"/>
    <n v="1197831"/>
    <x v="126"/>
    <x v="1"/>
    <s v="Texas"/>
    <s v="Houston"/>
    <x v="4"/>
    <n v="42"/>
    <n v="150"/>
    <n v="6300"/>
    <n v="2583"/>
    <n v="0.41"/>
    <x v="2"/>
  </r>
  <r>
    <x v="1"/>
    <n v="1197831"/>
    <x v="127"/>
    <x v="1"/>
    <s v="Texas"/>
    <s v="Houston"/>
    <x v="5"/>
    <n v="53"/>
    <n v="210"/>
    <n v="11130"/>
    <n v="6900.6"/>
    <n v="0.62"/>
    <x v="2"/>
  </r>
  <r>
    <x v="1"/>
    <n v="1197831"/>
    <x v="128"/>
    <x v="1"/>
    <s v="Texas"/>
    <s v="Houston"/>
    <x v="0"/>
    <n v="43"/>
    <n v="234"/>
    <n v="10062"/>
    <n v="4930.38"/>
    <n v="0.49"/>
    <x v="2"/>
  </r>
  <r>
    <x v="1"/>
    <n v="1197831"/>
    <x v="129"/>
    <x v="1"/>
    <s v="Texas"/>
    <s v="Houston"/>
    <x v="1"/>
    <n v="43"/>
    <n v="243"/>
    <n v="10449"/>
    <n v="5120.01"/>
    <n v="0.49"/>
    <x v="2"/>
  </r>
  <r>
    <x v="1"/>
    <n v="1197831"/>
    <x v="130"/>
    <x v="1"/>
    <s v="Texas"/>
    <s v="Houston"/>
    <x v="2"/>
    <n v="47"/>
    <n v="206"/>
    <n v="9682"/>
    <n v="4647.3599999999997"/>
    <n v="0.48"/>
    <x v="2"/>
  </r>
  <r>
    <x v="1"/>
    <n v="1197831"/>
    <x v="131"/>
    <x v="1"/>
    <s v="Texas"/>
    <s v="Houston"/>
    <x v="3"/>
    <n v="48"/>
    <n v="203"/>
    <n v="9744"/>
    <n v="5359.2000000000007"/>
    <n v="0.55000000000000004"/>
    <x v="2"/>
  </r>
  <r>
    <x v="1"/>
    <n v="1197831"/>
    <x v="132"/>
    <x v="1"/>
    <s v="Texas"/>
    <s v="Houston"/>
    <x v="4"/>
    <n v="42"/>
    <n v="195"/>
    <n v="8190"/>
    <n v="3685.4999999999995"/>
    <n v="0.44999999999999996"/>
    <x v="2"/>
  </r>
  <r>
    <x v="1"/>
    <n v="1197831"/>
    <x v="133"/>
    <x v="1"/>
    <s v="Texas"/>
    <s v="Houston"/>
    <x v="5"/>
    <n v="51"/>
    <n v="247"/>
    <n v="12597"/>
    <n v="7810.14"/>
    <n v="0.62"/>
    <x v="2"/>
  </r>
  <r>
    <x v="1"/>
    <n v="1197831"/>
    <x v="134"/>
    <x v="1"/>
    <s v="Texas"/>
    <s v="Houston"/>
    <x v="0"/>
    <n v="41"/>
    <n v="238"/>
    <n v="9758"/>
    <n v="4683.84"/>
    <n v="0.48"/>
    <x v="2"/>
  </r>
  <r>
    <x v="1"/>
    <n v="1197831"/>
    <x v="135"/>
    <x v="1"/>
    <s v="Texas"/>
    <s v="Houston"/>
    <x v="1"/>
    <n v="44"/>
    <n v="285"/>
    <n v="12540"/>
    <n v="6019.2"/>
    <n v="0.48"/>
    <x v="2"/>
  </r>
  <r>
    <x v="1"/>
    <n v="1197831"/>
    <x v="136"/>
    <x v="1"/>
    <s v="Texas"/>
    <s v="Houston"/>
    <x v="2"/>
    <n v="47"/>
    <n v="255"/>
    <n v="11985"/>
    <n v="5872.65"/>
    <n v="0.49"/>
    <x v="2"/>
  </r>
  <r>
    <x v="1"/>
    <n v="1197831"/>
    <x v="137"/>
    <x v="1"/>
    <s v="Texas"/>
    <s v="Houston"/>
    <x v="3"/>
    <n v="47"/>
    <n v="182"/>
    <n v="8554"/>
    <n v="4961.3200000000006"/>
    <n v="0.58000000000000007"/>
    <x v="2"/>
  </r>
  <r>
    <x v="1"/>
    <n v="1197831"/>
    <x v="138"/>
    <x v="1"/>
    <s v="Texas"/>
    <s v="Houston"/>
    <x v="4"/>
    <n v="42"/>
    <n v="169"/>
    <n v="7098"/>
    <n v="3194.1"/>
    <n v="0.44999999999999996"/>
    <x v="2"/>
  </r>
  <r>
    <x v="1"/>
    <n v="1197831"/>
    <x v="139"/>
    <x v="1"/>
    <s v="Texas"/>
    <s v="Houston"/>
    <x v="5"/>
    <n v="53"/>
    <n v="261"/>
    <n v="13833"/>
    <n v="8576.4599999999991"/>
    <n v="0.62"/>
    <x v="2"/>
  </r>
  <r>
    <x v="3"/>
    <n v="1128299"/>
    <x v="140"/>
    <x v="1"/>
    <s v="Texas"/>
    <s v="Houston"/>
    <x v="0"/>
    <n v="37"/>
    <n v="209"/>
    <n v="7733"/>
    <n v="3479.8500000000004"/>
    <n v="0.45000000000000007"/>
    <x v="2"/>
  </r>
  <r>
    <x v="3"/>
    <n v="1128299"/>
    <x v="141"/>
    <x v="1"/>
    <s v="Texas"/>
    <s v="Houston"/>
    <x v="1"/>
    <n v="49"/>
    <n v="194"/>
    <n v="9506"/>
    <n v="2946.86"/>
    <n v="0.31"/>
    <x v="2"/>
  </r>
  <r>
    <x v="3"/>
    <n v="1128299"/>
    <x v="142"/>
    <x v="1"/>
    <s v="Texas"/>
    <s v="Houston"/>
    <x v="2"/>
    <n v="46"/>
    <n v="217"/>
    <n v="9982"/>
    <n v="4491.9000000000005"/>
    <n v="0.45000000000000007"/>
    <x v="2"/>
  </r>
  <r>
    <x v="3"/>
    <n v="1128299"/>
    <x v="143"/>
    <x v="1"/>
    <s v="Texas"/>
    <s v="Houston"/>
    <x v="3"/>
    <n v="48"/>
    <n v="175"/>
    <n v="8400"/>
    <n v="3360"/>
    <n v="0.4"/>
    <x v="2"/>
  </r>
  <r>
    <x v="3"/>
    <n v="1128299"/>
    <x v="144"/>
    <x v="2"/>
    <s v="California"/>
    <s v="San Francisco"/>
    <x v="4"/>
    <n v="51"/>
    <n v="161"/>
    <n v="8211"/>
    <n v="5172.93"/>
    <n v="0.63"/>
    <x v="2"/>
  </r>
  <r>
    <x v="3"/>
    <n v="1128299"/>
    <x v="145"/>
    <x v="2"/>
    <s v="California"/>
    <s v="San Francisco"/>
    <x v="5"/>
    <n v="49"/>
    <n v="233"/>
    <n v="11417"/>
    <n v="2854.25"/>
    <n v="0.25"/>
    <x v="2"/>
  </r>
  <r>
    <x v="3"/>
    <n v="1128299"/>
    <x v="146"/>
    <x v="2"/>
    <s v="California"/>
    <s v="San Francisco"/>
    <x v="0"/>
    <n v="37"/>
    <n v="223"/>
    <n v="8251"/>
    <n v="4125.5"/>
    <n v="0.5"/>
    <x v="2"/>
  </r>
  <r>
    <x v="3"/>
    <n v="1128299"/>
    <x v="147"/>
    <x v="2"/>
    <s v="California"/>
    <s v="San Francisco"/>
    <x v="1"/>
    <n v="49"/>
    <n v="210"/>
    <n v="10290"/>
    <n v="3189.9"/>
    <n v="0.31"/>
    <x v="2"/>
  </r>
  <r>
    <x v="3"/>
    <n v="1128299"/>
    <x v="148"/>
    <x v="2"/>
    <s v="California"/>
    <s v="San Francisco"/>
    <x v="2"/>
    <n v="49"/>
    <n v="196"/>
    <n v="9604"/>
    <n v="4705.96"/>
    <n v="0.49000000000000005"/>
    <x v="2"/>
  </r>
  <r>
    <x v="3"/>
    <n v="1128299"/>
    <x v="149"/>
    <x v="2"/>
    <s v="California"/>
    <s v="San Francisco"/>
    <x v="3"/>
    <n v="47"/>
    <n v="150"/>
    <n v="7050"/>
    <n v="2961"/>
    <n v="0.42"/>
    <x v="2"/>
  </r>
  <r>
    <x v="3"/>
    <n v="1128299"/>
    <x v="150"/>
    <x v="2"/>
    <s v="California"/>
    <s v="San Francisco"/>
    <x v="4"/>
    <n v="50"/>
    <n v="140"/>
    <n v="7000"/>
    <n v="4270"/>
    <n v="0.61"/>
    <x v="2"/>
  </r>
  <r>
    <x v="3"/>
    <n v="1128299"/>
    <x v="151"/>
    <x v="2"/>
    <s v="California"/>
    <s v="San Francisco"/>
    <x v="5"/>
    <n v="46"/>
    <n v="182"/>
    <n v="8372"/>
    <n v="2344.1600000000003"/>
    <n v="0.28000000000000003"/>
    <x v="2"/>
  </r>
  <r>
    <x v="3"/>
    <n v="1128299"/>
    <x v="152"/>
    <x v="2"/>
    <s v="California"/>
    <s v="San Francisco"/>
    <x v="0"/>
    <n v="49"/>
    <n v="230"/>
    <n v="11270"/>
    <n v="5071.5000000000009"/>
    <n v="0.45000000000000007"/>
    <x v="2"/>
  </r>
  <r>
    <x v="3"/>
    <n v="1128299"/>
    <x v="153"/>
    <x v="2"/>
    <s v="California"/>
    <s v="San Francisco"/>
    <x v="1"/>
    <n v="58"/>
    <n v="175"/>
    <n v="10150"/>
    <n v="3045.0000000000005"/>
    <n v="0.30000000000000004"/>
    <x v="2"/>
  </r>
  <r>
    <x v="3"/>
    <n v="1128299"/>
    <x v="154"/>
    <x v="2"/>
    <s v="California"/>
    <s v="San Francisco"/>
    <x v="2"/>
    <n v="55"/>
    <n v="203"/>
    <n v="11165"/>
    <n v="5247.55"/>
    <n v="0.47000000000000003"/>
    <x v="2"/>
  </r>
  <r>
    <x v="3"/>
    <n v="1128299"/>
    <x v="155"/>
    <x v="2"/>
    <s v="California"/>
    <s v="San Francisco"/>
    <x v="3"/>
    <n v="58"/>
    <n v="174"/>
    <n v="10092"/>
    <n v="4339.5599999999995"/>
    <n v="0.43"/>
    <x v="2"/>
  </r>
  <r>
    <x v="3"/>
    <n v="1128299"/>
    <x v="156"/>
    <x v="2"/>
    <s v="California"/>
    <s v="San Francisco"/>
    <x v="4"/>
    <n v="62"/>
    <n v="145"/>
    <n v="8990"/>
    <n v="5663.7"/>
    <n v="0.63"/>
    <x v="2"/>
  </r>
  <r>
    <x v="3"/>
    <n v="1128299"/>
    <x v="157"/>
    <x v="2"/>
    <s v="California"/>
    <s v="San Francisco"/>
    <x v="5"/>
    <n v="54"/>
    <n v="210"/>
    <n v="11340"/>
    <n v="3061.8"/>
    <n v="0.27"/>
    <x v="2"/>
  </r>
  <r>
    <x v="3"/>
    <n v="1128299"/>
    <x v="158"/>
    <x v="2"/>
    <s v="California"/>
    <s v="San Francisco"/>
    <x v="0"/>
    <n v="56"/>
    <n v="228"/>
    <n v="12768"/>
    <n v="6000.96"/>
    <n v="0.47000000000000003"/>
    <x v="2"/>
  </r>
  <r>
    <x v="3"/>
    <n v="1128299"/>
    <x v="159"/>
    <x v="2"/>
    <s v="California"/>
    <s v="San Francisco"/>
    <x v="1"/>
    <n v="62"/>
    <n v="203"/>
    <n v="12586"/>
    <n v="3775.8000000000006"/>
    <n v="0.30000000000000004"/>
    <x v="2"/>
  </r>
  <r>
    <x v="3"/>
    <n v="1128299"/>
    <x v="160"/>
    <x v="2"/>
    <s v="California"/>
    <s v="San Francisco"/>
    <x v="2"/>
    <n v="64"/>
    <n v="210"/>
    <n v="13440"/>
    <n v="6720"/>
    <n v="0.5"/>
    <x v="2"/>
  </r>
  <r>
    <x v="3"/>
    <n v="1128299"/>
    <x v="161"/>
    <x v="2"/>
    <s v="California"/>
    <s v="San Francisco"/>
    <x v="3"/>
    <n v="54"/>
    <n v="188"/>
    <n v="10152"/>
    <n v="4162.32"/>
    <n v="0.41"/>
    <x v="2"/>
  </r>
  <r>
    <x v="3"/>
    <n v="1128299"/>
    <x v="162"/>
    <x v="2"/>
    <s v="California"/>
    <s v="San Francisco"/>
    <x v="4"/>
    <n v="59"/>
    <n v="152"/>
    <n v="8968"/>
    <n v="5829.2"/>
    <n v="0.65"/>
    <x v="2"/>
  </r>
  <r>
    <x v="3"/>
    <n v="1128299"/>
    <x v="163"/>
    <x v="2"/>
    <s v="California"/>
    <s v="San Francisco"/>
    <x v="5"/>
    <n v="72"/>
    <n v="203"/>
    <n v="14616"/>
    <n v="3946.32"/>
    <n v="0.27"/>
    <x v="2"/>
  </r>
  <r>
    <x v="3"/>
    <n v="1128299"/>
    <x v="164"/>
    <x v="2"/>
    <s v="California"/>
    <s v="San Francisco"/>
    <x v="0"/>
    <n v="56"/>
    <n v="252"/>
    <n v="14112"/>
    <n v="7056"/>
    <n v="0.5"/>
    <x v="2"/>
  </r>
  <r>
    <x v="3"/>
    <n v="1128299"/>
    <x v="165"/>
    <x v="2"/>
    <s v="California"/>
    <s v="San Francisco"/>
    <x v="1"/>
    <n v="64"/>
    <n v="225"/>
    <n v="14400"/>
    <n v="5184"/>
    <n v="0.36"/>
    <x v="2"/>
  </r>
  <r>
    <x v="3"/>
    <n v="1128299"/>
    <x v="166"/>
    <x v="2"/>
    <s v="California"/>
    <s v="San Francisco"/>
    <x v="2"/>
    <n v="60"/>
    <n v="218"/>
    <n v="13080"/>
    <n v="6670.8"/>
    <n v="0.51"/>
    <x v="2"/>
  </r>
  <r>
    <x v="3"/>
    <n v="1128299"/>
    <x v="167"/>
    <x v="2"/>
    <s v="California"/>
    <s v="San Francisco"/>
    <x v="3"/>
    <n v="56"/>
    <n v="182"/>
    <n v="10192"/>
    <n v="4586.3999999999996"/>
    <n v="0.44999999999999996"/>
    <x v="2"/>
  </r>
  <r>
    <x v="3"/>
    <n v="1128299"/>
    <x v="168"/>
    <x v="2"/>
    <s v="California"/>
    <s v="San Francisco"/>
    <x v="4"/>
    <n v="60"/>
    <n v="154"/>
    <n v="9240"/>
    <n v="6098.4000000000005"/>
    <n v="0.66"/>
    <x v="2"/>
  </r>
  <r>
    <x v="3"/>
    <n v="1128299"/>
    <x v="169"/>
    <x v="2"/>
    <s v="California"/>
    <s v="San Francisco"/>
    <x v="5"/>
    <n v="72"/>
    <n v="189"/>
    <n v="13608"/>
    <n v="4490.6400000000003"/>
    <n v="0.33"/>
    <x v="2"/>
  </r>
  <r>
    <x v="3"/>
    <n v="1128299"/>
    <x v="170"/>
    <x v="2"/>
    <s v="California"/>
    <s v="San Francisco"/>
    <x v="0"/>
    <n v="56"/>
    <n v="273"/>
    <n v="15288"/>
    <n v="7644"/>
    <n v="0.5"/>
    <x v="2"/>
  </r>
  <r>
    <x v="3"/>
    <n v="1128299"/>
    <x v="171"/>
    <x v="2"/>
    <s v="California"/>
    <s v="San Francisco"/>
    <x v="1"/>
    <n v="63"/>
    <n v="248"/>
    <n v="15624"/>
    <n v="5780.88"/>
    <n v="0.37"/>
    <x v="2"/>
  </r>
  <r>
    <x v="3"/>
    <n v="1128299"/>
    <x v="172"/>
    <x v="2"/>
    <s v="California"/>
    <s v="San Francisco"/>
    <x v="2"/>
    <n v="64"/>
    <n v="206"/>
    <n v="13184"/>
    <n v="7251.2000000000007"/>
    <n v="0.55000000000000004"/>
    <x v="2"/>
  </r>
  <r>
    <x v="3"/>
    <n v="1128299"/>
    <x v="173"/>
    <x v="2"/>
    <s v="California"/>
    <s v="San Francisco"/>
    <x v="3"/>
    <n v="59"/>
    <n v="210"/>
    <n v="12390"/>
    <n v="6071.0999999999995"/>
    <n v="0.49"/>
    <x v="2"/>
  </r>
  <r>
    <x v="3"/>
    <n v="1128299"/>
    <x v="174"/>
    <x v="2"/>
    <s v="California"/>
    <s v="San Francisco"/>
    <x v="4"/>
    <n v="62"/>
    <n v="155"/>
    <n v="9610"/>
    <n v="6342.6"/>
    <n v="0.66"/>
    <x v="2"/>
  </r>
  <r>
    <x v="3"/>
    <n v="1128299"/>
    <x v="175"/>
    <x v="2"/>
    <s v="California"/>
    <s v="San Francisco"/>
    <x v="5"/>
    <n v="72"/>
    <n v="219"/>
    <n v="15768"/>
    <n v="5518.7999999999993"/>
    <n v="0.35"/>
    <x v="2"/>
  </r>
  <r>
    <x v="3"/>
    <n v="1128299"/>
    <x v="176"/>
    <x v="2"/>
    <s v="California"/>
    <s v="San Francisco"/>
    <x v="0"/>
    <n v="56"/>
    <n v="277"/>
    <n v="15512"/>
    <n v="6980.4000000000015"/>
    <n v="0.45000000000000007"/>
    <x v="2"/>
  </r>
  <r>
    <x v="3"/>
    <n v="1128299"/>
    <x v="177"/>
    <x v="2"/>
    <s v="California"/>
    <s v="San Francisco"/>
    <x v="1"/>
    <n v="59"/>
    <n v="245"/>
    <n v="14455"/>
    <n v="4914.7000000000007"/>
    <n v="0.34"/>
    <x v="2"/>
  </r>
  <r>
    <x v="3"/>
    <n v="1128299"/>
    <x v="178"/>
    <x v="2"/>
    <s v="California"/>
    <s v="San Francisco"/>
    <x v="2"/>
    <n v="62"/>
    <n v="248"/>
    <n v="15376"/>
    <n v="7072.96"/>
    <n v="0.46"/>
    <x v="2"/>
  </r>
  <r>
    <x v="3"/>
    <n v="1128299"/>
    <x v="179"/>
    <x v="2"/>
    <s v="California"/>
    <s v="San Francisco"/>
    <x v="3"/>
    <n v="55"/>
    <n v="218"/>
    <n v="11990"/>
    <n v="4796"/>
    <n v="0.4"/>
    <x v="2"/>
  </r>
  <r>
    <x v="3"/>
    <n v="1128299"/>
    <x v="180"/>
    <x v="2"/>
    <s v="California"/>
    <s v="San Francisco"/>
    <x v="4"/>
    <n v="64"/>
    <n v="233"/>
    <n v="14912"/>
    <n v="9543.68"/>
    <n v="0.64"/>
    <x v="2"/>
  </r>
  <r>
    <x v="3"/>
    <n v="1128299"/>
    <x v="181"/>
    <x v="2"/>
    <s v="California"/>
    <s v="San Francisco"/>
    <x v="5"/>
    <n v="72"/>
    <n v="233"/>
    <n v="16776"/>
    <n v="4865.0400000000009"/>
    <n v="0.29000000000000004"/>
    <x v="2"/>
  </r>
  <r>
    <x v="3"/>
    <n v="1128299"/>
    <x v="182"/>
    <x v="2"/>
    <s v="California"/>
    <s v="San Francisco"/>
    <x v="0"/>
    <n v="62"/>
    <n v="273"/>
    <n v="16926"/>
    <n v="7785.96"/>
    <n v="0.46"/>
    <x v="2"/>
  </r>
  <r>
    <x v="3"/>
    <n v="1128299"/>
    <x v="183"/>
    <x v="2"/>
    <s v="California"/>
    <s v="San Francisco"/>
    <x v="1"/>
    <n v="66"/>
    <n v="259"/>
    <n v="17094"/>
    <n v="5128.2000000000007"/>
    <n v="0.30000000000000004"/>
    <x v="2"/>
  </r>
  <r>
    <x v="3"/>
    <n v="1128299"/>
    <x v="184"/>
    <x v="2"/>
    <s v="California"/>
    <s v="San Francisco"/>
    <x v="2"/>
    <n v="60"/>
    <n v="200"/>
    <n v="12000"/>
    <n v="5640"/>
    <n v="0.47000000000000003"/>
    <x v="2"/>
  </r>
  <r>
    <x v="3"/>
    <n v="1128299"/>
    <x v="185"/>
    <x v="2"/>
    <s v="California"/>
    <s v="San Francisco"/>
    <x v="3"/>
    <n v="59"/>
    <n v="188"/>
    <n v="11092"/>
    <n v="4547.7199999999993"/>
    <n v="0.41"/>
    <x v="2"/>
  </r>
  <r>
    <x v="3"/>
    <n v="1128299"/>
    <x v="186"/>
    <x v="2"/>
    <s v="California"/>
    <s v="San Francisco"/>
    <x v="4"/>
    <n v="69"/>
    <n v="188"/>
    <n v="12972"/>
    <n v="7912.92"/>
    <n v="0.61"/>
    <x v="2"/>
  </r>
  <r>
    <x v="3"/>
    <n v="1128299"/>
    <x v="187"/>
    <x v="2"/>
    <s v="California"/>
    <s v="San Francisco"/>
    <x v="5"/>
    <n v="76"/>
    <n v="181"/>
    <n v="13756"/>
    <n v="3439"/>
    <n v="0.25"/>
    <x v="2"/>
  </r>
  <r>
    <x v="3"/>
    <n v="1128299"/>
    <x v="188"/>
    <x v="2"/>
    <s v="California"/>
    <s v="San Francisco"/>
    <x v="0"/>
    <n v="51"/>
    <n v="241"/>
    <n v="12291"/>
    <n v="5162.22"/>
    <n v="0.42000000000000004"/>
    <x v="2"/>
  </r>
  <r>
    <x v="3"/>
    <n v="1128299"/>
    <x v="189"/>
    <x v="2"/>
    <s v="California"/>
    <s v="San Francisco"/>
    <x v="1"/>
    <n v="56"/>
    <n v="268"/>
    <n v="15008"/>
    <n v="4202.2400000000007"/>
    <n v="0.28000000000000003"/>
    <x v="2"/>
  </r>
  <r>
    <x v="3"/>
    <n v="1128299"/>
    <x v="190"/>
    <x v="2"/>
    <s v="California"/>
    <s v="San Francisco"/>
    <x v="2"/>
    <n v="52"/>
    <n v="225"/>
    <n v="11700"/>
    <n v="4680"/>
    <n v="0.4"/>
    <x v="2"/>
  </r>
  <r>
    <x v="3"/>
    <n v="1128299"/>
    <x v="191"/>
    <x v="2"/>
    <s v="California"/>
    <s v="San Francisco"/>
    <x v="3"/>
    <n v="53"/>
    <n v="203"/>
    <n v="10759"/>
    <n v="3765.6499999999996"/>
    <n v="0.35"/>
    <x v="2"/>
  </r>
  <r>
    <x v="3"/>
    <n v="1128299"/>
    <x v="192"/>
    <x v="2"/>
    <s v="California"/>
    <s v="San Francisco"/>
    <x v="4"/>
    <n v="63"/>
    <n v="218"/>
    <n v="13734"/>
    <n v="7965.7200000000012"/>
    <n v="0.58000000000000007"/>
    <x v="2"/>
  </r>
  <r>
    <x v="3"/>
    <n v="1128299"/>
    <x v="193"/>
    <x v="2"/>
    <s v="California"/>
    <s v="San Francisco"/>
    <x v="5"/>
    <n v="65"/>
    <n v="217"/>
    <n v="14105"/>
    <n v="3385.2000000000003"/>
    <n v="0.24000000000000002"/>
    <x v="2"/>
  </r>
  <r>
    <x v="3"/>
    <n v="1128299"/>
    <x v="194"/>
    <x v="2"/>
    <s v="California"/>
    <s v="San Francisco"/>
    <x v="0"/>
    <n v="51"/>
    <n v="236"/>
    <n v="12036"/>
    <n v="5416.2000000000007"/>
    <n v="0.45000000000000007"/>
    <x v="2"/>
  </r>
  <r>
    <x v="3"/>
    <n v="1128299"/>
    <x v="195"/>
    <x v="2"/>
    <s v="California"/>
    <s v="San Francisco"/>
    <x v="1"/>
    <n v="59"/>
    <n v="219"/>
    <n v="12921"/>
    <n v="3747.0900000000006"/>
    <n v="0.29000000000000004"/>
    <x v="2"/>
  </r>
  <r>
    <x v="3"/>
    <n v="1128299"/>
    <x v="196"/>
    <x v="2"/>
    <s v="California"/>
    <s v="San Francisco"/>
    <x v="2"/>
    <n v="50"/>
    <n v="182"/>
    <n v="9100"/>
    <n v="3822.0000000000005"/>
    <n v="0.42000000000000004"/>
    <x v="2"/>
  </r>
  <r>
    <x v="3"/>
    <n v="1128299"/>
    <x v="197"/>
    <x v="2"/>
    <s v="California"/>
    <s v="San Francisco"/>
    <x v="3"/>
    <n v="51"/>
    <n v="203"/>
    <n v="10353"/>
    <n v="3727.08"/>
    <n v="0.36"/>
    <x v="2"/>
  </r>
  <r>
    <x v="3"/>
    <n v="1128299"/>
    <x v="198"/>
    <x v="2"/>
    <s v="California"/>
    <s v="San Francisco"/>
    <x v="4"/>
    <n v="59"/>
    <n v="182"/>
    <n v="10738"/>
    <n v="6228.0400000000009"/>
    <n v="0.58000000000000007"/>
    <x v="2"/>
  </r>
  <r>
    <x v="3"/>
    <n v="1128299"/>
    <x v="199"/>
    <x v="2"/>
    <s v="California"/>
    <s v="San Francisco"/>
    <x v="5"/>
    <n v="63"/>
    <n v="196"/>
    <n v="12348"/>
    <n v="2840.04"/>
    <n v="0.23"/>
    <x v="2"/>
  </r>
  <r>
    <x v="3"/>
    <n v="1128299"/>
    <x v="200"/>
    <x v="2"/>
    <s v="California"/>
    <s v="San Francisco"/>
    <x v="0"/>
    <n v="52"/>
    <n v="263"/>
    <n v="13676"/>
    <n v="6017.4400000000005"/>
    <n v="0.44000000000000006"/>
    <x v="2"/>
  </r>
  <r>
    <x v="3"/>
    <n v="1128299"/>
    <x v="201"/>
    <x v="2"/>
    <s v="California"/>
    <s v="San Francisco"/>
    <x v="1"/>
    <n v="58"/>
    <n v="236"/>
    <n v="13688"/>
    <n v="3422"/>
    <n v="0.25"/>
    <x v="2"/>
  </r>
  <r>
    <x v="3"/>
    <n v="1128299"/>
    <x v="202"/>
    <x v="2"/>
    <s v="California"/>
    <s v="San Francisco"/>
    <x v="2"/>
    <n v="50"/>
    <n v="210"/>
    <n v="10500"/>
    <n v="4200"/>
    <n v="0.4"/>
    <x v="2"/>
  </r>
  <r>
    <x v="3"/>
    <n v="1128299"/>
    <x v="203"/>
    <x v="2"/>
    <s v="California"/>
    <s v="San Francisco"/>
    <x v="3"/>
    <n v="53"/>
    <n v="210"/>
    <n v="11130"/>
    <n v="4452"/>
    <n v="0.39999999999999997"/>
    <x v="2"/>
  </r>
  <r>
    <x v="3"/>
    <n v="1128299"/>
    <x v="204"/>
    <x v="2"/>
    <s v="California"/>
    <s v="San Francisco"/>
    <x v="4"/>
    <n v="63"/>
    <n v="163"/>
    <n v="10269"/>
    <n v="5853.3300000000008"/>
    <n v="0.57000000000000006"/>
    <x v="2"/>
  </r>
  <r>
    <x v="3"/>
    <n v="1128299"/>
    <x v="205"/>
    <x v="2"/>
    <s v="California"/>
    <s v="San Francisco"/>
    <x v="5"/>
    <n v="67"/>
    <n v="202"/>
    <n v="13534"/>
    <n v="2842.1400000000003"/>
    <n v="0.21000000000000002"/>
    <x v="2"/>
  </r>
  <r>
    <x v="3"/>
    <n v="1128299"/>
    <x v="206"/>
    <x v="2"/>
    <s v="California"/>
    <s v="San Francisco"/>
    <x v="0"/>
    <n v="51"/>
    <n v="293"/>
    <n v="14943"/>
    <n v="5977.2000000000007"/>
    <n v="0.4"/>
    <x v="2"/>
  </r>
  <r>
    <x v="3"/>
    <n v="1128299"/>
    <x v="207"/>
    <x v="2"/>
    <s v="California"/>
    <s v="San Francisco"/>
    <x v="1"/>
    <n v="58"/>
    <n v="273"/>
    <n v="15834"/>
    <n v="4275.18"/>
    <n v="0.27"/>
    <x v="2"/>
  </r>
  <r>
    <x v="3"/>
    <n v="1128299"/>
    <x v="208"/>
    <x v="2"/>
    <s v="California"/>
    <s v="San Francisco"/>
    <x v="2"/>
    <n v="52"/>
    <n v="233"/>
    <n v="12116"/>
    <n v="4846.4000000000005"/>
    <n v="0.4"/>
    <x v="2"/>
  </r>
  <r>
    <x v="3"/>
    <n v="1128299"/>
    <x v="209"/>
    <x v="2"/>
    <s v="California"/>
    <s v="San Francisco"/>
    <x v="3"/>
    <n v="51"/>
    <n v="194"/>
    <n v="9894"/>
    <n v="3957.5999999999995"/>
    <n v="0.39999999999999997"/>
    <x v="2"/>
  </r>
  <r>
    <x v="3"/>
    <n v="1128299"/>
    <x v="210"/>
    <x v="2"/>
    <s v="California"/>
    <s v="San Francisco"/>
    <x v="4"/>
    <n v="59"/>
    <n v="175"/>
    <n v="10325"/>
    <n v="6195.0000000000009"/>
    <n v="0.60000000000000009"/>
    <x v="2"/>
  </r>
  <r>
    <x v="3"/>
    <n v="1128299"/>
    <x v="211"/>
    <x v="2"/>
    <s v="California"/>
    <s v="San Francisco"/>
    <x v="5"/>
    <n v="67"/>
    <n v="208"/>
    <n v="13936"/>
    <n v="3205.28"/>
    <n v="0.23"/>
    <x v="2"/>
  </r>
  <r>
    <x v="4"/>
    <n v="1189833"/>
    <x v="212"/>
    <x v="2"/>
    <s v="California"/>
    <s v="San Francisco"/>
    <x v="0"/>
    <n v="32"/>
    <n v="203"/>
    <n v="6496"/>
    <n v="3312.96"/>
    <n v="0.51"/>
    <x v="2"/>
  </r>
  <r>
    <x v="4"/>
    <n v="1189833"/>
    <x v="213"/>
    <x v="2"/>
    <s v="California"/>
    <s v="San Francisco"/>
    <x v="1"/>
    <n v="41"/>
    <n v="196"/>
    <n v="8036"/>
    <n v="2892.96"/>
    <n v="0.36"/>
    <x v="2"/>
  </r>
  <r>
    <x v="4"/>
    <n v="1189833"/>
    <x v="214"/>
    <x v="2"/>
    <s v="California"/>
    <s v="San Francisco"/>
    <x v="2"/>
    <n v="41"/>
    <n v="189"/>
    <n v="7749"/>
    <n v="4029.48"/>
    <n v="0.52"/>
    <x v="2"/>
  </r>
  <r>
    <x v="4"/>
    <n v="1189833"/>
    <x v="215"/>
    <x v="2"/>
    <s v="California"/>
    <s v="San Francisco"/>
    <x v="3"/>
    <n v="41"/>
    <n v="160"/>
    <n v="6560"/>
    <n v="3214.4"/>
    <n v="0.49"/>
    <x v="2"/>
  </r>
  <r>
    <x v="4"/>
    <n v="1189833"/>
    <x v="216"/>
    <x v="2"/>
    <s v="California"/>
    <s v="Los Angeles"/>
    <x v="4"/>
    <n v="49"/>
    <n v="145"/>
    <n v="7105"/>
    <n v="4689.3"/>
    <n v="0.66"/>
    <x v="2"/>
  </r>
  <r>
    <x v="4"/>
    <n v="1189833"/>
    <x v="217"/>
    <x v="2"/>
    <s v="California"/>
    <s v="Los Angeles"/>
    <x v="5"/>
    <n v="41"/>
    <n v="182"/>
    <n v="7462"/>
    <n v="2313.2199999999998"/>
    <n v="0.31"/>
    <x v="2"/>
  </r>
  <r>
    <x v="4"/>
    <n v="1189833"/>
    <x v="218"/>
    <x v="2"/>
    <s v="California"/>
    <s v="Los Angeles"/>
    <x v="0"/>
    <n v="34"/>
    <n v="225"/>
    <n v="7650"/>
    <n v="4054.5"/>
    <n v="0.53"/>
    <x v="2"/>
  </r>
  <r>
    <x v="4"/>
    <n v="1189833"/>
    <x v="219"/>
    <x v="2"/>
    <s v="California"/>
    <s v="Los Angeles"/>
    <x v="1"/>
    <n v="43"/>
    <n v="195"/>
    <n v="8385"/>
    <n v="3354"/>
    <n v="0.4"/>
    <x v="2"/>
  </r>
  <r>
    <x v="4"/>
    <n v="1189833"/>
    <x v="220"/>
    <x v="2"/>
    <s v="California"/>
    <s v="Los Angeles"/>
    <x v="2"/>
    <n v="44"/>
    <n v="169"/>
    <n v="7436"/>
    <n v="3718"/>
    <n v="0.5"/>
    <x v="2"/>
  </r>
  <r>
    <x v="4"/>
    <n v="1189833"/>
    <x v="221"/>
    <x v="2"/>
    <s v="California"/>
    <s v="Los Angeles"/>
    <x v="3"/>
    <n v="41"/>
    <n v="152"/>
    <n v="6232"/>
    <n v="3053.68"/>
    <n v="0.49"/>
    <x v="2"/>
  </r>
  <r>
    <x v="4"/>
    <n v="1189833"/>
    <x v="222"/>
    <x v="2"/>
    <s v="California"/>
    <s v="Los Angeles"/>
    <x v="4"/>
    <n v="46"/>
    <n v="113"/>
    <n v="5198"/>
    <n v="3534.6400000000003"/>
    <n v="0.68"/>
    <x v="2"/>
  </r>
  <r>
    <x v="4"/>
    <n v="1189833"/>
    <x v="223"/>
    <x v="2"/>
    <s v="California"/>
    <s v="Los Angeles"/>
    <x v="5"/>
    <n v="41"/>
    <n v="176"/>
    <n v="7216"/>
    <n v="2164.8000000000002"/>
    <n v="0.30000000000000004"/>
    <x v="2"/>
  </r>
  <r>
    <x v="4"/>
    <n v="1189833"/>
    <x v="224"/>
    <x v="2"/>
    <s v="California"/>
    <s v="Los Angeles"/>
    <x v="0"/>
    <n v="32"/>
    <n v="216"/>
    <n v="6912"/>
    <n v="3456"/>
    <n v="0.5"/>
    <x v="2"/>
  </r>
  <r>
    <x v="4"/>
    <n v="1189833"/>
    <x v="225"/>
    <x v="2"/>
    <s v="California"/>
    <s v="Los Angeles"/>
    <x v="1"/>
    <n v="41"/>
    <n v="195"/>
    <n v="7995"/>
    <n v="2798.25"/>
    <n v="0.35"/>
    <x v="2"/>
  </r>
  <r>
    <x v="4"/>
    <n v="1189833"/>
    <x v="226"/>
    <x v="2"/>
    <s v="California"/>
    <s v="Los Angeles"/>
    <x v="2"/>
    <n v="42"/>
    <n v="169"/>
    <n v="7098"/>
    <n v="3903.9"/>
    <n v="0.55000000000000004"/>
    <x v="2"/>
  </r>
  <r>
    <x v="4"/>
    <n v="1189833"/>
    <x v="227"/>
    <x v="2"/>
    <s v="California"/>
    <s v="Los Angeles"/>
    <x v="3"/>
    <n v="41"/>
    <n v="154"/>
    <n v="6314"/>
    <n v="2841.2999999999997"/>
    <n v="0.44999999999999996"/>
    <x v="2"/>
  </r>
  <r>
    <x v="4"/>
    <n v="1189833"/>
    <x v="228"/>
    <x v="2"/>
    <s v="California"/>
    <s v="Los Angeles"/>
    <x v="4"/>
    <n v="46"/>
    <n v="106"/>
    <n v="4876"/>
    <n v="3315.6800000000003"/>
    <n v="0.68"/>
    <x v="2"/>
  </r>
  <r>
    <x v="4"/>
    <n v="1189833"/>
    <x v="229"/>
    <x v="2"/>
    <s v="California"/>
    <s v="Los Angeles"/>
    <x v="5"/>
    <n v="41"/>
    <n v="188"/>
    <n v="7708"/>
    <n v="2697.7999999999997"/>
    <n v="0.35"/>
    <x v="2"/>
  </r>
  <r>
    <x v="4"/>
    <n v="1189833"/>
    <x v="230"/>
    <x v="2"/>
    <s v="California"/>
    <s v="Los Angeles"/>
    <x v="0"/>
    <n v="43"/>
    <n v="240"/>
    <n v="10320"/>
    <n v="5160"/>
    <n v="0.5"/>
    <x v="2"/>
  </r>
  <r>
    <x v="4"/>
    <n v="1189833"/>
    <x v="231"/>
    <x v="2"/>
    <s v="California"/>
    <s v="Los Angeles"/>
    <x v="1"/>
    <n v="49"/>
    <n v="156"/>
    <n v="7644"/>
    <n v="2751.8399999999997"/>
    <n v="0.36"/>
    <x v="2"/>
  </r>
  <r>
    <x v="4"/>
    <n v="1189833"/>
    <x v="232"/>
    <x v="2"/>
    <s v="California"/>
    <s v="Los Angeles"/>
    <x v="2"/>
    <n v="49"/>
    <n v="175"/>
    <n v="8575"/>
    <n v="4716.25"/>
    <n v="0.55000000000000004"/>
    <x v="2"/>
  </r>
  <r>
    <x v="4"/>
    <n v="1189833"/>
    <x v="233"/>
    <x v="2"/>
    <s v="California"/>
    <s v="Los Angeles"/>
    <x v="3"/>
    <n v="43"/>
    <n v="152"/>
    <n v="6536"/>
    <n v="3202.64"/>
    <n v="0.49"/>
    <x v="2"/>
  </r>
  <r>
    <x v="4"/>
    <n v="1189833"/>
    <x v="234"/>
    <x v="2"/>
    <s v="California"/>
    <s v="Los Angeles"/>
    <x v="4"/>
    <n v="49"/>
    <n v="119"/>
    <n v="5831"/>
    <n v="3848.46"/>
    <n v="0.66"/>
    <x v="2"/>
  </r>
  <r>
    <x v="4"/>
    <n v="1189833"/>
    <x v="235"/>
    <x v="2"/>
    <s v="California"/>
    <s v="Los Angeles"/>
    <x v="5"/>
    <n v="62"/>
    <n v="174"/>
    <n v="10788"/>
    <n v="3560.04"/>
    <n v="0.33"/>
    <x v="2"/>
  </r>
  <r>
    <x v="4"/>
    <n v="1189833"/>
    <x v="236"/>
    <x v="2"/>
    <s v="California"/>
    <s v="Los Angeles"/>
    <x v="0"/>
    <n v="41"/>
    <n v="208"/>
    <n v="8528"/>
    <n v="4434.5600000000004"/>
    <n v="0.52"/>
    <x v="2"/>
  </r>
  <r>
    <x v="4"/>
    <n v="1189833"/>
    <x v="237"/>
    <x v="2"/>
    <s v="California"/>
    <s v="Los Angeles"/>
    <x v="1"/>
    <n v="47"/>
    <n v="169"/>
    <n v="7943"/>
    <n v="2780.0499999999997"/>
    <n v="0.35"/>
    <x v="2"/>
  </r>
  <r>
    <x v="4"/>
    <n v="1189833"/>
    <x v="238"/>
    <x v="2"/>
    <s v="California"/>
    <s v="Los Angeles"/>
    <x v="2"/>
    <n v="45"/>
    <n v="163"/>
    <n v="7335"/>
    <n v="3814.2000000000003"/>
    <n v="0.52"/>
    <x v="2"/>
  </r>
  <r>
    <x v="4"/>
    <n v="1189833"/>
    <x v="239"/>
    <x v="2"/>
    <s v="California"/>
    <s v="Los Angeles"/>
    <x v="3"/>
    <n v="41"/>
    <n v="154"/>
    <n v="6314"/>
    <n v="3030.72"/>
    <n v="0.48"/>
    <x v="2"/>
  </r>
  <r>
    <x v="4"/>
    <n v="1189833"/>
    <x v="240"/>
    <x v="2"/>
    <s v="California"/>
    <s v="Los Angeles"/>
    <x v="4"/>
    <n v="45"/>
    <n v="131"/>
    <n v="5895"/>
    <n v="3831.75"/>
    <n v="0.65"/>
    <x v="2"/>
  </r>
  <r>
    <x v="4"/>
    <n v="1189833"/>
    <x v="241"/>
    <x v="2"/>
    <s v="California"/>
    <s v="Los Angeles"/>
    <x v="5"/>
    <n v="64"/>
    <n v="181"/>
    <n v="11584"/>
    <n v="3591.04"/>
    <n v="0.31"/>
    <x v="2"/>
  </r>
  <r>
    <x v="4"/>
    <n v="1189833"/>
    <x v="242"/>
    <x v="2"/>
    <s v="California"/>
    <s v="Los Angeles"/>
    <x v="0"/>
    <n v="44"/>
    <n v="270"/>
    <n v="11880"/>
    <n v="6534.0000000000009"/>
    <n v="0.55000000000000004"/>
    <x v="2"/>
  </r>
  <r>
    <x v="4"/>
    <n v="1189833"/>
    <x v="243"/>
    <x v="2"/>
    <s v="California"/>
    <s v="Los Angeles"/>
    <x v="1"/>
    <n v="47"/>
    <n v="225"/>
    <n v="10575"/>
    <n v="3701.2499999999995"/>
    <n v="0.35"/>
    <x v="2"/>
  </r>
  <r>
    <x v="4"/>
    <n v="1189833"/>
    <x v="244"/>
    <x v="2"/>
    <s v="California"/>
    <s v="Los Angeles"/>
    <x v="2"/>
    <n v="48"/>
    <n v="203"/>
    <n v="9744"/>
    <n v="5359.2000000000007"/>
    <n v="0.55000000000000004"/>
    <x v="2"/>
  </r>
  <r>
    <x v="4"/>
    <n v="1189833"/>
    <x v="245"/>
    <x v="2"/>
    <s v="California"/>
    <s v="Los Angeles"/>
    <x v="3"/>
    <n v="44"/>
    <n v="175"/>
    <n v="7700"/>
    <n v="3696"/>
    <n v="0.48"/>
    <x v="2"/>
  </r>
  <r>
    <x v="4"/>
    <n v="1189833"/>
    <x v="246"/>
    <x v="2"/>
    <s v="California"/>
    <s v="Los Angeles"/>
    <x v="4"/>
    <n v="45"/>
    <n v="125"/>
    <n v="5625"/>
    <n v="3881.2500000000005"/>
    <n v="0.69000000000000006"/>
    <x v="2"/>
  </r>
  <r>
    <x v="4"/>
    <n v="1189833"/>
    <x v="247"/>
    <x v="2"/>
    <s v="California"/>
    <s v="Los Angeles"/>
    <x v="5"/>
    <n v="60"/>
    <n v="200"/>
    <n v="12000"/>
    <n v="3720"/>
    <n v="0.31"/>
    <x v="2"/>
  </r>
  <r>
    <x v="4"/>
    <n v="1189833"/>
    <x v="248"/>
    <x v="2"/>
    <s v="California"/>
    <s v="Los Angeles"/>
    <x v="0"/>
    <n v="41"/>
    <n v="238"/>
    <n v="9758"/>
    <n v="4976.58"/>
    <n v="0.51"/>
    <x v="2"/>
  </r>
  <r>
    <x v="4"/>
    <n v="1189833"/>
    <x v="249"/>
    <x v="2"/>
    <s v="California"/>
    <s v="Los Angeles"/>
    <x v="1"/>
    <n v="46"/>
    <n v="216"/>
    <n v="9936"/>
    <n v="3775.68"/>
    <n v="0.38"/>
    <x v="2"/>
  </r>
  <r>
    <x v="4"/>
    <n v="1189833"/>
    <x v="250"/>
    <x v="2"/>
    <s v="California"/>
    <s v="Los Angeles"/>
    <x v="2"/>
    <n v="47"/>
    <n v="218"/>
    <n v="10246"/>
    <n v="5327.92"/>
    <n v="0.52"/>
    <x v="2"/>
  </r>
  <r>
    <x v="4"/>
    <n v="1189833"/>
    <x v="251"/>
    <x v="2"/>
    <s v="California"/>
    <s v="Los Angeles"/>
    <x v="3"/>
    <n v="44"/>
    <n v="189"/>
    <n v="8316"/>
    <n v="3991.68"/>
    <n v="0.48"/>
    <x v="2"/>
  </r>
  <r>
    <x v="4"/>
    <n v="1189833"/>
    <x v="252"/>
    <x v="2"/>
    <s v="California"/>
    <s v="Los Angeles"/>
    <x v="4"/>
    <n v="46"/>
    <n v="189"/>
    <n v="8694"/>
    <n v="5738.04"/>
    <n v="0.66"/>
    <x v="2"/>
  </r>
  <r>
    <x v="4"/>
    <n v="1189833"/>
    <x v="253"/>
    <x v="2"/>
    <s v="California"/>
    <s v="Los Angeles"/>
    <x v="5"/>
    <n v="59"/>
    <n v="203"/>
    <n v="11977"/>
    <n v="3593.1000000000004"/>
    <n v="0.30000000000000004"/>
    <x v="2"/>
  </r>
  <r>
    <x v="4"/>
    <n v="1189833"/>
    <x v="254"/>
    <x v="2"/>
    <s v="California"/>
    <s v="Los Angeles"/>
    <x v="0"/>
    <n v="47"/>
    <n v="252"/>
    <n v="11844"/>
    <n v="6158.88"/>
    <n v="0.52"/>
    <x v="2"/>
  </r>
  <r>
    <x v="4"/>
    <n v="1189833"/>
    <x v="255"/>
    <x v="2"/>
    <s v="California"/>
    <s v="Los Angeles"/>
    <x v="1"/>
    <n v="51"/>
    <n v="221"/>
    <n v="11271"/>
    <n v="4508.4000000000005"/>
    <n v="0.4"/>
    <x v="2"/>
  </r>
  <r>
    <x v="4"/>
    <n v="1189833"/>
    <x v="256"/>
    <x v="2"/>
    <s v="California"/>
    <s v="Los Angeles"/>
    <x v="2"/>
    <n v="48"/>
    <n v="218"/>
    <n v="10464"/>
    <n v="5336.64"/>
    <n v="0.51"/>
    <x v="2"/>
  </r>
  <r>
    <x v="4"/>
    <n v="1189833"/>
    <x v="257"/>
    <x v="2"/>
    <s v="California"/>
    <s v="Los Angeles"/>
    <x v="3"/>
    <n v="47"/>
    <n v="169"/>
    <n v="7943"/>
    <n v="3812.64"/>
    <n v="0.48"/>
    <x v="2"/>
  </r>
  <r>
    <x v="4"/>
    <n v="1189833"/>
    <x v="258"/>
    <x v="2"/>
    <s v="California"/>
    <s v="Los Angeles"/>
    <x v="4"/>
    <n v="58"/>
    <n v="182"/>
    <n v="10556"/>
    <n v="7072.52"/>
    <n v="0.67"/>
    <x v="2"/>
  </r>
  <r>
    <x v="4"/>
    <n v="1189833"/>
    <x v="259"/>
    <x v="2"/>
    <s v="California"/>
    <s v="Los Angeles"/>
    <x v="5"/>
    <n v="61"/>
    <n v="189"/>
    <n v="11529"/>
    <n v="4035.1499999999996"/>
    <n v="0.35"/>
    <x v="2"/>
  </r>
  <r>
    <x v="4"/>
    <n v="1189833"/>
    <x v="260"/>
    <x v="2"/>
    <s v="California"/>
    <s v="Los Angeles"/>
    <x v="0"/>
    <n v="47"/>
    <n v="213"/>
    <n v="10011"/>
    <n v="5405.9400000000005"/>
    <n v="0.54"/>
    <x v="2"/>
  </r>
  <r>
    <x v="4"/>
    <n v="1189833"/>
    <x v="261"/>
    <x v="2"/>
    <s v="California"/>
    <s v="Los Angeles"/>
    <x v="1"/>
    <n v="50"/>
    <n v="247"/>
    <n v="12350"/>
    <n v="4569.5"/>
    <n v="0.37"/>
    <x v="2"/>
  </r>
  <r>
    <x v="4"/>
    <n v="1189833"/>
    <x v="262"/>
    <x v="2"/>
    <s v="California"/>
    <s v="Los Angeles"/>
    <x v="2"/>
    <n v="46"/>
    <n v="196"/>
    <n v="9016"/>
    <n v="4508"/>
    <n v="0.5"/>
    <x v="2"/>
  </r>
  <r>
    <x v="4"/>
    <n v="1189833"/>
    <x v="263"/>
    <x v="2"/>
    <s v="California"/>
    <s v="Los Angeles"/>
    <x v="3"/>
    <n v="46"/>
    <n v="176"/>
    <n v="8096"/>
    <n v="4048"/>
    <n v="0.5"/>
    <x v="2"/>
  </r>
  <r>
    <x v="4"/>
    <n v="1189833"/>
    <x v="264"/>
    <x v="2"/>
    <s v="California"/>
    <s v="Los Angeles"/>
    <x v="4"/>
    <n v="58"/>
    <n v="163"/>
    <n v="9454"/>
    <n v="6334.18"/>
    <n v="0.67"/>
    <x v="2"/>
  </r>
  <r>
    <x v="4"/>
    <n v="1189833"/>
    <x v="265"/>
    <x v="2"/>
    <s v="California"/>
    <s v="Los Angeles"/>
    <x v="5"/>
    <n v="59"/>
    <n v="189"/>
    <n v="11151"/>
    <n v="3456.81"/>
    <n v="0.31"/>
    <x v="2"/>
  </r>
  <r>
    <x v="4"/>
    <n v="1189833"/>
    <x v="266"/>
    <x v="2"/>
    <s v="California"/>
    <s v="Los Angeles"/>
    <x v="0"/>
    <n v="49"/>
    <n v="224"/>
    <n v="10976"/>
    <n v="5488"/>
    <n v="0.5"/>
    <x v="2"/>
  </r>
  <r>
    <x v="4"/>
    <n v="1189833"/>
    <x v="267"/>
    <x v="2"/>
    <s v="California"/>
    <s v="Los Angeles"/>
    <x v="1"/>
    <n v="51"/>
    <n v="232"/>
    <n v="11832"/>
    <n v="4259.5199999999995"/>
    <n v="0.36"/>
    <x v="2"/>
  </r>
  <r>
    <x v="4"/>
    <n v="1189833"/>
    <x v="268"/>
    <x v="2"/>
    <s v="California"/>
    <s v="Los Angeles"/>
    <x v="2"/>
    <n v="49"/>
    <n v="176"/>
    <n v="8624"/>
    <n v="4398.24"/>
    <n v="0.51"/>
    <x v="2"/>
  </r>
  <r>
    <x v="4"/>
    <n v="1189833"/>
    <x v="269"/>
    <x v="2"/>
    <s v="California"/>
    <s v="Los Angeles"/>
    <x v="3"/>
    <n v="48"/>
    <n v="175"/>
    <n v="8400"/>
    <n v="3779.9999999999995"/>
    <n v="0.44999999999999996"/>
    <x v="2"/>
  </r>
  <r>
    <x v="4"/>
    <n v="1189833"/>
    <x v="270"/>
    <x v="2"/>
    <s v="California"/>
    <s v="Los Angeles"/>
    <x v="4"/>
    <n v="56"/>
    <n v="174"/>
    <n v="9744"/>
    <n v="6625.92"/>
    <n v="0.68"/>
    <x v="2"/>
  </r>
  <r>
    <x v="4"/>
    <n v="1189833"/>
    <x v="271"/>
    <x v="2"/>
    <s v="California"/>
    <s v="Los Angeles"/>
    <x v="5"/>
    <n v="62"/>
    <n v="176"/>
    <n v="10912"/>
    <n v="3819.2"/>
    <n v="0.35"/>
    <x v="2"/>
  </r>
  <r>
    <x v="4"/>
    <n v="1189833"/>
    <x v="272"/>
    <x v="2"/>
    <s v="California"/>
    <s v="Los Angeles"/>
    <x v="0"/>
    <n v="49"/>
    <n v="231"/>
    <n v="11319"/>
    <n v="5659.5"/>
    <n v="0.5"/>
    <x v="2"/>
  </r>
  <r>
    <x v="4"/>
    <n v="1189833"/>
    <x v="273"/>
    <x v="2"/>
    <s v="California"/>
    <s v="Los Angeles"/>
    <x v="1"/>
    <n v="54"/>
    <n v="215"/>
    <n v="11610"/>
    <n v="4411.8"/>
    <n v="0.38"/>
    <x v="2"/>
  </r>
  <r>
    <x v="4"/>
    <n v="1189833"/>
    <x v="274"/>
    <x v="2"/>
    <s v="California"/>
    <s v="Los Angeles"/>
    <x v="2"/>
    <n v="47"/>
    <n v="169"/>
    <n v="7943"/>
    <n v="3971.5"/>
    <n v="0.5"/>
    <x v="2"/>
  </r>
  <r>
    <x v="4"/>
    <n v="1189833"/>
    <x v="275"/>
    <x v="2"/>
    <s v="California"/>
    <s v="Los Angeles"/>
    <x v="3"/>
    <n v="47"/>
    <n v="176"/>
    <n v="8272"/>
    <n v="3722.3999999999996"/>
    <n v="0.44999999999999996"/>
    <x v="2"/>
  </r>
  <r>
    <x v="4"/>
    <n v="1189833"/>
    <x v="276"/>
    <x v="2"/>
    <s v="California"/>
    <s v="Los Angeles"/>
    <x v="4"/>
    <n v="55"/>
    <n v="174"/>
    <n v="9570"/>
    <n v="6603.3"/>
    <n v="0.69000000000000006"/>
    <x v="2"/>
  </r>
  <r>
    <x v="4"/>
    <n v="1189833"/>
    <x v="277"/>
    <x v="2"/>
    <s v="California"/>
    <s v="Los Angeles"/>
    <x v="5"/>
    <n v="59"/>
    <n v="189"/>
    <n v="11151"/>
    <n v="3791.34"/>
    <n v="0.34"/>
    <x v="2"/>
  </r>
  <r>
    <x v="4"/>
    <n v="1189833"/>
    <x v="278"/>
    <x v="2"/>
    <s v="California"/>
    <s v="Los Angeles"/>
    <x v="0"/>
    <n v="49"/>
    <n v="225"/>
    <n v="11025"/>
    <n v="5622.75"/>
    <n v="0.51"/>
    <x v="2"/>
  </r>
  <r>
    <x v="4"/>
    <n v="1189833"/>
    <x v="279"/>
    <x v="2"/>
    <s v="California"/>
    <s v="Los Angeles"/>
    <x v="1"/>
    <n v="50"/>
    <n v="243"/>
    <n v="12150"/>
    <n v="4617"/>
    <n v="0.38"/>
    <x v="2"/>
  </r>
  <r>
    <x v="4"/>
    <n v="1189833"/>
    <x v="280"/>
    <x v="2"/>
    <s v="California"/>
    <s v="Los Angeles"/>
    <x v="2"/>
    <n v="46"/>
    <n v="182"/>
    <n v="8372"/>
    <n v="4520.88"/>
    <n v="0.54"/>
    <x v="2"/>
  </r>
  <r>
    <x v="4"/>
    <n v="1189833"/>
    <x v="281"/>
    <x v="2"/>
    <s v="California"/>
    <s v="Los Angeles"/>
    <x v="3"/>
    <n v="49"/>
    <n v="210"/>
    <n v="10290"/>
    <n v="5145"/>
    <n v="0.5"/>
    <x v="2"/>
  </r>
  <r>
    <x v="4"/>
    <n v="1189833"/>
    <x v="282"/>
    <x v="2"/>
    <s v="California"/>
    <s v="Los Angeles"/>
    <x v="4"/>
    <n v="55"/>
    <n v="156"/>
    <n v="8580"/>
    <n v="5577"/>
    <n v="0.65"/>
    <x v="2"/>
  </r>
  <r>
    <x v="4"/>
    <n v="1189833"/>
    <x v="283"/>
    <x v="2"/>
    <s v="California"/>
    <s v="Los Angeles"/>
    <x v="5"/>
    <n v="59"/>
    <n v="196"/>
    <n v="11564"/>
    <n v="4047.3999999999996"/>
    <n v="0.35"/>
    <x v="2"/>
  </r>
  <r>
    <x v="0"/>
    <n v="1185732"/>
    <x v="284"/>
    <x v="2"/>
    <s v="California"/>
    <s v="Los Angeles"/>
    <x v="0"/>
    <n v="44"/>
    <n v="124"/>
    <n v="5456"/>
    <n v="2837.12"/>
    <n v="0.52"/>
    <x v="2"/>
  </r>
  <r>
    <x v="0"/>
    <n v="1185732"/>
    <x v="285"/>
    <x v="2"/>
    <s v="California"/>
    <s v="Los Angeles"/>
    <x v="1"/>
    <n v="41"/>
    <n v="77"/>
    <n v="3157"/>
    <n v="1452.2199999999998"/>
    <n v="0.45999999999999996"/>
    <x v="2"/>
  </r>
  <r>
    <x v="0"/>
    <n v="1185732"/>
    <x v="286"/>
    <x v="2"/>
    <s v="California"/>
    <s v="Los Angeles"/>
    <x v="2"/>
    <n v="32"/>
    <n v="83"/>
    <n v="2656"/>
    <n v="1248.32"/>
    <n v="0.47"/>
    <x v="2"/>
  </r>
  <r>
    <x v="0"/>
    <n v="1185732"/>
    <x v="287"/>
    <x v="2"/>
    <s v="California"/>
    <s v="Los Angeles"/>
    <x v="3"/>
    <n v="37"/>
    <n v="34"/>
    <n v="1258"/>
    <n v="654.16"/>
    <n v="0.52"/>
    <x v="2"/>
  </r>
  <r>
    <x v="0"/>
    <n v="1185732"/>
    <x v="288"/>
    <x v="3"/>
    <s v="Illinois"/>
    <s v="Chicago"/>
    <x v="4"/>
    <n v="53"/>
    <n v="47"/>
    <n v="2491"/>
    <n v="1220.5899999999999"/>
    <n v="0.49"/>
    <x v="2"/>
  </r>
  <r>
    <x v="0"/>
    <n v="1185732"/>
    <x v="289"/>
    <x v="3"/>
    <s v="Illinois"/>
    <s v="Chicago"/>
    <x v="5"/>
    <n v="41"/>
    <n v="69"/>
    <n v="2829"/>
    <n v="1697.3999999999999"/>
    <n v="0.6"/>
    <x v="2"/>
  </r>
  <r>
    <x v="0"/>
    <n v="1185732"/>
    <x v="290"/>
    <x v="3"/>
    <s v="Illinois"/>
    <s v="Chicago"/>
    <x v="0"/>
    <n v="44"/>
    <n v="158"/>
    <n v="6952"/>
    <n v="3545.52"/>
    <n v="0.51"/>
    <x v="2"/>
  </r>
  <r>
    <x v="0"/>
    <n v="1185732"/>
    <x v="291"/>
    <x v="3"/>
    <s v="Illinois"/>
    <s v="Chicago"/>
    <x v="1"/>
    <n v="43"/>
    <n v="51"/>
    <n v="2193"/>
    <n v="1030.71"/>
    <n v="0.47"/>
    <x v="2"/>
  </r>
  <r>
    <x v="0"/>
    <n v="1185732"/>
    <x v="292"/>
    <x v="3"/>
    <s v="Illinois"/>
    <s v="Chicago"/>
    <x v="2"/>
    <n v="32"/>
    <n v="61"/>
    <n v="1952"/>
    <n v="897.92"/>
    <n v="0.45999999999999996"/>
    <x v="2"/>
  </r>
  <r>
    <x v="0"/>
    <n v="1185732"/>
    <x v="293"/>
    <x v="3"/>
    <s v="Illinois"/>
    <s v="Chicago"/>
    <x v="3"/>
    <n v="39"/>
    <n v="28"/>
    <n v="1092"/>
    <n v="578.76"/>
    <n v="0.53"/>
    <x v="2"/>
  </r>
  <r>
    <x v="0"/>
    <n v="1185732"/>
    <x v="294"/>
    <x v="3"/>
    <s v="Illinois"/>
    <s v="Chicago"/>
    <x v="4"/>
    <n v="50"/>
    <n v="44"/>
    <n v="2200"/>
    <n v="1034"/>
    <n v="0.47"/>
    <x v="2"/>
  </r>
  <r>
    <x v="0"/>
    <n v="1185732"/>
    <x v="295"/>
    <x v="3"/>
    <s v="Illinois"/>
    <s v="Chicago"/>
    <x v="5"/>
    <n v="43"/>
    <n v="77"/>
    <n v="3311"/>
    <n v="2152.15"/>
    <n v="0.65"/>
    <x v="2"/>
  </r>
  <r>
    <x v="0"/>
    <n v="1185732"/>
    <x v="296"/>
    <x v="3"/>
    <s v="Illinois"/>
    <s v="Chicago"/>
    <x v="0"/>
    <n v="47"/>
    <n v="144"/>
    <n v="6768"/>
    <n v="3722.4"/>
    <n v="0.55000000000000004"/>
    <x v="2"/>
  </r>
  <r>
    <x v="0"/>
    <n v="1185732"/>
    <x v="297"/>
    <x v="3"/>
    <s v="Illinois"/>
    <s v="Chicago"/>
    <x v="1"/>
    <n v="46"/>
    <n v="60"/>
    <n v="2760"/>
    <n v="1324.8"/>
    <n v="0.48"/>
    <x v="2"/>
  </r>
  <r>
    <x v="0"/>
    <n v="1185732"/>
    <x v="298"/>
    <x v="3"/>
    <s v="Illinois"/>
    <s v="Chicago"/>
    <x v="2"/>
    <n v="37"/>
    <n v="68"/>
    <n v="2516"/>
    <n v="1132.1999999999998"/>
    <n v="0.44999999999999996"/>
    <x v="2"/>
  </r>
  <r>
    <x v="0"/>
    <n v="1185732"/>
    <x v="299"/>
    <x v="3"/>
    <s v="Illinois"/>
    <s v="Chicago"/>
    <x v="3"/>
    <n v="41"/>
    <n v="19"/>
    <n v="779"/>
    <n v="412.87"/>
    <n v="0.53"/>
    <x v="2"/>
  </r>
  <r>
    <x v="0"/>
    <n v="1185732"/>
    <x v="300"/>
    <x v="3"/>
    <s v="Illinois"/>
    <s v="Chicago"/>
    <x v="4"/>
    <n v="56"/>
    <n v="38"/>
    <n v="2128"/>
    <n v="1000.16"/>
    <n v="0.47"/>
    <x v="2"/>
  </r>
  <r>
    <x v="0"/>
    <n v="1185732"/>
    <x v="301"/>
    <x v="3"/>
    <s v="Illinois"/>
    <s v="Chicago"/>
    <x v="5"/>
    <n v="45"/>
    <n v="63"/>
    <n v="2835"/>
    <n v="1786.05"/>
    <n v="0.63"/>
    <x v="2"/>
  </r>
  <r>
    <x v="0"/>
    <n v="1185732"/>
    <x v="302"/>
    <x v="3"/>
    <s v="Illinois"/>
    <s v="Chicago"/>
    <x v="0"/>
    <n v="48"/>
    <n v="122"/>
    <n v="5856"/>
    <n v="3045.12"/>
    <n v="0.52"/>
    <x v="2"/>
  </r>
  <r>
    <x v="0"/>
    <n v="1185732"/>
    <x v="303"/>
    <x v="3"/>
    <s v="Illinois"/>
    <s v="Chicago"/>
    <x v="1"/>
    <n v="48"/>
    <n v="44"/>
    <n v="2112"/>
    <n v="971.52"/>
    <n v="0.45999999999999996"/>
    <x v="2"/>
  </r>
  <r>
    <x v="0"/>
    <n v="1185732"/>
    <x v="304"/>
    <x v="3"/>
    <s v="Illinois"/>
    <s v="Chicago"/>
    <x v="2"/>
    <n v="36"/>
    <n v="42"/>
    <n v="1512"/>
    <n v="725.76"/>
    <n v="0.48"/>
    <x v="2"/>
  </r>
  <r>
    <x v="0"/>
    <n v="1185732"/>
    <x v="305"/>
    <x v="3"/>
    <s v="Illinois"/>
    <s v="Chicago"/>
    <x v="3"/>
    <n v="44"/>
    <n v="20"/>
    <n v="880"/>
    <n v="440"/>
    <n v="0.5"/>
    <x v="2"/>
  </r>
  <r>
    <x v="0"/>
    <n v="1185732"/>
    <x v="306"/>
    <x v="3"/>
    <s v="Illinois"/>
    <s v="Chicago"/>
    <x v="4"/>
    <n v="54"/>
    <n v="28"/>
    <n v="1512"/>
    <n v="710.64"/>
    <n v="0.47"/>
    <x v="2"/>
  </r>
  <r>
    <x v="0"/>
    <n v="1185732"/>
    <x v="307"/>
    <x v="3"/>
    <s v="Illinois"/>
    <s v="Chicago"/>
    <x v="5"/>
    <n v="49"/>
    <n v="65"/>
    <n v="3185"/>
    <n v="1911"/>
    <n v="0.6"/>
    <x v="2"/>
  </r>
  <r>
    <x v="0"/>
    <n v="1185732"/>
    <x v="308"/>
    <x v="3"/>
    <s v="Illinois"/>
    <s v="Chicago"/>
    <x v="0"/>
    <n v="58"/>
    <n v="134"/>
    <n v="7772"/>
    <n v="4196.88"/>
    <n v="0.54"/>
    <x v="2"/>
  </r>
  <r>
    <x v="0"/>
    <n v="1185732"/>
    <x v="309"/>
    <x v="3"/>
    <s v="Illinois"/>
    <s v="Chicago"/>
    <x v="1"/>
    <n v="53"/>
    <n v="54"/>
    <n v="2862"/>
    <n v="1287.8999999999999"/>
    <n v="0.44999999999999996"/>
    <x v="2"/>
  </r>
  <r>
    <x v="0"/>
    <n v="1185732"/>
    <x v="310"/>
    <x v="3"/>
    <s v="Illinois"/>
    <s v="Chicago"/>
    <x v="2"/>
    <n v="49"/>
    <n v="44"/>
    <n v="2156"/>
    <n v="991.75999999999988"/>
    <n v="0.45999999999999996"/>
    <x v="2"/>
  </r>
  <r>
    <x v="0"/>
    <n v="1185732"/>
    <x v="311"/>
    <x v="3"/>
    <s v="Illinois"/>
    <s v="Chicago"/>
    <x v="3"/>
    <n v="48"/>
    <n v="28"/>
    <n v="1344"/>
    <n v="712.32"/>
    <n v="0.53"/>
    <x v="2"/>
  </r>
  <r>
    <x v="0"/>
    <n v="1185732"/>
    <x v="312"/>
    <x v="3"/>
    <s v="Illinois"/>
    <s v="Chicago"/>
    <x v="4"/>
    <n v="59"/>
    <n v="35"/>
    <n v="2065"/>
    <n v="949.9"/>
    <n v="0.45999999999999996"/>
    <x v="2"/>
  </r>
  <r>
    <x v="0"/>
    <n v="1185732"/>
    <x v="313"/>
    <x v="3"/>
    <s v="Illinois"/>
    <s v="Chicago"/>
    <x v="5"/>
    <n v="64"/>
    <n v="63"/>
    <n v="4032"/>
    <n v="2419.1999999999998"/>
    <n v="0.6"/>
    <x v="2"/>
  </r>
  <r>
    <x v="0"/>
    <n v="1185732"/>
    <x v="314"/>
    <x v="3"/>
    <s v="Illinois"/>
    <s v="Chicago"/>
    <x v="0"/>
    <n v="46"/>
    <n v="135"/>
    <n v="6210"/>
    <n v="3415.5000000000005"/>
    <n v="0.55000000000000004"/>
    <x v="2"/>
  </r>
  <r>
    <x v="0"/>
    <n v="1185732"/>
    <x v="315"/>
    <x v="3"/>
    <s v="Illinois"/>
    <s v="Chicago"/>
    <x v="1"/>
    <n v="43"/>
    <n v="63"/>
    <n v="2709"/>
    <n v="1219.05"/>
    <n v="0.44999999999999996"/>
    <x v="2"/>
  </r>
  <r>
    <x v="0"/>
    <n v="1185732"/>
    <x v="316"/>
    <x v="3"/>
    <s v="Illinois"/>
    <s v="Chicago"/>
    <x v="2"/>
    <n v="39"/>
    <n v="54"/>
    <n v="2106"/>
    <n v="947.69999999999993"/>
    <n v="0.44999999999999996"/>
    <x v="2"/>
  </r>
  <r>
    <x v="0"/>
    <n v="1185732"/>
    <x v="317"/>
    <x v="3"/>
    <s v="Illinois"/>
    <s v="Chicago"/>
    <x v="3"/>
    <n v="38"/>
    <n v="47"/>
    <n v="1786"/>
    <n v="946.58"/>
    <n v="0.53"/>
    <x v="2"/>
  </r>
  <r>
    <x v="0"/>
    <n v="1185732"/>
    <x v="318"/>
    <x v="3"/>
    <s v="Illinois"/>
    <s v="Chicago"/>
    <x v="4"/>
    <n v="46"/>
    <n v="51"/>
    <n v="2346"/>
    <n v="1173"/>
    <n v="0.5"/>
    <x v="2"/>
  </r>
  <r>
    <x v="0"/>
    <n v="1185732"/>
    <x v="319"/>
    <x v="3"/>
    <s v="Illinois"/>
    <s v="Chicago"/>
    <x v="5"/>
    <n v="51"/>
    <n v="105"/>
    <n v="5355"/>
    <n v="3373.65"/>
    <n v="0.63"/>
    <x v="2"/>
  </r>
  <r>
    <x v="0"/>
    <n v="1185732"/>
    <x v="320"/>
    <x v="3"/>
    <s v="Illinois"/>
    <s v="Chicago"/>
    <x v="0"/>
    <n v="47"/>
    <n v="161"/>
    <n v="7567"/>
    <n v="3934.84"/>
    <n v="0.52"/>
    <x v="2"/>
  </r>
  <r>
    <x v="0"/>
    <n v="1185732"/>
    <x v="321"/>
    <x v="3"/>
    <s v="Illinois"/>
    <s v="Chicago"/>
    <x v="1"/>
    <n v="43"/>
    <n v="81"/>
    <n v="3483"/>
    <n v="1567.35"/>
    <n v="0.44999999999999996"/>
    <x v="2"/>
  </r>
  <r>
    <x v="0"/>
    <n v="1185732"/>
    <x v="322"/>
    <x v="3"/>
    <s v="Illinois"/>
    <s v="Chicago"/>
    <x v="2"/>
    <n v="36"/>
    <n v="65"/>
    <n v="2340"/>
    <n v="1053"/>
    <n v="0.44999999999999996"/>
    <x v="2"/>
  </r>
  <r>
    <x v="0"/>
    <n v="1185732"/>
    <x v="323"/>
    <x v="3"/>
    <s v="Illinois"/>
    <s v="Chicago"/>
    <x v="3"/>
    <n v="39"/>
    <n v="50"/>
    <n v="1950"/>
    <n v="1053"/>
    <n v="0.54"/>
    <x v="2"/>
  </r>
  <r>
    <x v="0"/>
    <n v="1185732"/>
    <x v="324"/>
    <x v="3"/>
    <s v="Illinois"/>
    <s v="Chicago"/>
    <x v="4"/>
    <n v="47"/>
    <n v="56"/>
    <n v="2632"/>
    <n v="1210.7199999999998"/>
    <n v="0.45999999999999996"/>
    <x v="2"/>
  </r>
  <r>
    <x v="0"/>
    <n v="1185732"/>
    <x v="325"/>
    <x v="3"/>
    <s v="Illinois"/>
    <s v="Chicago"/>
    <x v="5"/>
    <n v="54"/>
    <n v="120"/>
    <n v="6480"/>
    <n v="3952.7999999999997"/>
    <n v="0.61"/>
    <x v="2"/>
  </r>
  <r>
    <x v="0"/>
    <n v="1185732"/>
    <x v="326"/>
    <x v="3"/>
    <s v="Illinois"/>
    <s v="Chicago"/>
    <x v="0"/>
    <n v="49"/>
    <n v="149"/>
    <n v="7301"/>
    <n v="3723.51"/>
    <n v="0.51"/>
    <x v="2"/>
  </r>
  <r>
    <x v="0"/>
    <n v="1185732"/>
    <x v="327"/>
    <x v="3"/>
    <s v="Illinois"/>
    <s v="Chicago"/>
    <x v="1"/>
    <n v="41"/>
    <n v="94"/>
    <n v="3854"/>
    <n v="1772.84"/>
    <n v="0.45999999999999996"/>
    <x v="2"/>
  </r>
  <r>
    <x v="0"/>
    <n v="1185732"/>
    <x v="328"/>
    <x v="3"/>
    <s v="Illinois"/>
    <s v="Chicago"/>
    <x v="2"/>
    <n v="38"/>
    <n v="75"/>
    <n v="2850"/>
    <n v="1396.5"/>
    <n v="0.49"/>
    <x v="2"/>
  </r>
  <r>
    <x v="0"/>
    <n v="1185732"/>
    <x v="329"/>
    <x v="3"/>
    <s v="Illinois"/>
    <s v="Chicago"/>
    <x v="3"/>
    <n v="37"/>
    <n v="63"/>
    <n v="2331"/>
    <n v="1165.5"/>
    <n v="0.5"/>
    <x v="2"/>
  </r>
  <r>
    <x v="0"/>
    <n v="1185732"/>
    <x v="330"/>
    <x v="3"/>
    <s v="Illinois"/>
    <s v="Chicago"/>
    <x v="4"/>
    <n v="49"/>
    <n v="50"/>
    <n v="2450"/>
    <n v="1225"/>
    <n v="0.5"/>
    <x v="2"/>
  </r>
  <r>
    <x v="0"/>
    <n v="1185732"/>
    <x v="331"/>
    <x v="3"/>
    <s v="Illinois"/>
    <s v="Chicago"/>
    <x v="5"/>
    <n v="50"/>
    <n v="94"/>
    <n v="4700"/>
    <n v="3055"/>
    <n v="0.65"/>
    <x v="2"/>
  </r>
  <r>
    <x v="0"/>
    <n v="1185732"/>
    <x v="332"/>
    <x v="3"/>
    <s v="Illinois"/>
    <s v="Chicago"/>
    <x v="0"/>
    <n v="47"/>
    <n v="135"/>
    <n v="6345"/>
    <n v="3172.5"/>
    <n v="0.5"/>
    <x v="2"/>
  </r>
  <r>
    <x v="0"/>
    <n v="1185732"/>
    <x v="333"/>
    <x v="3"/>
    <s v="Illinois"/>
    <s v="Chicago"/>
    <x v="1"/>
    <n v="41"/>
    <n v="84"/>
    <n v="3444"/>
    <n v="1687.56"/>
    <n v="0.49"/>
    <x v="2"/>
  </r>
  <r>
    <x v="0"/>
    <n v="1185732"/>
    <x v="334"/>
    <x v="3"/>
    <s v="Illinois"/>
    <s v="Chicago"/>
    <x v="2"/>
    <n v="36"/>
    <n v="60"/>
    <n v="2160"/>
    <n v="1015.1999999999999"/>
    <n v="0.47"/>
    <x v="2"/>
  </r>
  <r>
    <x v="0"/>
    <n v="1185732"/>
    <x v="335"/>
    <x v="3"/>
    <s v="Illinois"/>
    <s v="Chicago"/>
    <x v="3"/>
    <n v="36"/>
    <n v="44"/>
    <n v="1584"/>
    <n v="839.5200000000001"/>
    <n v="0.53"/>
    <x v="2"/>
  </r>
  <r>
    <x v="0"/>
    <n v="1185732"/>
    <x v="336"/>
    <x v="3"/>
    <s v="Illinois"/>
    <s v="Chicago"/>
    <x v="4"/>
    <n v="49"/>
    <n v="49"/>
    <n v="2401"/>
    <n v="1104.4599999999998"/>
    <n v="0.45999999999999996"/>
    <x v="2"/>
  </r>
  <r>
    <x v="0"/>
    <n v="1185732"/>
    <x v="337"/>
    <x v="3"/>
    <s v="Illinois"/>
    <s v="Chicago"/>
    <x v="5"/>
    <n v="53"/>
    <n v="73"/>
    <n v="3869"/>
    <n v="2476.16"/>
    <n v="0.64"/>
    <x v="2"/>
  </r>
  <r>
    <x v="0"/>
    <n v="1185732"/>
    <x v="338"/>
    <x v="3"/>
    <s v="Illinois"/>
    <s v="Chicago"/>
    <x v="0"/>
    <n v="56"/>
    <n v="115"/>
    <n v="6440"/>
    <n v="3542.0000000000005"/>
    <n v="0.55000000000000004"/>
    <x v="2"/>
  </r>
  <r>
    <x v="0"/>
    <n v="1185732"/>
    <x v="339"/>
    <x v="3"/>
    <s v="Illinois"/>
    <s v="Chicago"/>
    <x v="1"/>
    <n v="49"/>
    <n v="75"/>
    <n v="3675"/>
    <n v="1800.75"/>
    <n v="0.49"/>
    <x v="2"/>
  </r>
  <r>
    <x v="0"/>
    <n v="1185732"/>
    <x v="340"/>
    <x v="3"/>
    <s v="Illinois"/>
    <s v="Chicago"/>
    <x v="2"/>
    <n v="48"/>
    <n v="39"/>
    <n v="1872"/>
    <n v="842.39999999999986"/>
    <n v="0.44999999999999996"/>
    <x v="2"/>
  </r>
  <r>
    <x v="0"/>
    <n v="1185732"/>
    <x v="341"/>
    <x v="3"/>
    <s v="Illinois"/>
    <s v="Chicago"/>
    <x v="3"/>
    <n v="47"/>
    <n v="33"/>
    <n v="1551"/>
    <n v="791.01"/>
    <n v="0.51"/>
    <x v="2"/>
  </r>
  <r>
    <x v="0"/>
    <n v="1185732"/>
    <x v="342"/>
    <x v="3"/>
    <s v="Illinois"/>
    <s v="Chicago"/>
    <x v="4"/>
    <n v="56"/>
    <n v="33"/>
    <n v="1848"/>
    <n v="868.56"/>
    <n v="0.47"/>
    <x v="2"/>
  </r>
  <r>
    <x v="0"/>
    <n v="1185732"/>
    <x v="343"/>
    <x v="3"/>
    <s v="Illinois"/>
    <s v="Chicago"/>
    <x v="5"/>
    <n v="60"/>
    <n v="65"/>
    <n v="3900"/>
    <n v="2340"/>
    <n v="0.6"/>
    <x v="2"/>
  </r>
  <r>
    <x v="0"/>
    <n v="1185732"/>
    <x v="344"/>
    <x v="3"/>
    <s v="Illinois"/>
    <s v="Chicago"/>
    <x v="0"/>
    <n v="55"/>
    <n v="112"/>
    <n v="6160"/>
    <n v="3326.4"/>
    <n v="0.54"/>
    <x v="2"/>
  </r>
  <r>
    <x v="0"/>
    <n v="1185732"/>
    <x v="345"/>
    <x v="3"/>
    <s v="Illinois"/>
    <s v="Chicago"/>
    <x v="1"/>
    <n v="46"/>
    <n v="65"/>
    <n v="2990"/>
    <n v="1405.3"/>
    <n v="0.47"/>
    <x v="2"/>
  </r>
  <r>
    <x v="0"/>
    <n v="1185732"/>
    <x v="346"/>
    <x v="3"/>
    <s v="Illinois"/>
    <s v="Chicago"/>
    <x v="2"/>
    <n v="48"/>
    <n v="49"/>
    <n v="2352"/>
    <n v="1105.4399999999998"/>
    <n v="0.47"/>
    <x v="2"/>
  </r>
  <r>
    <x v="0"/>
    <n v="1185732"/>
    <x v="347"/>
    <x v="3"/>
    <s v="Illinois"/>
    <s v="Chicago"/>
    <x v="3"/>
    <n v="46"/>
    <n v="53"/>
    <n v="2438"/>
    <n v="1292.1400000000001"/>
    <n v="0.53"/>
    <x v="2"/>
  </r>
  <r>
    <x v="0"/>
    <n v="1185732"/>
    <x v="348"/>
    <x v="3"/>
    <s v="Illinois"/>
    <s v="Chicago"/>
    <x v="4"/>
    <n v="56"/>
    <n v="41"/>
    <n v="2296"/>
    <n v="1148"/>
    <n v="0.5"/>
    <x v="2"/>
  </r>
  <r>
    <x v="0"/>
    <n v="1185732"/>
    <x v="349"/>
    <x v="3"/>
    <s v="Illinois"/>
    <s v="Chicago"/>
    <x v="5"/>
    <n v="61"/>
    <n v="65"/>
    <n v="3965"/>
    <n v="2379"/>
    <n v="0.6"/>
    <x v="2"/>
  </r>
  <r>
    <x v="0"/>
    <n v="1185732"/>
    <x v="350"/>
    <x v="3"/>
    <s v="Illinois"/>
    <s v="Chicago"/>
    <x v="0"/>
    <n v="57"/>
    <n v="150"/>
    <n v="8550"/>
    <n v="4702.5"/>
    <n v="0.55000000000000004"/>
    <x v="2"/>
  </r>
  <r>
    <x v="0"/>
    <n v="1185732"/>
    <x v="351"/>
    <x v="3"/>
    <s v="Illinois"/>
    <s v="Chicago"/>
    <x v="1"/>
    <n v="46"/>
    <n v="75"/>
    <n v="3450"/>
    <n v="1656"/>
    <n v="0.48"/>
    <x v="2"/>
  </r>
  <r>
    <x v="0"/>
    <n v="1185732"/>
    <x v="352"/>
    <x v="3"/>
    <s v="Illinois"/>
    <s v="Chicago"/>
    <x v="2"/>
    <n v="46"/>
    <n v="75"/>
    <n v="3450"/>
    <n v="1690.5"/>
    <n v="0.49"/>
    <x v="2"/>
  </r>
  <r>
    <x v="0"/>
    <n v="1185732"/>
    <x v="353"/>
    <x v="3"/>
    <s v="Illinois"/>
    <s v="Chicago"/>
    <x v="3"/>
    <n v="49"/>
    <n v="54"/>
    <n v="2646"/>
    <n v="1402.38"/>
    <n v="0.53"/>
    <x v="2"/>
  </r>
  <r>
    <x v="0"/>
    <n v="1185732"/>
    <x v="354"/>
    <x v="3"/>
    <s v="Illinois"/>
    <s v="Chicago"/>
    <x v="4"/>
    <n v="59"/>
    <n v="58"/>
    <n v="3422"/>
    <n v="1539.8999999999999"/>
    <n v="0.44999999999999996"/>
    <x v="2"/>
  </r>
  <r>
    <x v="0"/>
    <n v="1185732"/>
    <x v="355"/>
    <x v="3"/>
    <s v="Illinois"/>
    <s v="Chicago"/>
    <x v="5"/>
    <n v="64"/>
    <n v="81"/>
    <n v="5184"/>
    <n v="3265.92"/>
    <n v="0.63"/>
    <x v="2"/>
  </r>
  <r>
    <x v="2"/>
    <n v="1197831"/>
    <x v="356"/>
    <x v="3"/>
    <s v="Illinois"/>
    <s v="Chicago"/>
    <x v="0"/>
    <n v="20"/>
    <n v="189"/>
    <n v="3780"/>
    <n v="1512"/>
    <n v="0.4"/>
    <x v="2"/>
  </r>
  <r>
    <x v="2"/>
    <n v="1197831"/>
    <x v="357"/>
    <x v="3"/>
    <s v="Illinois"/>
    <s v="Chicago"/>
    <x v="1"/>
    <n v="28"/>
    <n v="196"/>
    <n v="5488"/>
    <n v="2195.2000000000003"/>
    <n v="0.4"/>
    <x v="2"/>
  </r>
  <r>
    <x v="2"/>
    <n v="1197831"/>
    <x v="358"/>
    <x v="3"/>
    <s v="Illinois"/>
    <s v="Chicago"/>
    <x v="2"/>
    <n v="27"/>
    <n v="158"/>
    <n v="4266"/>
    <n v="1749.06"/>
    <n v="0.41"/>
    <x v="2"/>
  </r>
  <r>
    <x v="2"/>
    <n v="1197831"/>
    <x v="359"/>
    <x v="3"/>
    <s v="Illinois"/>
    <s v="Chicago"/>
    <x v="3"/>
    <n v="34"/>
    <n v="152"/>
    <n v="5168"/>
    <n v="2635.68"/>
    <n v="0.51"/>
    <x v="2"/>
  </r>
  <r>
    <x v="2"/>
    <n v="1197831"/>
    <x v="360"/>
    <x v="1"/>
    <s v="Texas"/>
    <s v="Dallas"/>
    <x v="4"/>
    <n v="37"/>
    <n v="94"/>
    <n v="3478"/>
    <n v="1217.3"/>
    <n v="0.35"/>
    <x v="2"/>
  </r>
  <r>
    <x v="2"/>
    <n v="1197831"/>
    <x v="361"/>
    <x v="1"/>
    <s v="Texas"/>
    <s v="Dallas"/>
    <x v="5"/>
    <n v="33"/>
    <n v="147"/>
    <n v="4851"/>
    <n v="2668.05"/>
    <n v="0.55000000000000004"/>
    <x v="2"/>
  </r>
  <r>
    <x v="2"/>
    <n v="1197831"/>
    <x v="362"/>
    <x v="1"/>
    <s v="Texas"/>
    <s v="Dallas"/>
    <x v="0"/>
    <n v="23"/>
    <n v="176"/>
    <n v="4048"/>
    <n v="1740.6399999999999"/>
    <n v="0.43"/>
    <x v="2"/>
  </r>
  <r>
    <x v="2"/>
    <n v="1197831"/>
    <x v="363"/>
    <x v="1"/>
    <s v="Texas"/>
    <s v="Dallas"/>
    <x v="1"/>
    <n v="32"/>
    <n v="163"/>
    <n v="5216"/>
    <n v="2086.4"/>
    <n v="0.4"/>
    <x v="2"/>
  </r>
  <r>
    <x v="2"/>
    <n v="1197831"/>
    <x v="364"/>
    <x v="1"/>
    <s v="Texas"/>
    <s v="Dallas"/>
    <x v="2"/>
    <n v="34"/>
    <n v="119"/>
    <n v="4046"/>
    <n v="1739.78"/>
    <n v="0.43"/>
    <x v="2"/>
  </r>
  <r>
    <x v="2"/>
    <n v="1197831"/>
    <x v="365"/>
    <x v="1"/>
    <s v="Texas"/>
    <s v="Dallas"/>
    <x v="3"/>
    <n v="32"/>
    <n v="128"/>
    <n v="4096"/>
    <n v="2170.88"/>
    <n v="0.53"/>
    <x v="2"/>
  </r>
  <r>
    <x v="2"/>
    <n v="1197831"/>
    <x v="366"/>
    <x v="1"/>
    <s v="Texas"/>
    <s v="Dallas"/>
    <x v="4"/>
    <n v="38"/>
    <n v="75"/>
    <n v="2850"/>
    <n v="997.49999999999989"/>
    <n v="0.35"/>
    <x v="2"/>
  </r>
  <r>
    <x v="2"/>
    <n v="1197831"/>
    <x v="367"/>
    <x v="1"/>
    <s v="Texas"/>
    <s v="Dallas"/>
    <x v="5"/>
    <n v="32"/>
    <n v="140"/>
    <n v="4480"/>
    <n v="2508.8000000000002"/>
    <n v="0.56000000000000005"/>
    <x v="2"/>
  </r>
  <r>
    <x v="2"/>
    <n v="1197831"/>
    <x v="368"/>
    <x v="1"/>
    <s v="Texas"/>
    <s v="Dallas"/>
    <x v="0"/>
    <n v="29"/>
    <n v="182"/>
    <n v="5278"/>
    <n v="2639"/>
    <n v="0.5"/>
    <x v="2"/>
  </r>
  <r>
    <x v="2"/>
    <n v="1197831"/>
    <x v="369"/>
    <x v="1"/>
    <s v="Texas"/>
    <s v="Dallas"/>
    <x v="1"/>
    <n v="39"/>
    <n v="169"/>
    <n v="6591"/>
    <n v="3295.5"/>
    <n v="0.5"/>
    <x v="2"/>
  </r>
  <r>
    <x v="2"/>
    <n v="1197831"/>
    <x v="370"/>
    <x v="1"/>
    <s v="Texas"/>
    <s v="Dallas"/>
    <x v="2"/>
    <n v="28"/>
    <n v="145"/>
    <n v="4060"/>
    <n v="1908.1999999999998"/>
    <n v="0.47"/>
    <x v="2"/>
  </r>
  <r>
    <x v="2"/>
    <n v="1197831"/>
    <x v="371"/>
    <x v="1"/>
    <s v="Texas"/>
    <s v="Dallas"/>
    <x v="3"/>
    <n v="32"/>
    <n v="116"/>
    <n v="3712"/>
    <n v="2115.84"/>
    <n v="0.57000000000000006"/>
    <x v="2"/>
  </r>
  <r>
    <x v="2"/>
    <n v="1197831"/>
    <x v="372"/>
    <x v="1"/>
    <s v="Texas"/>
    <s v="Dallas"/>
    <x v="4"/>
    <n v="38"/>
    <n v="81"/>
    <n v="3078"/>
    <n v="1385.1"/>
    <n v="0.44999999999999996"/>
    <x v="2"/>
  </r>
  <r>
    <x v="2"/>
    <n v="1197831"/>
    <x v="373"/>
    <x v="1"/>
    <s v="Texas"/>
    <s v="Dallas"/>
    <x v="5"/>
    <n v="32"/>
    <n v="135"/>
    <n v="4320"/>
    <n v="2721.6"/>
    <n v="0.63"/>
    <x v="2"/>
  </r>
  <r>
    <x v="2"/>
    <n v="1197831"/>
    <x v="374"/>
    <x v="1"/>
    <s v="Texas"/>
    <s v="Dallas"/>
    <x v="0"/>
    <n v="18"/>
    <n v="182"/>
    <n v="3276"/>
    <n v="1474.1999999999998"/>
    <n v="0.44999999999999996"/>
    <x v="2"/>
  </r>
  <r>
    <x v="2"/>
    <n v="1197831"/>
    <x v="375"/>
    <x v="1"/>
    <s v="Texas"/>
    <s v="Dallas"/>
    <x v="1"/>
    <n v="28"/>
    <n v="175"/>
    <n v="4900"/>
    <n v="2352"/>
    <n v="0.48"/>
    <x v="2"/>
  </r>
  <r>
    <x v="2"/>
    <n v="1197831"/>
    <x v="376"/>
    <x v="1"/>
    <s v="Texas"/>
    <s v="Dallas"/>
    <x v="2"/>
    <n v="25"/>
    <n v="152"/>
    <n v="3800"/>
    <n v="1862"/>
    <n v="0.49"/>
    <x v="2"/>
  </r>
  <r>
    <x v="2"/>
    <n v="1197831"/>
    <x v="377"/>
    <x v="1"/>
    <s v="Texas"/>
    <s v="Dallas"/>
    <x v="3"/>
    <n v="29"/>
    <n v="128"/>
    <n v="3712"/>
    <n v="2190.0800000000004"/>
    <n v="0.59000000000000008"/>
    <x v="2"/>
  </r>
  <r>
    <x v="2"/>
    <n v="1197831"/>
    <x v="378"/>
    <x v="1"/>
    <s v="Texas"/>
    <s v="Dallas"/>
    <x v="4"/>
    <n v="34"/>
    <n v="85"/>
    <n v="2890"/>
    <n v="1156"/>
    <n v="0.4"/>
    <x v="2"/>
  </r>
  <r>
    <x v="2"/>
    <n v="1197831"/>
    <x v="379"/>
    <x v="1"/>
    <s v="Texas"/>
    <s v="Dallas"/>
    <x v="5"/>
    <n v="29"/>
    <n v="156"/>
    <n v="4524"/>
    <n v="2804.88"/>
    <n v="0.62"/>
    <x v="2"/>
  </r>
  <r>
    <x v="2"/>
    <n v="1197831"/>
    <x v="380"/>
    <x v="1"/>
    <s v="Texas"/>
    <s v="Dallas"/>
    <x v="0"/>
    <n v="19"/>
    <n v="195"/>
    <n v="3705"/>
    <n v="1852.5"/>
    <n v="0.5"/>
    <x v="2"/>
  </r>
  <r>
    <x v="2"/>
    <n v="1197831"/>
    <x v="381"/>
    <x v="1"/>
    <s v="Texas"/>
    <s v="Dallas"/>
    <x v="1"/>
    <n v="29"/>
    <n v="194"/>
    <n v="5626"/>
    <n v="2756.74"/>
    <n v="0.49"/>
    <x v="2"/>
  </r>
  <r>
    <x v="2"/>
    <n v="1197831"/>
    <x v="382"/>
    <x v="1"/>
    <s v="Texas"/>
    <s v="Dallas"/>
    <x v="2"/>
    <n v="24"/>
    <n v="175"/>
    <n v="4200"/>
    <n v="1974"/>
    <n v="0.47"/>
    <x v="2"/>
  </r>
  <r>
    <x v="2"/>
    <n v="1197831"/>
    <x v="383"/>
    <x v="1"/>
    <s v="Texas"/>
    <s v="Dallas"/>
    <x v="3"/>
    <n v="34"/>
    <n v="154"/>
    <n v="5236"/>
    <n v="3141.6"/>
    <n v="0.6"/>
    <x v="2"/>
  </r>
  <r>
    <x v="2"/>
    <n v="1197831"/>
    <x v="384"/>
    <x v="1"/>
    <s v="Texas"/>
    <s v="Dallas"/>
    <x v="4"/>
    <n v="49"/>
    <n v="131"/>
    <n v="6419"/>
    <n v="2888.5499999999997"/>
    <n v="0.44999999999999996"/>
    <x v="2"/>
  </r>
  <r>
    <x v="2"/>
    <n v="1197831"/>
    <x v="385"/>
    <x v="1"/>
    <s v="Texas"/>
    <s v="Dallas"/>
    <x v="5"/>
    <n v="43"/>
    <n v="224"/>
    <n v="9632"/>
    <n v="6260.8"/>
    <n v="0.65"/>
    <x v="2"/>
  </r>
  <r>
    <x v="2"/>
    <n v="1197831"/>
    <x v="386"/>
    <x v="1"/>
    <s v="Texas"/>
    <s v="Dallas"/>
    <x v="0"/>
    <n v="41"/>
    <n v="224"/>
    <n v="9184"/>
    <n v="4132.7999999999993"/>
    <n v="0.44999999999999996"/>
    <x v="2"/>
  </r>
  <r>
    <x v="2"/>
    <n v="1197831"/>
    <x v="387"/>
    <x v="1"/>
    <s v="Texas"/>
    <s v="Dallas"/>
    <x v="1"/>
    <n v="49"/>
    <n v="200"/>
    <n v="9800"/>
    <n v="4704"/>
    <n v="0.48"/>
    <x v="2"/>
  </r>
  <r>
    <x v="2"/>
    <n v="1197831"/>
    <x v="388"/>
    <x v="1"/>
    <s v="Texas"/>
    <s v="Dallas"/>
    <x v="2"/>
    <n v="44"/>
    <n v="176"/>
    <n v="7744"/>
    <n v="3639.68"/>
    <n v="0.47"/>
    <x v="2"/>
  </r>
  <r>
    <x v="2"/>
    <n v="1197831"/>
    <x v="389"/>
    <x v="1"/>
    <s v="Texas"/>
    <s v="Dallas"/>
    <x v="3"/>
    <n v="43"/>
    <n v="174"/>
    <n v="7482"/>
    <n v="4115.1000000000004"/>
    <n v="0.55000000000000004"/>
    <x v="2"/>
  </r>
  <r>
    <x v="2"/>
    <n v="1197831"/>
    <x v="390"/>
    <x v="1"/>
    <s v="Texas"/>
    <s v="Dallas"/>
    <x v="4"/>
    <n v="45"/>
    <n v="145"/>
    <n v="6525"/>
    <n v="2805.75"/>
    <n v="0.43"/>
    <x v="2"/>
  </r>
  <r>
    <x v="2"/>
    <n v="1197831"/>
    <x v="391"/>
    <x v="1"/>
    <s v="Texas"/>
    <s v="Dallas"/>
    <x v="5"/>
    <n v="53"/>
    <n v="263"/>
    <n v="13939"/>
    <n v="8781.57"/>
    <n v="0.63"/>
    <x v="2"/>
  </r>
  <r>
    <x v="2"/>
    <n v="1197831"/>
    <x v="392"/>
    <x v="1"/>
    <s v="Texas"/>
    <s v="Dallas"/>
    <x v="0"/>
    <n v="41"/>
    <n v="231"/>
    <n v="9471"/>
    <n v="4924.92"/>
    <n v="0.52"/>
    <x v="2"/>
  </r>
  <r>
    <x v="2"/>
    <n v="1197831"/>
    <x v="393"/>
    <x v="1"/>
    <s v="Texas"/>
    <s v="Dallas"/>
    <x v="1"/>
    <n v="48"/>
    <n v="215"/>
    <n v="10320"/>
    <n v="5572.8"/>
    <n v="0.54"/>
    <x v="2"/>
  </r>
  <r>
    <x v="2"/>
    <n v="1197831"/>
    <x v="394"/>
    <x v="1"/>
    <s v="Texas"/>
    <s v="Dallas"/>
    <x v="2"/>
    <n v="44"/>
    <n v="254"/>
    <n v="11176"/>
    <n v="6146.7999999999993"/>
    <n v="0.54999999999999993"/>
    <x v="2"/>
  </r>
  <r>
    <x v="2"/>
    <n v="1197831"/>
    <x v="395"/>
    <x v="1"/>
    <s v="Texas"/>
    <s v="Dallas"/>
    <x v="3"/>
    <n v="43"/>
    <n v="150"/>
    <n v="6450"/>
    <n v="3934.5"/>
    <n v="0.61"/>
    <x v="2"/>
  </r>
  <r>
    <x v="2"/>
    <n v="1197831"/>
    <x v="396"/>
    <x v="1"/>
    <s v="Texas"/>
    <s v="Dallas"/>
    <x v="4"/>
    <n v="47"/>
    <n v="167"/>
    <n v="7849"/>
    <n v="3610.5399999999995"/>
    <n v="0.45999999999999996"/>
    <x v="2"/>
  </r>
  <r>
    <x v="2"/>
    <n v="1197831"/>
    <x v="397"/>
    <x v="1"/>
    <s v="Texas"/>
    <s v="Dallas"/>
    <x v="5"/>
    <n v="54"/>
    <n v="255"/>
    <n v="13770"/>
    <n v="9225.9000000000015"/>
    <n v="0.67"/>
    <x v="2"/>
  </r>
  <r>
    <x v="2"/>
    <n v="1197831"/>
    <x v="398"/>
    <x v="1"/>
    <s v="Texas"/>
    <s v="Dallas"/>
    <x v="0"/>
    <n v="49"/>
    <n v="208"/>
    <n v="10192"/>
    <n v="5197.92"/>
    <n v="0.51"/>
    <x v="2"/>
  </r>
  <r>
    <x v="2"/>
    <n v="1197831"/>
    <x v="399"/>
    <x v="1"/>
    <s v="Texas"/>
    <s v="Dallas"/>
    <x v="1"/>
    <n v="53"/>
    <n v="208"/>
    <n v="11024"/>
    <n v="5512"/>
    <n v="0.5"/>
    <x v="2"/>
  </r>
  <r>
    <x v="2"/>
    <n v="1197831"/>
    <x v="400"/>
    <x v="1"/>
    <s v="Texas"/>
    <s v="Dallas"/>
    <x v="2"/>
    <n v="46"/>
    <n v="273"/>
    <n v="12558"/>
    <n v="6906.8999999999987"/>
    <n v="0.54999999999999993"/>
    <x v="2"/>
  </r>
  <r>
    <x v="2"/>
    <n v="1197831"/>
    <x v="401"/>
    <x v="1"/>
    <s v="Texas"/>
    <s v="Dallas"/>
    <x v="3"/>
    <n v="47"/>
    <n v="147"/>
    <n v="6909"/>
    <n v="4490.8500000000004"/>
    <n v="0.65"/>
    <x v="2"/>
  </r>
  <r>
    <x v="2"/>
    <n v="1197831"/>
    <x v="402"/>
    <x v="1"/>
    <s v="Texas"/>
    <s v="Dallas"/>
    <x v="4"/>
    <n v="53"/>
    <n v="142"/>
    <n v="7526"/>
    <n v="3612.48"/>
    <n v="0.48"/>
    <x v="2"/>
  </r>
  <r>
    <x v="2"/>
    <n v="1197831"/>
    <x v="403"/>
    <x v="1"/>
    <s v="Texas"/>
    <s v="Dallas"/>
    <x v="5"/>
    <n v="56"/>
    <n v="233"/>
    <n v="13048"/>
    <n v="9133.6"/>
    <n v="0.70000000000000007"/>
    <x v="2"/>
  </r>
  <r>
    <x v="2"/>
    <n v="1197831"/>
    <x v="404"/>
    <x v="1"/>
    <s v="Texas"/>
    <s v="Dallas"/>
    <x v="0"/>
    <n v="53"/>
    <n v="181"/>
    <n v="9593"/>
    <n v="5276.15"/>
    <n v="0.54999999999999993"/>
    <x v="2"/>
  </r>
  <r>
    <x v="2"/>
    <n v="1197831"/>
    <x v="405"/>
    <x v="1"/>
    <s v="Texas"/>
    <s v="Dallas"/>
    <x v="1"/>
    <n v="54"/>
    <n v="176"/>
    <n v="9504"/>
    <n v="4847.04"/>
    <n v="0.51"/>
    <x v="2"/>
  </r>
  <r>
    <x v="2"/>
    <n v="1197831"/>
    <x v="406"/>
    <x v="1"/>
    <s v="Texas"/>
    <s v="Dallas"/>
    <x v="2"/>
    <n v="59"/>
    <n v="203"/>
    <n v="11977"/>
    <n v="6347.81"/>
    <n v="0.53"/>
    <x v="2"/>
  </r>
  <r>
    <x v="2"/>
    <n v="1197831"/>
    <x v="407"/>
    <x v="1"/>
    <s v="Texas"/>
    <s v="Dallas"/>
    <x v="3"/>
    <n v="56"/>
    <n v="126"/>
    <n v="7056"/>
    <n v="4586.4000000000005"/>
    <n v="0.65"/>
    <x v="2"/>
  </r>
  <r>
    <x v="2"/>
    <n v="1197831"/>
    <x v="408"/>
    <x v="1"/>
    <s v="Texas"/>
    <s v="Dallas"/>
    <x v="4"/>
    <n v="53"/>
    <n v="135"/>
    <n v="7155"/>
    <n v="3505.95"/>
    <n v="0.49"/>
    <x v="2"/>
  </r>
  <r>
    <x v="2"/>
    <n v="1197831"/>
    <x v="409"/>
    <x v="1"/>
    <s v="Texas"/>
    <s v="Dallas"/>
    <x v="5"/>
    <n v="48"/>
    <n v="203"/>
    <n v="9744"/>
    <n v="6820.8000000000011"/>
    <n v="0.70000000000000007"/>
    <x v="2"/>
  </r>
  <r>
    <x v="2"/>
    <n v="1197831"/>
    <x v="410"/>
    <x v="1"/>
    <s v="Texas"/>
    <s v="Dallas"/>
    <x v="0"/>
    <n v="39"/>
    <n v="156"/>
    <n v="6084"/>
    <n v="3042"/>
    <n v="0.5"/>
    <x v="2"/>
  </r>
  <r>
    <x v="2"/>
    <n v="1197831"/>
    <x v="411"/>
    <x v="1"/>
    <s v="Texas"/>
    <s v="Dallas"/>
    <x v="1"/>
    <n v="38"/>
    <n v="169"/>
    <n v="6422"/>
    <n v="3275.2200000000003"/>
    <n v="0.51"/>
    <x v="2"/>
  </r>
  <r>
    <x v="2"/>
    <n v="1197831"/>
    <x v="412"/>
    <x v="1"/>
    <s v="Texas"/>
    <s v="Dallas"/>
    <x v="2"/>
    <n v="41"/>
    <n v="144"/>
    <n v="5904"/>
    <n v="3070.08"/>
    <n v="0.52"/>
    <x v="2"/>
  </r>
  <r>
    <x v="2"/>
    <n v="1197831"/>
    <x v="413"/>
    <x v="1"/>
    <s v="Texas"/>
    <s v="Dallas"/>
    <x v="3"/>
    <n v="41"/>
    <n v="111"/>
    <n v="4551"/>
    <n v="2730.6"/>
    <n v="0.6"/>
    <x v="2"/>
  </r>
  <r>
    <x v="2"/>
    <n v="1197831"/>
    <x v="414"/>
    <x v="1"/>
    <s v="Texas"/>
    <s v="Dallas"/>
    <x v="4"/>
    <n v="36"/>
    <n v="100"/>
    <n v="3600"/>
    <n v="1619.9999999999998"/>
    <n v="0.44999999999999996"/>
    <x v="2"/>
  </r>
  <r>
    <x v="2"/>
    <n v="1197831"/>
    <x v="415"/>
    <x v="1"/>
    <s v="Texas"/>
    <s v="Dallas"/>
    <x v="5"/>
    <n v="45"/>
    <n v="161"/>
    <n v="7245"/>
    <n v="5071.5000000000009"/>
    <n v="0.70000000000000007"/>
    <x v="2"/>
  </r>
  <r>
    <x v="2"/>
    <n v="1197831"/>
    <x v="416"/>
    <x v="1"/>
    <s v="Texas"/>
    <s v="Dallas"/>
    <x v="0"/>
    <n v="38"/>
    <n v="181"/>
    <n v="6878"/>
    <n v="3782.8999999999996"/>
    <n v="0.54999999999999993"/>
    <x v="2"/>
  </r>
  <r>
    <x v="2"/>
    <n v="1197831"/>
    <x v="417"/>
    <x v="1"/>
    <s v="Texas"/>
    <s v="Dallas"/>
    <x v="1"/>
    <n v="37"/>
    <n v="218"/>
    <n v="8066"/>
    <n v="4033"/>
    <n v="0.5"/>
    <x v="2"/>
  </r>
  <r>
    <x v="2"/>
    <n v="1197831"/>
    <x v="418"/>
    <x v="1"/>
    <s v="Texas"/>
    <s v="Dallas"/>
    <x v="2"/>
    <n v="63"/>
    <n v="176"/>
    <n v="11088"/>
    <n v="6098.4"/>
    <n v="0.54999999999999993"/>
    <x v="2"/>
  </r>
  <r>
    <x v="2"/>
    <n v="1197831"/>
    <x v="419"/>
    <x v="1"/>
    <s v="Texas"/>
    <s v="Dallas"/>
    <x v="3"/>
    <n v="59"/>
    <n v="145"/>
    <n v="8555"/>
    <n v="5304.1"/>
    <n v="0.62"/>
    <x v="2"/>
  </r>
  <r>
    <x v="2"/>
    <n v="1197831"/>
    <x v="420"/>
    <x v="1"/>
    <s v="Texas"/>
    <s v="Dallas"/>
    <x v="4"/>
    <n v="56"/>
    <n v="138"/>
    <n v="7728"/>
    <n v="3709.44"/>
    <n v="0.48"/>
    <x v="2"/>
  </r>
  <r>
    <x v="2"/>
    <n v="1197831"/>
    <x v="421"/>
    <x v="1"/>
    <s v="Texas"/>
    <s v="Dallas"/>
    <x v="5"/>
    <n v="67"/>
    <n v="176"/>
    <n v="11792"/>
    <n v="7664.8"/>
    <n v="0.65"/>
    <x v="2"/>
  </r>
  <r>
    <x v="2"/>
    <n v="1197831"/>
    <x v="422"/>
    <x v="1"/>
    <s v="Texas"/>
    <s v="Dallas"/>
    <x v="0"/>
    <n v="59"/>
    <n v="223"/>
    <n v="13157"/>
    <n v="7104.7800000000007"/>
    <n v="0.54"/>
    <x v="2"/>
  </r>
  <r>
    <x v="2"/>
    <n v="1197831"/>
    <x v="423"/>
    <x v="1"/>
    <s v="Texas"/>
    <s v="Dallas"/>
    <x v="1"/>
    <n v="56"/>
    <n v="231"/>
    <n v="12936"/>
    <n v="6726.72"/>
    <n v="0.52"/>
    <x v="2"/>
  </r>
  <r>
    <x v="2"/>
    <n v="1197831"/>
    <x v="424"/>
    <x v="1"/>
    <s v="Texas"/>
    <s v="Dallas"/>
    <x v="2"/>
    <n v="62"/>
    <n v="189"/>
    <n v="11718"/>
    <n v="6327.72"/>
    <n v="0.54"/>
    <x v="2"/>
  </r>
  <r>
    <x v="2"/>
    <n v="1197831"/>
    <x v="425"/>
    <x v="1"/>
    <s v="Texas"/>
    <s v="Dallas"/>
    <x v="3"/>
    <n v="59"/>
    <n v="173"/>
    <n v="10207"/>
    <n v="6328.34"/>
    <n v="0.62"/>
    <x v="2"/>
  </r>
  <r>
    <x v="2"/>
    <n v="1197831"/>
    <x v="426"/>
    <x v="1"/>
    <s v="Texas"/>
    <s v="Dallas"/>
    <x v="4"/>
    <n v="58"/>
    <n v="158"/>
    <n v="9164"/>
    <n v="4582"/>
    <n v="0.5"/>
    <x v="2"/>
  </r>
  <r>
    <x v="2"/>
    <n v="1197831"/>
    <x v="427"/>
    <x v="1"/>
    <s v="Texas"/>
    <s v="Dallas"/>
    <x v="5"/>
    <n v="65"/>
    <n v="233"/>
    <n v="15145"/>
    <n v="9995.7000000000007"/>
    <n v="0.66"/>
    <x v="2"/>
  </r>
  <r>
    <x v="0"/>
    <n v="1185732"/>
    <x v="428"/>
    <x v="1"/>
    <s v="Texas"/>
    <s v="Dallas"/>
    <x v="0"/>
    <n v="44"/>
    <n v="111"/>
    <n v="4884"/>
    <n v="3418.8"/>
    <n v="0.70000000000000007"/>
    <x v="2"/>
  </r>
  <r>
    <x v="0"/>
    <n v="1185732"/>
    <x v="429"/>
    <x v="1"/>
    <s v="Texas"/>
    <s v="Dallas"/>
    <x v="1"/>
    <n v="41"/>
    <n v="68"/>
    <n v="2788"/>
    <n v="1310.3599999999999"/>
    <n v="0.47"/>
    <x v="2"/>
  </r>
  <r>
    <x v="0"/>
    <n v="1185732"/>
    <x v="430"/>
    <x v="1"/>
    <s v="Texas"/>
    <s v="Dallas"/>
    <x v="2"/>
    <n v="33"/>
    <n v="56"/>
    <n v="1848"/>
    <n v="942.48"/>
    <n v="0.51"/>
    <x v="2"/>
  </r>
  <r>
    <x v="0"/>
    <n v="1185732"/>
    <x v="431"/>
    <x v="1"/>
    <s v="Texas"/>
    <s v="Dallas"/>
    <x v="3"/>
    <n v="38"/>
    <n v="19"/>
    <n v="722"/>
    <n v="368.22"/>
    <n v="0.51"/>
    <x v="2"/>
  </r>
  <r>
    <x v="0"/>
    <n v="1185732"/>
    <x v="432"/>
    <x v="0"/>
    <s v="Pennsylvania"/>
    <s v="Philadelphia"/>
    <x v="4"/>
    <n v="54"/>
    <n v="36"/>
    <n v="1944"/>
    <n v="874.8"/>
    <n v="0.44999999999999996"/>
    <x v="2"/>
  </r>
  <r>
    <x v="0"/>
    <n v="1185732"/>
    <x v="433"/>
    <x v="0"/>
    <s v="Pennsylvania"/>
    <s v="Philadelphia"/>
    <x v="5"/>
    <n v="43"/>
    <n v="61"/>
    <n v="2623"/>
    <n v="1154.1200000000001"/>
    <n v="0.44"/>
    <x v="2"/>
  </r>
  <r>
    <x v="0"/>
    <n v="1185732"/>
    <x v="434"/>
    <x v="0"/>
    <s v="Pennsylvania"/>
    <s v="Philadelphia"/>
    <x v="0"/>
    <n v="42"/>
    <n v="119"/>
    <n v="4998"/>
    <n v="3348.6600000000003"/>
    <n v="0.67"/>
    <x v="2"/>
  </r>
  <r>
    <x v="0"/>
    <n v="1185732"/>
    <x v="435"/>
    <x v="0"/>
    <s v="Pennsylvania"/>
    <s v="Philadelphia"/>
    <x v="1"/>
    <n v="44"/>
    <n v="35"/>
    <n v="1540"/>
    <n v="739.19999999999993"/>
    <n v="0.48"/>
    <x v="2"/>
  </r>
  <r>
    <x v="0"/>
    <n v="1185732"/>
    <x v="436"/>
    <x v="0"/>
    <s v="Pennsylvania"/>
    <s v="Philadelphia"/>
    <x v="2"/>
    <n v="34"/>
    <n v="46"/>
    <n v="1564"/>
    <n v="813.28"/>
    <n v="0.52"/>
    <x v="2"/>
  </r>
  <r>
    <x v="0"/>
    <n v="1185732"/>
    <x v="437"/>
    <x v="0"/>
    <s v="Pennsylvania"/>
    <s v="Philadelphia"/>
    <x v="3"/>
    <n v="39"/>
    <n v="13"/>
    <n v="507"/>
    <n v="263.64"/>
    <n v="0.52"/>
    <x v="2"/>
  </r>
  <r>
    <x v="0"/>
    <n v="1185732"/>
    <x v="438"/>
    <x v="0"/>
    <s v="Pennsylvania"/>
    <s v="Philadelphia"/>
    <x v="4"/>
    <n v="51"/>
    <n v="36"/>
    <n v="1836"/>
    <n v="844.56"/>
    <n v="0.45999999999999996"/>
    <x v="2"/>
  </r>
  <r>
    <x v="0"/>
    <n v="1185732"/>
    <x v="439"/>
    <x v="0"/>
    <s v="Pennsylvania"/>
    <s v="Philadelphia"/>
    <x v="5"/>
    <n v="44"/>
    <n v="68"/>
    <n v="2992"/>
    <n v="1346.3999999999999"/>
    <n v="0.44999999999999996"/>
    <x v="2"/>
  </r>
  <r>
    <x v="0"/>
    <n v="1185732"/>
    <x v="440"/>
    <x v="0"/>
    <s v="Pennsylvania"/>
    <s v="Philadelphia"/>
    <x v="0"/>
    <n v="49"/>
    <n v="120"/>
    <n v="5880"/>
    <n v="4116"/>
    <n v="0.70000000000000007"/>
    <x v="2"/>
  </r>
  <r>
    <x v="0"/>
    <n v="1185732"/>
    <x v="441"/>
    <x v="0"/>
    <s v="Pennsylvania"/>
    <s v="Philadelphia"/>
    <x v="1"/>
    <n v="47"/>
    <n v="38"/>
    <n v="1786"/>
    <n v="875.14"/>
    <n v="0.49"/>
    <x v="2"/>
  </r>
  <r>
    <x v="0"/>
    <n v="1185732"/>
    <x v="442"/>
    <x v="0"/>
    <s v="Pennsylvania"/>
    <s v="Philadelphia"/>
    <x v="2"/>
    <n v="36"/>
    <n v="51"/>
    <n v="1836"/>
    <n v="991.44"/>
    <n v="0.54"/>
    <x v="2"/>
  </r>
  <r>
    <x v="0"/>
    <n v="1185732"/>
    <x v="443"/>
    <x v="0"/>
    <s v="Pennsylvania"/>
    <s v="Philadelphia"/>
    <x v="3"/>
    <n v="43"/>
    <n v="8"/>
    <n v="344"/>
    <n v="175.44"/>
    <n v="0.51"/>
    <x v="2"/>
  </r>
  <r>
    <x v="0"/>
    <n v="1185732"/>
    <x v="444"/>
    <x v="0"/>
    <s v="Pennsylvania"/>
    <s v="Philadelphia"/>
    <x v="4"/>
    <n v="58"/>
    <n v="20"/>
    <n v="1160"/>
    <n v="464"/>
    <n v="0.4"/>
    <x v="2"/>
  </r>
  <r>
    <x v="0"/>
    <n v="1185732"/>
    <x v="445"/>
    <x v="0"/>
    <s v="Pennsylvania"/>
    <s v="Philadelphia"/>
    <x v="5"/>
    <n v="47"/>
    <n v="44"/>
    <n v="2068"/>
    <n v="723.8"/>
    <n v="0.35"/>
    <x v="2"/>
  </r>
  <r>
    <x v="0"/>
    <n v="1185732"/>
    <x v="446"/>
    <x v="0"/>
    <s v="Pennsylvania"/>
    <s v="Philadelphia"/>
    <x v="0"/>
    <n v="46"/>
    <n v="122"/>
    <n v="5612"/>
    <n v="3535.56"/>
    <n v="0.63"/>
    <x v="2"/>
  </r>
  <r>
    <x v="0"/>
    <n v="1185732"/>
    <x v="447"/>
    <x v="0"/>
    <s v="Pennsylvania"/>
    <s v="Philadelphia"/>
    <x v="1"/>
    <n v="45"/>
    <n v="45"/>
    <n v="2025"/>
    <n v="850.5"/>
    <n v="0.42"/>
    <x v="2"/>
  </r>
  <r>
    <x v="0"/>
    <n v="1185732"/>
    <x v="448"/>
    <x v="0"/>
    <s v="Pennsylvania"/>
    <s v="Philadelphia"/>
    <x v="2"/>
    <n v="38"/>
    <n v="38"/>
    <n v="1444"/>
    <n v="664.2399999999999"/>
    <n v="0.45999999999999996"/>
    <x v="2"/>
  </r>
  <r>
    <x v="0"/>
    <n v="1185732"/>
    <x v="449"/>
    <x v="0"/>
    <s v="Pennsylvania"/>
    <s v="Philadelphia"/>
    <x v="3"/>
    <n v="42"/>
    <n v="20"/>
    <n v="840"/>
    <n v="386.4"/>
    <n v="0.45999999999999996"/>
    <x v="2"/>
  </r>
  <r>
    <x v="0"/>
    <n v="1185732"/>
    <x v="450"/>
    <x v="0"/>
    <s v="Pennsylvania"/>
    <s v="Philadelphia"/>
    <x v="4"/>
    <n v="55"/>
    <n v="22"/>
    <n v="1210"/>
    <n v="508.2"/>
    <n v="0.42"/>
    <x v="2"/>
  </r>
  <r>
    <x v="0"/>
    <n v="1185732"/>
    <x v="451"/>
    <x v="0"/>
    <s v="Pennsylvania"/>
    <s v="Philadelphia"/>
    <x v="5"/>
    <n v="48"/>
    <n v="54"/>
    <n v="2592"/>
    <n v="933.12"/>
    <n v="0.36"/>
    <x v="2"/>
  </r>
  <r>
    <x v="0"/>
    <n v="1185732"/>
    <x v="452"/>
    <x v="0"/>
    <s v="Pennsylvania"/>
    <s v="Philadelphia"/>
    <x v="0"/>
    <n v="58"/>
    <n v="136"/>
    <n v="7888"/>
    <n v="4969.4399999999996"/>
    <n v="0.63"/>
    <x v="2"/>
  </r>
  <r>
    <x v="0"/>
    <n v="1185732"/>
    <x v="453"/>
    <x v="0"/>
    <s v="Pennsylvania"/>
    <s v="Philadelphia"/>
    <x v="1"/>
    <n v="54"/>
    <n v="53"/>
    <n v="2862"/>
    <n v="1144.8"/>
    <n v="0.4"/>
    <x v="2"/>
  </r>
  <r>
    <x v="0"/>
    <n v="1185732"/>
    <x v="454"/>
    <x v="0"/>
    <s v="Pennsylvania"/>
    <s v="Philadelphia"/>
    <x v="2"/>
    <n v="52"/>
    <n v="42"/>
    <n v="2184"/>
    <n v="1004.6399999999999"/>
    <n v="0.45999999999999996"/>
    <x v="2"/>
  </r>
  <r>
    <x v="0"/>
    <n v="1185732"/>
    <x v="455"/>
    <x v="0"/>
    <s v="Pennsylvania"/>
    <s v="Philadelphia"/>
    <x v="3"/>
    <n v="51"/>
    <n v="29"/>
    <n v="1479"/>
    <n v="695.13"/>
    <n v="0.47"/>
    <x v="2"/>
  </r>
  <r>
    <x v="0"/>
    <n v="1185732"/>
    <x v="456"/>
    <x v="0"/>
    <s v="Pennsylvania"/>
    <s v="Philadelphia"/>
    <x v="4"/>
    <n v="59"/>
    <n v="31"/>
    <n v="1829"/>
    <n v="768.18"/>
    <n v="0.42"/>
    <x v="2"/>
  </r>
  <r>
    <x v="0"/>
    <n v="1185732"/>
    <x v="457"/>
    <x v="0"/>
    <s v="Pennsylvania"/>
    <s v="Philadelphia"/>
    <x v="5"/>
    <n v="64"/>
    <n v="63"/>
    <n v="4032"/>
    <n v="1814.3999999999999"/>
    <n v="0.44999999999999996"/>
    <x v="2"/>
  </r>
  <r>
    <x v="0"/>
    <n v="1185732"/>
    <x v="458"/>
    <x v="0"/>
    <s v="Pennsylvania"/>
    <s v="Philadelphia"/>
    <x v="0"/>
    <n v="64"/>
    <n v="135"/>
    <n v="8640"/>
    <n v="5616"/>
    <n v="0.65"/>
    <x v="2"/>
  </r>
  <r>
    <x v="0"/>
    <n v="1185732"/>
    <x v="459"/>
    <x v="0"/>
    <s v="Pennsylvania"/>
    <s v="Philadelphia"/>
    <x v="1"/>
    <n v="59"/>
    <n v="70"/>
    <n v="4130"/>
    <n v="1899.8"/>
    <n v="0.45999999999999996"/>
    <x v="2"/>
  </r>
  <r>
    <x v="0"/>
    <n v="1185732"/>
    <x v="460"/>
    <x v="0"/>
    <s v="Pennsylvania"/>
    <s v="Philadelphia"/>
    <x v="2"/>
    <n v="52"/>
    <n v="44"/>
    <n v="2288"/>
    <n v="1144"/>
    <n v="0.5"/>
    <x v="2"/>
  </r>
  <r>
    <x v="0"/>
    <n v="1185732"/>
    <x v="461"/>
    <x v="0"/>
    <s v="Pennsylvania"/>
    <s v="Philadelphia"/>
    <x v="3"/>
    <n v="52"/>
    <n v="39"/>
    <n v="2028"/>
    <n v="1074.8400000000001"/>
    <n v="0.53"/>
    <x v="2"/>
  </r>
  <r>
    <x v="0"/>
    <n v="1185732"/>
    <x v="462"/>
    <x v="0"/>
    <s v="Pennsylvania"/>
    <s v="Philadelphia"/>
    <x v="4"/>
    <n v="60"/>
    <n v="45"/>
    <n v="2700"/>
    <n v="1242"/>
    <n v="0.45999999999999996"/>
    <x v="2"/>
  </r>
  <r>
    <x v="0"/>
    <n v="1185732"/>
    <x v="463"/>
    <x v="0"/>
    <s v="Pennsylvania"/>
    <s v="Philadelphia"/>
    <x v="5"/>
    <n v="65"/>
    <n v="81"/>
    <n v="5265"/>
    <n v="2211.2999999999997"/>
    <n v="0.42"/>
    <x v="2"/>
  </r>
  <r>
    <x v="0"/>
    <n v="1185732"/>
    <x v="464"/>
    <x v="0"/>
    <s v="Pennsylvania"/>
    <s v="Philadelphia"/>
    <x v="0"/>
    <n v="60"/>
    <n v="145"/>
    <n v="8700"/>
    <n v="5829"/>
    <n v="0.67"/>
    <x v="2"/>
  </r>
  <r>
    <x v="0"/>
    <n v="1185732"/>
    <x v="465"/>
    <x v="0"/>
    <s v="Pennsylvania"/>
    <s v="Philadelphia"/>
    <x v="1"/>
    <n v="55"/>
    <n v="90"/>
    <n v="4950"/>
    <n v="2475"/>
    <n v="0.5"/>
    <x v="2"/>
  </r>
  <r>
    <x v="0"/>
    <n v="1185732"/>
    <x v="466"/>
    <x v="0"/>
    <s v="Pennsylvania"/>
    <s v="Philadelphia"/>
    <x v="2"/>
    <n v="51"/>
    <n v="59"/>
    <n v="3009"/>
    <n v="1504.5"/>
    <n v="0.5"/>
    <x v="2"/>
  </r>
  <r>
    <x v="0"/>
    <n v="1185732"/>
    <x v="467"/>
    <x v="0"/>
    <s v="Pennsylvania"/>
    <s v="Philadelphia"/>
    <x v="3"/>
    <n v="51"/>
    <n v="44"/>
    <n v="2244"/>
    <n v="1189.3200000000002"/>
    <n v="0.53"/>
    <x v="2"/>
  </r>
  <r>
    <x v="0"/>
    <n v="1185732"/>
    <x v="468"/>
    <x v="0"/>
    <s v="Pennsylvania"/>
    <s v="Philadelphia"/>
    <x v="4"/>
    <n v="64"/>
    <n v="60"/>
    <n v="3840"/>
    <n v="1843.1999999999998"/>
    <n v="0.48"/>
    <x v="2"/>
  </r>
  <r>
    <x v="0"/>
    <n v="1185732"/>
    <x v="469"/>
    <x v="0"/>
    <s v="Pennsylvania"/>
    <s v="Philadelphia"/>
    <x v="5"/>
    <n v="64"/>
    <n v="98"/>
    <n v="6272"/>
    <n v="2634.24"/>
    <n v="0.42"/>
    <x v="2"/>
  </r>
  <r>
    <x v="0"/>
    <n v="1185732"/>
    <x v="470"/>
    <x v="0"/>
    <s v="Pennsylvania"/>
    <s v="Philadelphia"/>
    <x v="0"/>
    <n v="60"/>
    <n v="158"/>
    <n v="9480"/>
    <n v="6256.8"/>
    <n v="0.66"/>
    <x v="2"/>
  </r>
  <r>
    <x v="0"/>
    <n v="1185732"/>
    <x v="471"/>
    <x v="0"/>
    <s v="Pennsylvania"/>
    <s v="Philadelphia"/>
    <x v="1"/>
    <n v="54"/>
    <n v="75"/>
    <n v="4050"/>
    <n v="1903.5"/>
    <n v="0.47"/>
    <x v="2"/>
  </r>
  <r>
    <x v="0"/>
    <n v="1185732"/>
    <x v="472"/>
    <x v="0"/>
    <s v="Pennsylvania"/>
    <s v="Philadelphia"/>
    <x v="2"/>
    <n v="54"/>
    <n v="61"/>
    <n v="3294"/>
    <n v="1811.6999999999998"/>
    <n v="0.54999999999999993"/>
    <x v="2"/>
  </r>
  <r>
    <x v="0"/>
    <n v="1185732"/>
    <x v="473"/>
    <x v="0"/>
    <s v="Pennsylvania"/>
    <s v="Philadelphia"/>
    <x v="3"/>
    <n v="53"/>
    <n v="58"/>
    <n v="3074"/>
    <n v="1659.96"/>
    <n v="0.54"/>
    <x v="2"/>
  </r>
  <r>
    <x v="0"/>
    <n v="1185732"/>
    <x v="474"/>
    <x v="0"/>
    <s v="Pennsylvania"/>
    <s v="Philadelphia"/>
    <x v="4"/>
    <n v="61"/>
    <n v="46"/>
    <n v="2806"/>
    <n v="1290.76"/>
    <n v="0.45999999999999996"/>
    <x v="2"/>
  </r>
  <r>
    <x v="0"/>
    <n v="1185732"/>
    <x v="475"/>
    <x v="0"/>
    <s v="Pennsylvania"/>
    <s v="Philadelphia"/>
    <x v="5"/>
    <n v="64"/>
    <n v="95"/>
    <n v="6080"/>
    <n v="2614.4"/>
    <n v="0.43"/>
    <x v="2"/>
  </r>
  <r>
    <x v="0"/>
    <n v="1185732"/>
    <x v="476"/>
    <x v="0"/>
    <s v="Pennsylvania"/>
    <s v="Philadelphia"/>
    <x v="0"/>
    <n v="62"/>
    <n v="143"/>
    <n v="8866"/>
    <n v="5319.5999999999995"/>
    <n v="0.6"/>
    <x v="2"/>
  </r>
  <r>
    <x v="0"/>
    <n v="1185732"/>
    <x v="477"/>
    <x v="0"/>
    <s v="Pennsylvania"/>
    <s v="Philadelphia"/>
    <x v="1"/>
    <n v="48"/>
    <n v="80"/>
    <n v="3840"/>
    <n v="1536"/>
    <n v="0.4"/>
    <x v="2"/>
  </r>
  <r>
    <x v="0"/>
    <n v="1185732"/>
    <x v="478"/>
    <x v="0"/>
    <s v="Pennsylvania"/>
    <s v="Philadelphia"/>
    <x v="2"/>
    <n v="41"/>
    <n v="50"/>
    <n v="2050"/>
    <n v="922.49999999999989"/>
    <n v="0.44999999999999996"/>
    <x v="2"/>
  </r>
  <r>
    <x v="0"/>
    <n v="1185732"/>
    <x v="479"/>
    <x v="0"/>
    <s v="Pennsylvania"/>
    <s v="Philadelphia"/>
    <x v="3"/>
    <n v="41"/>
    <n v="53"/>
    <n v="2173"/>
    <n v="1021.31"/>
    <n v="0.47"/>
    <x v="2"/>
  </r>
  <r>
    <x v="0"/>
    <n v="1185732"/>
    <x v="480"/>
    <x v="0"/>
    <s v="Pennsylvania"/>
    <s v="Philadelphia"/>
    <x v="4"/>
    <n v="50"/>
    <n v="36"/>
    <n v="1800"/>
    <n v="809.99999999999989"/>
    <n v="0.44999999999999996"/>
    <x v="2"/>
  </r>
  <r>
    <x v="0"/>
    <n v="1185732"/>
    <x v="481"/>
    <x v="0"/>
    <s v="Pennsylvania"/>
    <s v="Philadelphia"/>
    <x v="5"/>
    <n v="55"/>
    <n v="61"/>
    <n v="3355"/>
    <n v="1342"/>
    <n v="0.4"/>
    <x v="2"/>
  </r>
  <r>
    <x v="0"/>
    <n v="1185732"/>
    <x v="482"/>
    <x v="0"/>
    <s v="Pennsylvania"/>
    <s v="Philadelphia"/>
    <x v="0"/>
    <n v="55"/>
    <n v="104"/>
    <n v="5720"/>
    <n v="3546.4"/>
    <n v="0.62"/>
    <x v="2"/>
  </r>
  <r>
    <x v="0"/>
    <n v="1185732"/>
    <x v="483"/>
    <x v="0"/>
    <s v="Pennsylvania"/>
    <s v="Philadelphia"/>
    <x v="1"/>
    <n v="47"/>
    <n v="63"/>
    <n v="2961"/>
    <n v="1243.6199999999999"/>
    <n v="0.42"/>
    <x v="2"/>
  </r>
  <r>
    <x v="0"/>
    <n v="1185732"/>
    <x v="484"/>
    <x v="0"/>
    <s v="Pennsylvania"/>
    <s v="Philadelphia"/>
    <x v="2"/>
    <n v="48"/>
    <n v="34"/>
    <n v="1632"/>
    <n v="734.4"/>
    <n v="0.44999999999999996"/>
    <x v="2"/>
  </r>
  <r>
    <x v="0"/>
    <n v="1185732"/>
    <x v="485"/>
    <x v="0"/>
    <s v="Pennsylvania"/>
    <s v="Philadelphia"/>
    <x v="3"/>
    <n v="48"/>
    <n v="29"/>
    <n v="1392"/>
    <n v="626.4"/>
    <n v="0.44999999999999996"/>
    <x v="2"/>
  </r>
  <r>
    <x v="0"/>
    <n v="1185732"/>
    <x v="486"/>
    <x v="0"/>
    <s v="Pennsylvania"/>
    <s v="Philadelphia"/>
    <x v="4"/>
    <n v="56"/>
    <n v="27"/>
    <n v="1512"/>
    <n v="650.16"/>
    <n v="0.43"/>
    <x v="2"/>
  </r>
  <r>
    <x v="0"/>
    <n v="1185732"/>
    <x v="487"/>
    <x v="0"/>
    <s v="Pennsylvania"/>
    <s v="Philadelphia"/>
    <x v="5"/>
    <n v="60"/>
    <n v="63"/>
    <n v="3780"/>
    <n v="1474.2"/>
    <n v="0.39"/>
    <x v="2"/>
  </r>
  <r>
    <x v="0"/>
    <n v="1185732"/>
    <x v="488"/>
    <x v="0"/>
    <s v="Pennsylvania"/>
    <s v="Philadelphia"/>
    <x v="0"/>
    <n v="66"/>
    <n v="113"/>
    <n v="7458"/>
    <n v="4847.7"/>
    <n v="0.65"/>
    <x v="2"/>
  </r>
  <r>
    <x v="0"/>
    <n v="1185732"/>
    <x v="489"/>
    <x v="0"/>
    <s v="Pennsylvania"/>
    <s v="Philadelphia"/>
    <x v="1"/>
    <n v="55"/>
    <n v="60"/>
    <n v="3300"/>
    <n v="1551"/>
    <n v="0.47"/>
    <x v="2"/>
  </r>
  <r>
    <x v="0"/>
    <n v="1185732"/>
    <x v="490"/>
    <x v="0"/>
    <s v="Pennsylvania"/>
    <s v="Philadelphia"/>
    <x v="2"/>
    <n v="55"/>
    <n v="55"/>
    <n v="3025"/>
    <n v="1603.25"/>
    <n v="0.53"/>
    <x v="2"/>
  </r>
  <r>
    <x v="0"/>
    <n v="1185732"/>
    <x v="491"/>
    <x v="0"/>
    <s v="Pennsylvania"/>
    <s v="Philadelphia"/>
    <x v="3"/>
    <n v="56"/>
    <n v="44"/>
    <n v="2464"/>
    <n v="1256.6400000000001"/>
    <n v="0.51"/>
    <x v="2"/>
  </r>
  <r>
    <x v="0"/>
    <n v="1185732"/>
    <x v="492"/>
    <x v="0"/>
    <s v="Pennsylvania"/>
    <s v="Philadelphia"/>
    <x v="4"/>
    <n v="64"/>
    <n v="42"/>
    <n v="2688"/>
    <n v="1290.24"/>
    <n v="0.48"/>
    <x v="2"/>
  </r>
  <r>
    <x v="0"/>
    <n v="1185732"/>
    <x v="493"/>
    <x v="0"/>
    <s v="Pennsylvania"/>
    <s v="Philadelphia"/>
    <x v="5"/>
    <n v="71"/>
    <n v="65"/>
    <n v="4615"/>
    <n v="2030.6"/>
    <n v="0.44"/>
    <x v="2"/>
  </r>
  <r>
    <x v="0"/>
    <n v="1185732"/>
    <x v="494"/>
    <x v="0"/>
    <s v="Pennsylvania"/>
    <s v="Philadelphia"/>
    <x v="0"/>
    <n v="67"/>
    <n v="124"/>
    <n v="8308"/>
    <n v="5732.52"/>
    <n v="0.69000000000000006"/>
    <x v="2"/>
  </r>
  <r>
    <x v="0"/>
    <n v="1185732"/>
    <x v="495"/>
    <x v="0"/>
    <s v="Pennsylvania"/>
    <s v="Philadelphia"/>
    <x v="1"/>
    <n v="55"/>
    <n v="69"/>
    <n v="3795"/>
    <n v="1707.7499999999998"/>
    <n v="0.44999999999999996"/>
    <x v="2"/>
  </r>
  <r>
    <x v="0"/>
    <n v="1185732"/>
    <x v="496"/>
    <x v="0"/>
    <s v="Pennsylvania"/>
    <s v="Philadelphia"/>
    <x v="2"/>
    <n v="55"/>
    <n v="65"/>
    <n v="3575"/>
    <n v="1894.75"/>
    <n v="0.53"/>
    <x v="2"/>
  </r>
  <r>
    <x v="0"/>
    <n v="1185732"/>
    <x v="497"/>
    <x v="0"/>
    <s v="Pennsylvania"/>
    <s v="Philadelphia"/>
    <x v="3"/>
    <n v="57"/>
    <n v="53"/>
    <n v="3021"/>
    <n v="1601.13"/>
    <n v="0.53"/>
    <x v="2"/>
  </r>
  <r>
    <x v="0"/>
    <n v="1185732"/>
    <x v="498"/>
    <x v="0"/>
    <s v="Pennsylvania"/>
    <s v="Philadelphia"/>
    <x v="4"/>
    <n v="63"/>
    <n v="47"/>
    <n v="2961"/>
    <n v="1362.06"/>
    <n v="0.45999999999999996"/>
    <x v="2"/>
  </r>
  <r>
    <x v="0"/>
    <n v="1185732"/>
    <x v="0"/>
    <x v="0"/>
    <s v="Pennsylvania"/>
    <s v="Philadelphia"/>
    <x v="5"/>
    <n v="68"/>
    <n v="83"/>
    <n v="5644"/>
    <n v="2426.92"/>
    <n v="0.43"/>
    <x v="2"/>
  </r>
  <r>
    <x v="3"/>
    <n v="1128299"/>
    <x v="1"/>
    <x v="0"/>
    <s v="Pennsylvania"/>
    <s v="Philadelphia"/>
    <x v="0"/>
    <n v="32"/>
    <n v="122"/>
    <n v="3904"/>
    <n v="1991.04"/>
    <n v="0.51"/>
    <x v="2"/>
  </r>
  <r>
    <x v="3"/>
    <n v="1128299"/>
    <x v="2"/>
    <x v="0"/>
    <s v="Pennsylvania"/>
    <s v="Philadelphia"/>
    <x v="1"/>
    <n v="44"/>
    <n v="117"/>
    <n v="5148"/>
    <n v="1904.76"/>
    <n v="0.37"/>
    <x v="2"/>
  </r>
  <r>
    <x v="3"/>
    <n v="1128299"/>
    <x v="3"/>
    <x v="0"/>
    <s v="Pennsylvania"/>
    <s v="Philadelphia"/>
    <x v="2"/>
    <n v="41"/>
    <n v="117"/>
    <n v="4797"/>
    <n v="2590.38"/>
    <n v="0.54"/>
    <x v="2"/>
  </r>
  <r>
    <x v="3"/>
    <n v="1128299"/>
    <x v="4"/>
    <x v="0"/>
    <s v="Pennsylvania"/>
    <s v="Philadelphia"/>
    <x v="3"/>
    <n v="43"/>
    <n v="87"/>
    <n v="3741"/>
    <n v="1870.5"/>
    <n v="0.5"/>
    <x v="2"/>
  </r>
  <r>
    <x v="3"/>
    <n v="1128299"/>
    <x v="5"/>
    <x v="2"/>
    <s v="Nevada"/>
    <s v="Las Vegas"/>
    <x v="4"/>
    <n v="47"/>
    <n v="70"/>
    <n v="3290"/>
    <n v="2138.5"/>
    <n v="0.65"/>
    <x v="2"/>
  </r>
  <r>
    <x v="3"/>
    <n v="1128299"/>
    <x v="6"/>
    <x v="2"/>
    <s v="Nevada"/>
    <s v="Las Vegas"/>
    <x v="5"/>
    <n v="41"/>
    <n v="128"/>
    <n v="5248"/>
    <n v="1574.4000000000003"/>
    <n v="0.30000000000000004"/>
    <x v="2"/>
  </r>
  <r>
    <x v="3"/>
    <n v="1128299"/>
    <x v="7"/>
    <x v="2"/>
    <s v="Nevada"/>
    <s v="Las Vegas"/>
    <x v="0"/>
    <n v="34"/>
    <n v="158"/>
    <n v="5372"/>
    <n v="2686"/>
    <n v="0.5"/>
    <x v="2"/>
  </r>
  <r>
    <x v="3"/>
    <n v="1128299"/>
    <x v="499"/>
    <x v="2"/>
    <s v="Nevada"/>
    <s v="Las Vegas"/>
    <x v="1"/>
    <n v="43"/>
    <n v="128"/>
    <n v="5504"/>
    <n v="2201.6"/>
    <n v="0.4"/>
    <x v="2"/>
  </r>
  <r>
    <x v="3"/>
    <n v="1128299"/>
    <x v="500"/>
    <x v="2"/>
    <s v="Nevada"/>
    <s v="Las Vegas"/>
    <x v="2"/>
    <n v="41"/>
    <n v="119"/>
    <n v="4879"/>
    <n v="2585.8700000000003"/>
    <n v="0.53"/>
    <x v="2"/>
  </r>
  <r>
    <x v="3"/>
    <n v="1128299"/>
    <x v="501"/>
    <x v="2"/>
    <s v="Nevada"/>
    <s v="Las Vegas"/>
    <x v="3"/>
    <n v="44"/>
    <n v="74"/>
    <n v="3256"/>
    <n v="1497.76"/>
    <n v="0.45999999999999996"/>
    <x v="2"/>
  </r>
  <r>
    <x v="3"/>
    <n v="1128299"/>
    <x v="502"/>
    <x v="2"/>
    <s v="Nevada"/>
    <s v="Las Vegas"/>
    <x v="4"/>
    <n v="46"/>
    <n v="52"/>
    <n v="2392"/>
    <n v="1674.4"/>
    <n v="0.70000000000000007"/>
    <x v="2"/>
  </r>
  <r>
    <x v="3"/>
    <n v="1128299"/>
    <x v="503"/>
    <x v="2"/>
    <s v="Nevada"/>
    <s v="Las Vegas"/>
    <x v="5"/>
    <n v="41"/>
    <n v="116"/>
    <n v="4756"/>
    <n v="1617.0400000000002"/>
    <n v="0.34"/>
    <x v="2"/>
  </r>
  <r>
    <x v="3"/>
    <n v="1128299"/>
    <x v="504"/>
    <x v="2"/>
    <s v="Nevada"/>
    <s v="Las Vegas"/>
    <x v="0"/>
    <n v="43"/>
    <n v="160"/>
    <n v="6880"/>
    <n v="3784.0000000000005"/>
    <n v="0.55000000000000004"/>
    <x v="2"/>
  </r>
  <r>
    <x v="3"/>
    <n v="1128299"/>
    <x v="505"/>
    <x v="2"/>
    <s v="Nevada"/>
    <s v="Las Vegas"/>
    <x v="1"/>
    <n v="50"/>
    <n v="120"/>
    <n v="6000"/>
    <n v="2400"/>
    <n v="0.4"/>
    <x v="2"/>
  </r>
  <r>
    <x v="3"/>
    <n v="1128299"/>
    <x v="506"/>
    <x v="2"/>
    <s v="Nevada"/>
    <s v="Las Vegas"/>
    <x v="2"/>
    <n v="52"/>
    <n v="104"/>
    <n v="5408"/>
    <n v="2866.2400000000002"/>
    <n v="0.53"/>
    <x v="2"/>
  </r>
  <r>
    <x v="3"/>
    <n v="1128299"/>
    <x v="507"/>
    <x v="2"/>
    <s v="Nevada"/>
    <s v="Las Vegas"/>
    <x v="3"/>
    <n v="50"/>
    <n v="84"/>
    <n v="4200"/>
    <n v="1974"/>
    <n v="0.47"/>
    <x v="2"/>
  </r>
  <r>
    <x v="3"/>
    <n v="1128299"/>
    <x v="508"/>
    <x v="2"/>
    <s v="Nevada"/>
    <s v="Las Vegas"/>
    <x v="4"/>
    <n v="55"/>
    <n v="47"/>
    <n v="2585"/>
    <n v="1809.5000000000002"/>
    <n v="0.70000000000000007"/>
    <x v="2"/>
  </r>
  <r>
    <x v="3"/>
    <n v="1128299"/>
    <x v="509"/>
    <x v="2"/>
    <s v="Nevada"/>
    <s v="Las Vegas"/>
    <x v="5"/>
    <n v="54"/>
    <n v="94"/>
    <n v="5076"/>
    <n v="1725.8400000000001"/>
    <n v="0.34"/>
    <x v="2"/>
  </r>
  <r>
    <x v="3"/>
    <n v="1128299"/>
    <x v="510"/>
    <x v="2"/>
    <s v="Nevada"/>
    <s v="Las Vegas"/>
    <x v="0"/>
    <n v="58"/>
    <n v="143"/>
    <n v="8294"/>
    <n v="4229.9400000000005"/>
    <n v="0.51"/>
    <x v="2"/>
  </r>
  <r>
    <x v="3"/>
    <n v="1128299"/>
    <x v="8"/>
    <x v="2"/>
    <s v="Nevada"/>
    <s v="Las Vegas"/>
    <x v="1"/>
    <n v="62"/>
    <n v="102"/>
    <n v="6324"/>
    <n v="2403.12"/>
    <n v="0.38"/>
    <x v="2"/>
  </r>
  <r>
    <x v="3"/>
    <n v="1128299"/>
    <x v="9"/>
    <x v="2"/>
    <s v="Nevada"/>
    <s v="Las Vegas"/>
    <x v="2"/>
    <n v="61"/>
    <n v="120"/>
    <n v="7320"/>
    <n v="3879.6000000000004"/>
    <n v="0.53"/>
    <x v="2"/>
  </r>
  <r>
    <x v="3"/>
    <n v="1128299"/>
    <x v="10"/>
    <x v="2"/>
    <s v="Nevada"/>
    <s v="Las Vegas"/>
    <x v="3"/>
    <n v="59"/>
    <n v="75"/>
    <n v="4425"/>
    <n v="2035.4999999999998"/>
    <n v="0.45999999999999996"/>
    <x v="2"/>
  </r>
  <r>
    <x v="3"/>
    <n v="1128299"/>
    <x v="11"/>
    <x v="2"/>
    <s v="Nevada"/>
    <s v="Las Vegas"/>
    <x v="4"/>
    <n v="63"/>
    <n v="52"/>
    <n v="3276"/>
    <n v="2162.1600000000003"/>
    <n v="0.66"/>
    <x v="2"/>
  </r>
  <r>
    <x v="3"/>
    <n v="1128299"/>
    <x v="12"/>
    <x v="2"/>
    <s v="Nevada"/>
    <s v="Las Vegas"/>
    <x v="5"/>
    <n v="78"/>
    <n v="95"/>
    <n v="7410"/>
    <n v="2519.4"/>
    <n v="0.34"/>
    <x v="2"/>
  </r>
  <r>
    <x v="3"/>
    <n v="1128299"/>
    <x v="13"/>
    <x v="2"/>
    <s v="Nevada"/>
    <s v="Las Vegas"/>
    <x v="0"/>
    <n v="58"/>
    <n v="149"/>
    <n v="8642"/>
    <n v="5012.3600000000006"/>
    <n v="0.58000000000000007"/>
    <x v="2"/>
  </r>
  <r>
    <x v="3"/>
    <n v="1128299"/>
    <x v="14"/>
    <x v="2"/>
    <s v="Nevada"/>
    <s v="Las Vegas"/>
    <x v="1"/>
    <n v="60"/>
    <n v="104"/>
    <n v="6240"/>
    <n v="2683.2"/>
    <n v="0.43"/>
    <x v="2"/>
  </r>
  <r>
    <x v="3"/>
    <n v="1128299"/>
    <x v="15"/>
    <x v="2"/>
    <s v="Nevada"/>
    <s v="Las Vegas"/>
    <x v="2"/>
    <n v="63"/>
    <n v="116"/>
    <n v="7308"/>
    <n v="4165.5600000000004"/>
    <n v="0.57000000000000006"/>
    <x v="2"/>
  </r>
  <r>
    <x v="3"/>
    <n v="1128299"/>
    <x v="16"/>
    <x v="2"/>
    <s v="Nevada"/>
    <s v="Las Vegas"/>
    <x v="3"/>
    <n v="57"/>
    <n v="90"/>
    <n v="5130"/>
    <n v="2565"/>
    <n v="0.5"/>
    <x v="2"/>
  </r>
  <r>
    <x v="3"/>
    <n v="1128299"/>
    <x v="17"/>
    <x v="2"/>
    <s v="Nevada"/>
    <s v="Las Vegas"/>
    <x v="4"/>
    <n v="60"/>
    <n v="60"/>
    <n v="3600"/>
    <n v="2520.0000000000005"/>
    <n v="0.70000000000000007"/>
    <x v="2"/>
  </r>
  <r>
    <x v="3"/>
    <n v="1128299"/>
    <x v="18"/>
    <x v="2"/>
    <s v="Nevada"/>
    <s v="Las Vegas"/>
    <x v="5"/>
    <n v="78"/>
    <n v="131"/>
    <n v="10218"/>
    <n v="3576.2999999999997"/>
    <n v="0.35"/>
    <x v="2"/>
  </r>
  <r>
    <x v="3"/>
    <n v="1128299"/>
    <x v="19"/>
    <x v="2"/>
    <s v="Nevada"/>
    <s v="Las Vegas"/>
    <x v="0"/>
    <n v="56"/>
    <n v="189"/>
    <n v="10584"/>
    <n v="6032.880000000001"/>
    <n v="0.57000000000000006"/>
    <x v="2"/>
  </r>
  <r>
    <x v="3"/>
    <n v="1128299"/>
    <x v="20"/>
    <x v="2"/>
    <s v="Nevada"/>
    <s v="Las Vegas"/>
    <x v="1"/>
    <n v="62"/>
    <n v="165"/>
    <n v="10230"/>
    <n v="4194.3"/>
    <n v="0.41"/>
    <x v="2"/>
  </r>
  <r>
    <x v="3"/>
    <n v="1128299"/>
    <x v="21"/>
    <x v="2"/>
    <s v="Nevada"/>
    <s v="Las Vegas"/>
    <x v="2"/>
    <n v="62"/>
    <n v="165"/>
    <n v="10230"/>
    <n v="6035.7000000000007"/>
    <n v="0.59000000000000008"/>
    <x v="2"/>
  </r>
  <r>
    <x v="3"/>
    <n v="1128299"/>
    <x v="22"/>
    <x v="2"/>
    <s v="Nevada"/>
    <s v="Las Vegas"/>
    <x v="3"/>
    <n v="58"/>
    <n v="111"/>
    <n v="6438"/>
    <n v="3283.38"/>
    <n v="0.51"/>
    <x v="2"/>
  </r>
  <r>
    <x v="3"/>
    <n v="1128299"/>
    <x v="23"/>
    <x v="2"/>
    <s v="Nevada"/>
    <s v="Las Vegas"/>
    <x v="4"/>
    <n v="59"/>
    <n v="81"/>
    <n v="4779"/>
    <n v="3536.4600000000005"/>
    <n v="0.7400000000000001"/>
    <x v="2"/>
  </r>
  <r>
    <x v="3"/>
    <n v="1128299"/>
    <x v="24"/>
    <x v="2"/>
    <s v="Nevada"/>
    <s v="Las Vegas"/>
    <x v="5"/>
    <n v="73"/>
    <n v="174"/>
    <n v="12702"/>
    <n v="5080.8"/>
    <n v="0.4"/>
    <x v="2"/>
  </r>
  <r>
    <x v="3"/>
    <n v="1128299"/>
    <x v="25"/>
    <x v="2"/>
    <s v="Nevada"/>
    <s v="Las Vegas"/>
    <x v="0"/>
    <n v="58"/>
    <n v="218"/>
    <n v="12644"/>
    <n v="6701.3200000000006"/>
    <n v="0.53"/>
    <x v="2"/>
  </r>
  <r>
    <x v="3"/>
    <n v="1128299"/>
    <x v="26"/>
    <x v="2"/>
    <s v="Nevada"/>
    <s v="Las Vegas"/>
    <x v="1"/>
    <n v="61"/>
    <n v="174"/>
    <n v="10614"/>
    <n v="3821.04"/>
    <n v="0.36"/>
    <x v="2"/>
  </r>
  <r>
    <x v="3"/>
    <n v="1128299"/>
    <x v="27"/>
    <x v="2"/>
    <s v="Nevada"/>
    <s v="Las Vegas"/>
    <x v="2"/>
    <n v="61"/>
    <n v="143"/>
    <n v="8723"/>
    <n v="4623.1900000000005"/>
    <n v="0.53"/>
    <x v="2"/>
  </r>
  <r>
    <x v="3"/>
    <n v="1128299"/>
    <x v="28"/>
    <x v="2"/>
    <s v="Nevada"/>
    <s v="Las Vegas"/>
    <x v="3"/>
    <n v="55"/>
    <n v="117"/>
    <n v="6435"/>
    <n v="3153.15"/>
    <n v="0.49"/>
    <x v="2"/>
  </r>
  <r>
    <x v="3"/>
    <n v="1128299"/>
    <x v="511"/>
    <x v="2"/>
    <s v="Nevada"/>
    <s v="Las Vegas"/>
    <x v="4"/>
    <n v="60"/>
    <n v="130"/>
    <n v="7800"/>
    <n v="5460.0000000000009"/>
    <n v="0.70000000000000007"/>
    <x v="2"/>
  </r>
  <r>
    <x v="3"/>
    <n v="1128299"/>
    <x v="512"/>
    <x v="2"/>
    <s v="Nevada"/>
    <s v="Las Vegas"/>
    <x v="5"/>
    <n v="78"/>
    <n v="145"/>
    <n v="11310"/>
    <n v="3393.0000000000005"/>
    <n v="0.30000000000000004"/>
    <x v="2"/>
  </r>
  <r>
    <x v="3"/>
    <n v="1128299"/>
    <x v="513"/>
    <x v="2"/>
    <s v="Nevada"/>
    <s v="Las Vegas"/>
    <x v="0"/>
    <n v="62"/>
    <n v="210"/>
    <n v="13020"/>
    <n v="6900.6"/>
    <n v="0.53"/>
    <x v="2"/>
  </r>
  <r>
    <x v="3"/>
    <n v="1128299"/>
    <x v="514"/>
    <x v="2"/>
    <s v="Nevada"/>
    <s v="Las Vegas"/>
    <x v="1"/>
    <n v="64"/>
    <n v="182"/>
    <n v="11648"/>
    <n v="4542.72"/>
    <n v="0.39"/>
    <x v="2"/>
  </r>
  <r>
    <x v="3"/>
    <n v="1128299"/>
    <x v="515"/>
    <x v="2"/>
    <s v="Nevada"/>
    <s v="Las Vegas"/>
    <x v="2"/>
    <n v="60"/>
    <n v="152"/>
    <n v="9120"/>
    <n v="4742.4000000000005"/>
    <n v="0.52"/>
    <x v="2"/>
  </r>
  <r>
    <x v="3"/>
    <n v="1128299"/>
    <x v="516"/>
    <x v="2"/>
    <s v="Nevada"/>
    <s v="Las Vegas"/>
    <x v="3"/>
    <n v="64"/>
    <n v="124"/>
    <n v="7936"/>
    <n v="3729.9199999999996"/>
    <n v="0.47"/>
    <x v="2"/>
  </r>
  <r>
    <x v="3"/>
    <n v="1128299"/>
    <x v="517"/>
    <x v="2"/>
    <s v="Nevada"/>
    <s v="Las Vegas"/>
    <x v="4"/>
    <n v="68"/>
    <n v="138"/>
    <n v="9384"/>
    <n v="6381.1200000000008"/>
    <n v="0.68"/>
    <x v="2"/>
  </r>
  <r>
    <x v="3"/>
    <n v="1128299"/>
    <x v="518"/>
    <x v="2"/>
    <s v="Nevada"/>
    <s v="Las Vegas"/>
    <x v="5"/>
    <n v="78"/>
    <n v="108"/>
    <n v="8424"/>
    <n v="2864.1600000000003"/>
    <n v="0.34"/>
    <x v="2"/>
  </r>
  <r>
    <x v="3"/>
    <n v="1128299"/>
    <x v="519"/>
    <x v="2"/>
    <s v="Nevada"/>
    <s v="Las Vegas"/>
    <x v="0"/>
    <n v="56"/>
    <n v="174"/>
    <n v="9744"/>
    <n v="4677.1200000000008"/>
    <n v="0.48000000000000004"/>
    <x v="2"/>
  </r>
  <r>
    <x v="3"/>
    <n v="1128299"/>
    <x v="520"/>
    <x v="2"/>
    <s v="Nevada"/>
    <s v="Las Vegas"/>
    <x v="1"/>
    <n v="61"/>
    <n v="162"/>
    <n v="9882"/>
    <n v="3359.88"/>
    <n v="0.34"/>
    <x v="2"/>
  </r>
  <r>
    <x v="3"/>
    <n v="1128299"/>
    <x v="521"/>
    <x v="2"/>
    <s v="Nevada"/>
    <s v="Las Vegas"/>
    <x v="2"/>
    <n v="57"/>
    <n v="117"/>
    <n v="6669"/>
    <n v="3334.5"/>
    <n v="0.5"/>
    <x v="2"/>
  </r>
  <r>
    <x v="3"/>
    <n v="1128299"/>
    <x v="522"/>
    <x v="2"/>
    <s v="Nevada"/>
    <s v="Las Vegas"/>
    <x v="3"/>
    <n v="58"/>
    <n v="112"/>
    <n v="6496"/>
    <n v="2858.2400000000002"/>
    <n v="0.44"/>
    <x v="2"/>
  </r>
  <r>
    <x v="3"/>
    <n v="1128299"/>
    <x v="523"/>
    <x v="2"/>
    <s v="Nevada"/>
    <s v="Las Vegas"/>
    <x v="4"/>
    <n v="67"/>
    <n v="120"/>
    <n v="8040"/>
    <n v="4904.4000000000005"/>
    <n v="0.6100000000000001"/>
    <x v="2"/>
  </r>
  <r>
    <x v="3"/>
    <n v="1128299"/>
    <x v="524"/>
    <x v="2"/>
    <s v="Nevada"/>
    <s v="Las Vegas"/>
    <x v="5"/>
    <n v="74"/>
    <n v="113"/>
    <n v="8362"/>
    <n v="2508.6000000000004"/>
    <n v="0.30000000000000004"/>
    <x v="2"/>
  </r>
  <r>
    <x v="3"/>
    <n v="1128299"/>
    <x v="525"/>
    <x v="2"/>
    <s v="Nevada"/>
    <s v="Las Vegas"/>
    <x v="0"/>
    <n v="56"/>
    <n v="138"/>
    <n v="7728"/>
    <n v="3786.7200000000003"/>
    <n v="0.49000000000000005"/>
    <x v="2"/>
  </r>
  <r>
    <x v="3"/>
    <n v="1128299"/>
    <x v="526"/>
    <x v="2"/>
    <s v="Nevada"/>
    <s v="Las Vegas"/>
    <x v="1"/>
    <n v="59"/>
    <n v="165"/>
    <n v="9735"/>
    <n v="3407.25"/>
    <n v="0.35"/>
    <x v="2"/>
  </r>
  <r>
    <x v="3"/>
    <n v="1128299"/>
    <x v="527"/>
    <x v="2"/>
    <s v="Nevada"/>
    <s v="Las Vegas"/>
    <x v="2"/>
    <n v="54"/>
    <n v="109"/>
    <n v="5886"/>
    <n v="2648.7000000000003"/>
    <n v="0.45000000000000007"/>
    <x v="2"/>
  </r>
  <r>
    <x v="3"/>
    <n v="1128299"/>
    <x v="528"/>
    <x v="2"/>
    <s v="Nevada"/>
    <s v="Las Vegas"/>
    <x v="3"/>
    <n v="54"/>
    <n v="105"/>
    <n v="5670"/>
    <n v="2381.4"/>
    <n v="0.42"/>
    <x v="2"/>
  </r>
  <r>
    <x v="3"/>
    <n v="1128299"/>
    <x v="529"/>
    <x v="2"/>
    <s v="Nevada"/>
    <s v="Las Vegas"/>
    <x v="4"/>
    <n v="63"/>
    <n v="81"/>
    <n v="5103"/>
    <n v="3112.8300000000004"/>
    <n v="0.6100000000000001"/>
    <x v="2"/>
  </r>
  <r>
    <x v="3"/>
    <n v="1128299"/>
    <x v="530"/>
    <x v="2"/>
    <s v="Nevada"/>
    <s v="Las Vegas"/>
    <x v="5"/>
    <n v="68"/>
    <n v="94"/>
    <n v="6392"/>
    <n v="1598"/>
    <n v="0.25"/>
    <x v="2"/>
  </r>
  <r>
    <x v="3"/>
    <n v="1128299"/>
    <x v="29"/>
    <x v="2"/>
    <s v="Nevada"/>
    <s v="Las Vegas"/>
    <x v="0"/>
    <n v="57"/>
    <n v="155"/>
    <n v="8835"/>
    <n v="4240.8"/>
    <n v="0.48000000000000004"/>
    <x v="2"/>
  </r>
  <r>
    <x v="3"/>
    <n v="1128299"/>
    <x v="30"/>
    <x v="2"/>
    <s v="Nevada"/>
    <s v="Las Vegas"/>
    <x v="1"/>
    <n v="64"/>
    <n v="150"/>
    <n v="9600"/>
    <n v="3264.0000000000005"/>
    <n v="0.34"/>
    <x v="2"/>
  </r>
  <r>
    <x v="3"/>
    <n v="1128299"/>
    <x v="31"/>
    <x v="2"/>
    <s v="Nevada"/>
    <s v="Las Vegas"/>
    <x v="2"/>
    <n v="55"/>
    <n v="106"/>
    <n v="5830"/>
    <n v="2681.8"/>
    <n v="0.46"/>
    <x v="2"/>
  </r>
  <r>
    <x v="3"/>
    <n v="1128299"/>
    <x v="32"/>
    <x v="2"/>
    <s v="Nevada"/>
    <s v="Las Vegas"/>
    <x v="3"/>
    <n v="56"/>
    <n v="108"/>
    <n v="6048"/>
    <n v="2479.6799999999998"/>
    <n v="0.41"/>
    <x v="2"/>
  </r>
  <r>
    <x v="3"/>
    <n v="1128299"/>
    <x v="33"/>
    <x v="2"/>
    <s v="Nevada"/>
    <s v="Las Vegas"/>
    <x v="4"/>
    <n v="64"/>
    <n v="88"/>
    <n v="5632"/>
    <n v="3604.4800000000005"/>
    <n v="0.64000000000000012"/>
    <x v="2"/>
  </r>
  <r>
    <x v="3"/>
    <n v="1128299"/>
    <x v="34"/>
    <x v="2"/>
    <s v="Nevada"/>
    <s v="Las Vegas"/>
    <x v="5"/>
    <n v="68"/>
    <n v="133"/>
    <n v="9044"/>
    <n v="2351.44"/>
    <n v="0.26"/>
    <x v="2"/>
  </r>
  <r>
    <x v="3"/>
    <n v="1128299"/>
    <x v="35"/>
    <x v="2"/>
    <s v="Nevada"/>
    <s v="Las Vegas"/>
    <x v="0"/>
    <n v="58"/>
    <n v="196"/>
    <n v="11368"/>
    <n v="5342.96"/>
    <n v="0.47000000000000003"/>
    <x v="2"/>
  </r>
  <r>
    <x v="3"/>
    <n v="1128299"/>
    <x v="36"/>
    <x v="2"/>
    <s v="Nevada"/>
    <s v="Las Vegas"/>
    <x v="1"/>
    <n v="62"/>
    <n v="189"/>
    <n v="11718"/>
    <n v="3984.1200000000003"/>
    <n v="0.34"/>
    <x v="2"/>
  </r>
  <r>
    <x v="3"/>
    <n v="1128299"/>
    <x v="37"/>
    <x v="2"/>
    <s v="Nevada"/>
    <s v="Las Vegas"/>
    <x v="2"/>
    <n v="59"/>
    <n v="119"/>
    <n v="7021"/>
    <n v="3299.8700000000003"/>
    <n v="0.47000000000000003"/>
    <x v="2"/>
  </r>
  <r>
    <x v="3"/>
    <n v="1128299"/>
    <x v="38"/>
    <x v="2"/>
    <s v="Nevada"/>
    <s v="Las Vegas"/>
    <x v="3"/>
    <n v="57"/>
    <n v="133"/>
    <n v="7581"/>
    <n v="3335.64"/>
    <n v="0.44"/>
    <x v="2"/>
  </r>
  <r>
    <x v="3"/>
    <n v="1128299"/>
    <x v="39"/>
    <x v="2"/>
    <s v="Nevada"/>
    <s v="Las Vegas"/>
    <x v="4"/>
    <n v="69"/>
    <n v="112"/>
    <n v="7728"/>
    <n v="4636.8000000000011"/>
    <n v="0.60000000000000009"/>
    <x v="2"/>
  </r>
  <r>
    <x v="3"/>
    <n v="1128299"/>
    <x v="40"/>
    <x v="2"/>
    <s v="Nevada"/>
    <s v="Las Vegas"/>
    <x v="5"/>
    <n v="74"/>
    <n v="150"/>
    <n v="11100"/>
    <n v="2997"/>
    <n v="0.27"/>
    <x v="2"/>
  </r>
  <r>
    <x v="3"/>
    <n v="1128299"/>
    <x v="41"/>
    <x v="2"/>
    <s v="Nevada"/>
    <s v="Las Vegas"/>
    <x v="0"/>
    <n v="28"/>
    <n v="123"/>
    <n v="3444"/>
    <n v="1722"/>
    <n v="0.5"/>
    <x v="2"/>
  </r>
  <r>
    <x v="3"/>
    <n v="1128299"/>
    <x v="42"/>
    <x v="2"/>
    <s v="Nevada"/>
    <s v="Las Vegas"/>
    <x v="1"/>
    <n v="38"/>
    <n v="123"/>
    <n v="4674"/>
    <n v="1542.42"/>
    <n v="0.33"/>
    <x v="2"/>
  </r>
  <r>
    <x v="3"/>
    <n v="1128299"/>
    <x v="43"/>
    <x v="2"/>
    <s v="Nevada"/>
    <s v="Las Vegas"/>
    <x v="2"/>
    <n v="39"/>
    <n v="115"/>
    <n v="4485"/>
    <n v="2063.1"/>
    <n v="0.46"/>
    <x v="2"/>
  </r>
  <r>
    <x v="3"/>
    <n v="1128299"/>
    <x v="44"/>
    <x v="2"/>
    <s v="Nevada"/>
    <s v="Las Vegas"/>
    <x v="3"/>
    <n v="38"/>
    <n v="72"/>
    <n v="2736"/>
    <n v="1231.1999999999998"/>
    <n v="0.44999999999999996"/>
    <x v="2"/>
  </r>
  <r>
    <x v="3"/>
    <n v="1128299"/>
    <x v="531"/>
    <x v="2"/>
    <s v="Colorado"/>
    <s v="Denver"/>
    <x v="4"/>
    <n v="41"/>
    <n v="56"/>
    <n v="2296"/>
    <n v="1469.44"/>
    <n v="0.64"/>
    <x v="2"/>
  </r>
  <r>
    <x v="3"/>
    <n v="1128299"/>
    <x v="532"/>
    <x v="2"/>
    <s v="Colorado"/>
    <s v="Denver"/>
    <x v="5"/>
    <n v="37"/>
    <n v="128"/>
    <n v="4736"/>
    <n v="1231.3600000000001"/>
    <n v="0.26"/>
    <x v="2"/>
  </r>
  <r>
    <x v="3"/>
    <n v="1128299"/>
    <x v="533"/>
    <x v="2"/>
    <s v="Colorado"/>
    <s v="Denver"/>
    <x v="0"/>
    <n v="27"/>
    <n v="131"/>
    <n v="3537"/>
    <n v="1697.7600000000002"/>
    <n v="0.48000000000000004"/>
    <x v="2"/>
  </r>
  <r>
    <x v="3"/>
    <n v="1128299"/>
    <x v="534"/>
    <x v="2"/>
    <s v="Colorado"/>
    <s v="Denver"/>
    <x v="1"/>
    <n v="38"/>
    <n v="111"/>
    <n v="4218"/>
    <n v="1265.4000000000001"/>
    <n v="0.30000000000000004"/>
    <x v="2"/>
  </r>
  <r>
    <x v="3"/>
    <n v="1128299"/>
    <x v="535"/>
    <x v="2"/>
    <s v="Colorado"/>
    <s v="Denver"/>
    <x v="2"/>
    <n v="38"/>
    <n v="123"/>
    <n v="4674"/>
    <n v="2337"/>
    <n v="0.5"/>
    <x v="2"/>
  </r>
  <r>
    <x v="3"/>
    <n v="1128299"/>
    <x v="536"/>
    <x v="2"/>
    <s v="Colorado"/>
    <s v="Denver"/>
    <x v="3"/>
    <n v="36"/>
    <n v="72"/>
    <n v="2592"/>
    <n v="1166.3999999999999"/>
    <n v="0.44999999999999996"/>
    <x v="2"/>
  </r>
  <r>
    <x v="3"/>
    <n v="1128299"/>
    <x v="537"/>
    <x v="2"/>
    <s v="Colorado"/>
    <s v="Denver"/>
    <x v="4"/>
    <n v="43"/>
    <n v="58"/>
    <n v="2494"/>
    <n v="1546.28"/>
    <n v="0.62"/>
    <x v="2"/>
  </r>
  <r>
    <x v="3"/>
    <n v="1128299"/>
    <x v="538"/>
    <x v="2"/>
    <s v="Colorado"/>
    <s v="Denver"/>
    <x v="5"/>
    <n v="37"/>
    <n v="116"/>
    <n v="4292"/>
    <n v="1158.8400000000001"/>
    <n v="0.27"/>
    <x v="2"/>
  </r>
  <r>
    <x v="3"/>
    <n v="1128299"/>
    <x v="539"/>
    <x v="2"/>
    <s v="Colorado"/>
    <s v="Denver"/>
    <x v="0"/>
    <n v="37"/>
    <n v="165"/>
    <n v="6105"/>
    <n v="2930.4"/>
    <n v="0.48000000000000004"/>
    <x v="2"/>
  </r>
  <r>
    <x v="3"/>
    <n v="1128299"/>
    <x v="540"/>
    <x v="2"/>
    <s v="Colorado"/>
    <s v="Denver"/>
    <x v="1"/>
    <n v="48"/>
    <n v="112"/>
    <n v="5376"/>
    <n v="1827.8400000000001"/>
    <n v="0.34"/>
    <x v="2"/>
  </r>
  <r>
    <x v="3"/>
    <n v="1128299"/>
    <x v="541"/>
    <x v="2"/>
    <s v="Colorado"/>
    <s v="Denver"/>
    <x v="2"/>
    <n v="51"/>
    <n v="116"/>
    <n v="5916"/>
    <n v="2898.84"/>
    <n v="0.49000000000000005"/>
    <x v="2"/>
  </r>
  <r>
    <x v="3"/>
    <n v="1128299"/>
    <x v="542"/>
    <x v="2"/>
    <s v="Colorado"/>
    <s v="Denver"/>
    <x v="3"/>
    <n v="51"/>
    <n v="90"/>
    <n v="4590"/>
    <n v="1973.7"/>
    <n v="0.43"/>
    <x v="2"/>
  </r>
  <r>
    <x v="3"/>
    <n v="1128299"/>
    <x v="45"/>
    <x v="2"/>
    <s v="Colorado"/>
    <s v="Denver"/>
    <x v="4"/>
    <n v="56"/>
    <n v="39"/>
    <n v="2184"/>
    <n v="1310.3999999999999"/>
    <n v="0.6"/>
    <x v="2"/>
  </r>
  <r>
    <x v="3"/>
    <n v="1128299"/>
    <x v="543"/>
    <x v="2"/>
    <s v="Colorado"/>
    <s v="Denver"/>
    <x v="5"/>
    <n v="52"/>
    <n v="95"/>
    <n v="4940"/>
    <n v="1432.6000000000001"/>
    <n v="0.29000000000000004"/>
    <x v="2"/>
  </r>
  <r>
    <x v="3"/>
    <n v="1128299"/>
    <x v="544"/>
    <x v="2"/>
    <s v="Colorado"/>
    <s v="Denver"/>
    <x v="0"/>
    <n v="55"/>
    <n v="131"/>
    <n v="7205"/>
    <n v="3386.3500000000004"/>
    <n v="0.47000000000000003"/>
    <x v="2"/>
  </r>
  <r>
    <x v="3"/>
    <n v="1128299"/>
    <x v="545"/>
    <x v="2"/>
    <s v="Colorado"/>
    <s v="Denver"/>
    <x v="1"/>
    <n v="59"/>
    <n v="94"/>
    <n v="5546"/>
    <n v="1941.1"/>
    <n v="0.35"/>
    <x v="2"/>
  </r>
  <r>
    <x v="3"/>
    <n v="1128299"/>
    <x v="546"/>
    <x v="2"/>
    <s v="Colorado"/>
    <s v="Denver"/>
    <x v="2"/>
    <n v="61"/>
    <n v="113"/>
    <n v="6893"/>
    <n v="3446.5"/>
    <n v="0.5"/>
    <x v="2"/>
  </r>
  <r>
    <x v="3"/>
    <n v="1128299"/>
    <x v="547"/>
    <x v="2"/>
    <s v="Colorado"/>
    <s v="Denver"/>
    <x v="3"/>
    <n v="56"/>
    <n v="74"/>
    <n v="4144"/>
    <n v="1781.92"/>
    <n v="0.43"/>
    <x v="2"/>
  </r>
  <r>
    <x v="3"/>
    <n v="1128299"/>
    <x v="548"/>
    <x v="2"/>
    <s v="Colorado"/>
    <s v="Denver"/>
    <x v="4"/>
    <n v="62"/>
    <n v="44"/>
    <n v="2728"/>
    <n v="1664.08"/>
    <n v="0.61"/>
    <x v="2"/>
  </r>
  <r>
    <x v="3"/>
    <n v="1128299"/>
    <x v="549"/>
    <x v="2"/>
    <s v="Colorado"/>
    <s v="Denver"/>
    <x v="5"/>
    <n v="72"/>
    <n v="98"/>
    <n v="7056"/>
    <n v="1764"/>
    <n v="0.25"/>
    <x v="2"/>
  </r>
  <r>
    <x v="3"/>
    <n v="1128299"/>
    <x v="550"/>
    <x v="2"/>
    <s v="Colorado"/>
    <s v="Denver"/>
    <x v="0"/>
    <n v="55"/>
    <n v="131"/>
    <n v="7205"/>
    <n v="4395.05"/>
    <n v="0.61"/>
    <x v="2"/>
  </r>
  <r>
    <x v="3"/>
    <n v="1128299"/>
    <x v="551"/>
    <x v="2"/>
    <s v="Colorado"/>
    <s v="Denver"/>
    <x v="1"/>
    <n v="60"/>
    <n v="105"/>
    <n v="6300"/>
    <n v="2898"/>
    <n v="0.45999999999999996"/>
    <x v="2"/>
  </r>
  <r>
    <x v="3"/>
    <n v="1128299"/>
    <x v="552"/>
    <x v="2"/>
    <s v="Colorado"/>
    <s v="Denver"/>
    <x v="2"/>
    <n v="59"/>
    <n v="98"/>
    <n v="5782"/>
    <n v="3469.2"/>
    <n v="0.6"/>
    <x v="2"/>
  </r>
  <r>
    <x v="3"/>
    <n v="1128299"/>
    <x v="553"/>
    <x v="2"/>
    <s v="Colorado"/>
    <s v="Denver"/>
    <x v="3"/>
    <n v="58"/>
    <n v="69"/>
    <n v="4002"/>
    <n v="2361.1799999999998"/>
    <n v="0.59"/>
    <x v="2"/>
  </r>
  <r>
    <x v="3"/>
    <n v="1128299"/>
    <x v="554"/>
    <x v="2"/>
    <s v="Colorado"/>
    <s v="Denver"/>
    <x v="4"/>
    <n v="63"/>
    <n v="44"/>
    <n v="2772"/>
    <n v="2106.7200000000003"/>
    <n v="0.76000000000000012"/>
    <x v="2"/>
  </r>
  <r>
    <x v="3"/>
    <n v="1128299"/>
    <x v="555"/>
    <x v="2"/>
    <s v="Colorado"/>
    <s v="Denver"/>
    <x v="5"/>
    <n v="74"/>
    <n v="133"/>
    <n v="9842"/>
    <n v="4232.0599999999995"/>
    <n v="0.43"/>
    <x v="2"/>
  </r>
  <r>
    <x v="3"/>
    <n v="1128299"/>
    <x v="556"/>
    <x v="2"/>
    <s v="Colorado"/>
    <s v="Denver"/>
    <x v="0"/>
    <n v="54"/>
    <n v="189"/>
    <n v="10206"/>
    <n v="6531.84"/>
    <n v="0.64"/>
    <x v="2"/>
  </r>
  <r>
    <x v="3"/>
    <n v="1128299"/>
    <x v="557"/>
    <x v="2"/>
    <s v="Colorado"/>
    <s v="Denver"/>
    <x v="1"/>
    <n v="59"/>
    <n v="144"/>
    <n v="8496"/>
    <n v="4248"/>
    <n v="0.5"/>
    <x v="2"/>
  </r>
  <r>
    <x v="3"/>
    <n v="1128299"/>
    <x v="558"/>
    <x v="2"/>
    <s v="Colorado"/>
    <s v="Denver"/>
    <x v="2"/>
    <n v="64"/>
    <n v="150"/>
    <n v="9600"/>
    <n v="6144"/>
    <n v="0.64"/>
    <x v="2"/>
  </r>
  <r>
    <x v="3"/>
    <n v="1128299"/>
    <x v="46"/>
    <x v="2"/>
    <s v="Colorado"/>
    <s v="Denver"/>
    <x v="3"/>
    <n v="62"/>
    <n v="135"/>
    <n v="8370"/>
    <n v="5022"/>
    <n v="0.6"/>
    <x v="2"/>
  </r>
  <r>
    <x v="3"/>
    <n v="1128299"/>
    <x v="47"/>
    <x v="2"/>
    <s v="Colorado"/>
    <s v="Denver"/>
    <x v="4"/>
    <n v="66"/>
    <n v="91"/>
    <n v="6006"/>
    <n v="4624.6200000000008"/>
    <n v="0.77000000000000013"/>
    <x v="2"/>
  </r>
  <r>
    <x v="3"/>
    <n v="1128299"/>
    <x v="48"/>
    <x v="2"/>
    <s v="Colorado"/>
    <s v="Denver"/>
    <x v="5"/>
    <n v="83"/>
    <n v="181"/>
    <n v="15023"/>
    <n v="6459.89"/>
    <n v="0.43"/>
    <x v="2"/>
  </r>
  <r>
    <x v="3"/>
    <n v="1128299"/>
    <x v="49"/>
    <x v="2"/>
    <s v="Colorado"/>
    <s v="Denver"/>
    <x v="0"/>
    <n v="64"/>
    <n v="202"/>
    <n v="12928"/>
    <n v="7756.7999999999993"/>
    <n v="0.6"/>
    <x v="2"/>
  </r>
  <r>
    <x v="3"/>
    <n v="1128299"/>
    <x v="50"/>
    <x v="2"/>
    <s v="Colorado"/>
    <s v="Denver"/>
    <x v="1"/>
    <n v="67"/>
    <n v="188"/>
    <n v="12596"/>
    <n v="5038.4000000000005"/>
    <n v="0.4"/>
    <x v="2"/>
  </r>
  <r>
    <x v="3"/>
    <n v="1128299"/>
    <x v="51"/>
    <x v="2"/>
    <s v="Colorado"/>
    <s v="Denver"/>
    <x v="2"/>
    <n v="67"/>
    <n v="161"/>
    <n v="10787"/>
    <n v="5932.85"/>
    <n v="0.55000000000000004"/>
    <x v="2"/>
  </r>
  <r>
    <x v="3"/>
    <n v="1128299"/>
    <x v="52"/>
    <x v="2"/>
    <s v="Colorado"/>
    <s v="Denver"/>
    <x v="3"/>
    <n v="61"/>
    <n v="143"/>
    <n v="8723"/>
    <n v="4535.96"/>
    <n v="0.52"/>
    <x v="2"/>
  </r>
  <r>
    <x v="3"/>
    <n v="1128299"/>
    <x v="53"/>
    <x v="2"/>
    <s v="Colorado"/>
    <s v="Denver"/>
    <x v="4"/>
    <n v="67"/>
    <n v="131"/>
    <n v="8777"/>
    <n v="6143.9000000000005"/>
    <n v="0.70000000000000007"/>
    <x v="2"/>
  </r>
  <r>
    <x v="3"/>
    <n v="1128299"/>
    <x v="54"/>
    <x v="2"/>
    <s v="Colorado"/>
    <s v="Denver"/>
    <x v="5"/>
    <n v="78"/>
    <n v="137"/>
    <n v="10686"/>
    <n v="4274.4000000000005"/>
    <n v="0.4"/>
    <x v="2"/>
  </r>
  <r>
    <x v="3"/>
    <n v="1128299"/>
    <x v="55"/>
    <x v="2"/>
    <s v="Colorado"/>
    <s v="Denver"/>
    <x v="0"/>
    <n v="63"/>
    <n v="196"/>
    <n v="12348"/>
    <n v="7285.3200000000006"/>
    <n v="0.59000000000000008"/>
    <x v="2"/>
  </r>
  <r>
    <x v="3"/>
    <n v="1128299"/>
    <x v="56"/>
    <x v="2"/>
    <s v="Colorado"/>
    <s v="Denver"/>
    <x v="1"/>
    <n v="73"/>
    <n v="189"/>
    <n v="13797"/>
    <n v="5794.74"/>
    <n v="0.42"/>
    <x v="2"/>
  </r>
  <r>
    <x v="3"/>
    <n v="1128299"/>
    <x v="57"/>
    <x v="2"/>
    <s v="Colorado"/>
    <s v="Denver"/>
    <x v="2"/>
    <n v="67"/>
    <n v="143"/>
    <n v="9581"/>
    <n v="5461.170000000001"/>
    <n v="0.57000000000000006"/>
    <x v="2"/>
  </r>
  <r>
    <x v="3"/>
    <n v="1128299"/>
    <x v="58"/>
    <x v="2"/>
    <s v="Colorado"/>
    <s v="Denver"/>
    <x v="3"/>
    <n v="63"/>
    <n v="135"/>
    <n v="8505"/>
    <n v="4592.7000000000007"/>
    <n v="0.54"/>
    <x v="2"/>
  </r>
  <r>
    <x v="3"/>
    <n v="1128299"/>
    <x v="59"/>
    <x v="2"/>
    <s v="Colorado"/>
    <s v="Denver"/>
    <x v="4"/>
    <n v="74"/>
    <n v="140"/>
    <n v="10360"/>
    <n v="7562.8000000000011"/>
    <n v="0.73000000000000009"/>
    <x v="2"/>
  </r>
  <r>
    <x v="3"/>
    <n v="1128299"/>
    <x v="60"/>
    <x v="2"/>
    <s v="Colorado"/>
    <s v="Denver"/>
    <x v="5"/>
    <n v="74"/>
    <n v="100"/>
    <n v="7400"/>
    <n v="2590"/>
    <n v="0.35"/>
    <x v="2"/>
  </r>
  <r>
    <x v="3"/>
    <n v="1128299"/>
    <x v="61"/>
    <x v="2"/>
    <s v="Colorado"/>
    <s v="Denver"/>
    <x v="0"/>
    <n v="59"/>
    <n v="162"/>
    <n v="9558"/>
    <n v="5065.7400000000007"/>
    <n v="0.53"/>
    <x v="2"/>
  </r>
  <r>
    <x v="3"/>
    <n v="1128299"/>
    <x v="62"/>
    <x v="2"/>
    <s v="Colorado"/>
    <s v="Denver"/>
    <x v="1"/>
    <n v="69"/>
    <n v="168"/>
    <n v="11592"/>
    <n v="4173.12"/>
    <n v="0.36"/>
    <x v="2"/>
  </r>
  <r>
    <x v="3"/>
    <n v="1128299"/>
    <x v="63"/>
    <x v="2"/>
    <s v="Colorado"/>
    <s v="Denver"/>
    <x v="2"/>
    <n v="60"/>
    <n v="113"/>
    <n v="6780"/>
    <n v="3390"/>
    <n v="0.5"/>
    <x v="2"/>
  </r>
  <r>
    <x v="3"/>
    <n v="1128299"/>
    <x v="64"/>
    <x v="2"/>
    <s v="Colorado"/>
    <s v="Denver"/>
    <x v="3"/>
    <n v="59"/>
    <n v="100"/>
    <n v="5900"/>
    <n v="2832"/>
    <n v="0.48"/>
    <x v="2"/>
  </r>
  <r>
    <x v="3"/>
    <n v="1128299"/>
    <x v="65"/>
    <x v="2"/>
    <s v="Colorado"/>
    <s v="Denver"/>
    <x v="4"/>
    <n v="74"/>
    <n v="120"/>
    <n v="8880"/>
    <n v="6127.2000000000016"/>
    <n v="0.69000000000000017"/>
    <x v="2"/>
  </r>
  <r>
    <x v="3"/>
    <n v="1128299"/>
    <x v="66"/>
    <x v="2"/>
    <s v="Colorado"/>
    <s v="Denver"/>
    <x v="5"/>
    <n v="65"/>
    <n v="106"/>
    <n v="6890"/>
    <n v="2135.9"/>
    <n v="0.31"/>
    <x v="2"/>
  </r>
  <r>
    <x v="3"/>
    <n v="1128299"/>
    <x v="559"/>
    <x v="2"/>
    <s v="Colorado"/>
    <s v="Denver"/>
    <x v="0"/>
    <n v="51"/>
    <n v="137"/>
    <n v="6987"/>
    <n v="3493.5"/>
    <n v="0.5"/>
    <x v="2"/>
  </r>
  <r>
    <x v="3"/>
    <n v="1128299"/>
    <x v="560"/>
    <x v="2"/>
    <s v="Colorado"/>
    <s v="Denver"/>
    <x v="1"/>
    <n v="54"/>
    <n v="152"/>
    <n v="8208"/>
    <n v="2872.7999999999997"/>
    <n v="0.35"/>
    <x v="2"/>
  </r>
  <r>
    <x v="3"/>
    <n v="1128299"/>
    <x v="561"/>
    <x v="2"/>
    <s v="Colorado"/>
    <s v="Denver"/>
    <x v="2"/>
    <n v="51"/>
    <n v="102"/>
    <n v="5202"/>
    <n v="2601"/>
    <n v="0.5"/>
    <x v="2"/>
  </r>
  <r>
    <x v="3"/>
    <n v="1128299"/>
    <x v="562"/>
    <x v="2"/>
    <s v="Colorado"/>
    <s v="Denver"/>
    <x v="3"/>
    <n v="53"/>
    <n v="85"/>
    <n v="4505"/>
    <n v="2072.2999999999997"/>
    <n v="0.45999999999999996"/>
    <x v="2"/>
  </r>
  <r>
    <x v="3"/>
    <n v="1128299"/>
    <x v="563"/>
    <x v="2"/>
    <s v="Colorado"/>
    <s v="Denver"/>
    <x v="4"/>
    <n v="64"/>
    <n v="75"/>
    <n v="4800"/>
    <n v="3168.0000000000009"/>
    <n v="0.66000000000000014"/>
    <x v="2"/>
  </r>
  <r>
    <x v="3"/>
    <n v="1128299"/>
    <x v="564"/>
    <x v="2"/>
    <s v="Colorado"/>
    <s v="Denver"/>
    <x v="5"/>
    <n v="65"/>
    <n v="105"/>
    <n v="6825"/>
    <n v="2047.5000000000002"/>
    <n v="0.30000000000000004"/>
    <x v="2"/>
  </r>
  <r>
    <x v="3"/>
    <n v="1128299"/>
    <x v="565"/>
    <x v="2"/>
    <s v="Colorado"/>
    <s v="Denver"/>
    <x v="0"/>
    <n v="52"/>
    <n v="150"/>
    <n v="7800"/>
    <n v="4290"/>
    <n v="0.55000000000000004"/>
    <x v="2"/>
  </r>
  <r>
    <x v="3"/>
    <n v="1128299"/>
    <x v="566"/>
    <x v="2"/>
    <s v="Colorado"/>
    <s v="Denver"/>
    <x v="1"/>
    <n v="55"/>
    <n v="150"/>
    <n v="8250"/>
    <n v="3052.5"/>
    <n v="0.37"/>
    <x v="2"/>
  </r>
  <r>
    <x v="3"/>
    <n v="1128299"/>
    <x v="567"/>
    <x v="2"/>
    <s v="Colorado"/>
    <s v="Denver"/>
    <x v="2"/>
    <n v="51"/>
    <n v="128"/>
    <n v="6528"/>
    <n v="3459.84"/>
    <n v="0.53"/>
    <x v="2"/>
  </r>
  <r>
    <x v="3"/>
    <n v="1128299"/>
    <x v="568"/>
    <x v="2"/>
    <s v="Colorado"/>
    <s v="Denver"/>
    <x v="3"/>
    <n v="60"/>
    <n v="116"/>
    <n v="6960"/>
    <n v="3340.7999999999997"/>
    <n v="0.48"/>
    <x v="2"/>
  </r>
  <r>
    <x v="3"/>
    <n v="1128299"/>
    <x v="569"/>
    <x v="2"/>
    <s v="Colorado"/>
    <s v="Denver"/>
    <x v="4"/>
    <n v="68"/>
    <n v="105"/>
    <n v="7140"/>
    <n v="4926.6000000000013"/>
    <n v="0.69000000000000017"/>
    <x v="2"/>
  </r>
  <r>
    <x v="3"/>
    <n v="1128299"/>
    <x v="570"/>
    <x v="2"/>
    <s v="Colorado"/>
    <s v="Denver"/>
    <x v="5"/>
    <n v="73"/>
    <n v="130"/>
    <n v="9490"/>
    <n v="2941.9"/>
    <n v="0.31"/>
    <x v="2"/>
  </r>
  <r>
    <x v="3"/>
    <n v="1128299"/>
    <x v="571"/>
    <x v="2"/>
    <s v="Colorado"/>
    <s v="Denver"/>
    <x v="0"/>
    <n v="59"/>
    <n v="203"/>
    <n v="11977"/>
    <n v="6228.04"/>
    <n v="0.52"/>
    <x v="2"/>
  </r>
  <r>
    <x v="3"/>
    <n v="1128299"/>
    <x v="572"/>
    <x v="2"/>
    <s v="Colorado"/>
    <s v="Denver"/>
    <x v="1"/>
    <n v="64"/>
    <n v="182"/>
    <n v="11648"/>
    <n v="4426.24"/>
    <n v="0.38"/>
    <x v="2"/>
  </r>
  <r>
    <x v="3"/>
    <n v="1128299"/>
    <x v="573"/>
    <x v="2"/>
    <s v="Colorado"/>
    <s v="Denver"/>
    <x v="2"/>
    <n v="60"/>
    <n v="125"/>
    <n v="7500"/>
    <n v="4125"/>
    <n v="0.55000000000000004"/>
    <x v="2"/>
  </r>
  <r>
    <x v="3"/>
    <n v="1128299"/>
    <x v="574"/>
    <x v="2"/>
    <s v="Colorado"/>
    <s v="Denver"/>
    <x v="3"/>
    <n v="63"/>
    <n v="125"/>
    <n v="7875"/>
    <n v="3543.7499999999995"/>
    <n v="0.44999999999999996"/>
    <x v="2"/>
  </r>
  <r>
    <x v="3"/>
    <n v="1128299"/>
    <x v="575"/>
    <x v="2"/>
    <s v="Colorado"/>
    <s v="Denver"/>
    <x v="4"/>
    <n v="68"/>
    <n v="115"/>
    <n v="7820"/>
    <n v="5239.4000000000015"/>
    <n v="0.67000000000000015"/>
    <x v="2"/>
  </r>
  <r>
    <x v="3"/>
    <n v="1128299"/>
    <x v="576"/>
    <x v="2"/>
    <s v="Colorado"/>
    <s v="Denver"/>
    <x v="5"/>
    <n v="75"/>
    <n v="137"/>
    <n v="10275"/>
    <n v="3390.75"/>
    <n v="0.33"/>
    <x v="2"/>
  </r>
  <r>
    <x v="3"/>
    <n v="1128299"/>
    <x v="577"/>
    <x v="2"/>
    <s v="Colorado"/>
    <s v="Denver"/>
    <x v="0"/>
    <n v="36"/>
    <n v="117"/>
    <n v="4212"/>
    <n v="1726.9199999999998"/>
    <n v="0.41"/>
    <x v="2"/>
  </r>
  <r>
    <x v="3"/>
    <n v="1128299"/>
    <x v="578"/>
    <x v="2"/>
    <s v="Colorado"/>
    <s v="Denver"/>
    <x v="1"/>
    <n v="48"/>
    <n v="131"/>
    <n v="6288"/>
    <n v="2515.2000000000003"/>
    <n v="0.4"/>
    <x v="2"/>
  </r>
  <r>
    <x v="3"/>
    <n v="1128299"/>
    <x v="579"/>
    <x v="2"/>
    <s v="Colorado"/>
    <s v="Denver"/>
    <x v="2"/>
    <n v="46"/>
    <n v="135"/>
    <n v="6210"/>
    <n v="2173.5"/>
    <n v="0.35"/>
    <x v="2"/>
  </r>
  <r>
    <x v="3"/>
    <n v="1128299"/>
    <x v="580"/>
    <x v="2"/>
    <s v="Colorado"/>
    <s v="Denver"/>
    <x v="3"/>
    <n v="49"/>
    <n v="78"/>
    <n v="3822"/>
    <n v="1567.02"/>
    <n v="0.41"/>
    <x v="2"/>
  </r>
  <r>
    <x v="3"/>
    <n v="1128299"/>
    <x v="581"/>
    <x v="2"/>
    <s v="Washington"/>
    <s v="Seattle"/>
    <x v="4"/>
    <n v="51"/>
    <n v="73"/>
    <n v="3723"/>
    <n v="1451.97"/>
    <n v="0.39"/>
    <x v="2"/>
  </r>
  <r>
    <x v="3"/>
    <n v="1128299"/>
    <x v="582"/>
    <x v="2"/>
    <s v="Washington"/>
    <s v="Seattle"/>
    <x v="5"/>
    <n v="46"/>
    <n v="125"/>
    <n v="5750"/>
    <n v="1782.5"/>
    <n v="0.31"/>
    <x v="2"/>
  </r>
  <r>
    <x v="3"/>
    <n v="1128299"/>
    <x v="583"/>
    <x v="2"/>
    <s v="Washington"/>
    <s v="Seattle"/>
    <x v="0"/>
    <n v="36"/>
    <n v="138"/>
    <n v="4968"/>
    <n v="2136.2399999999998"/>
    <n v="0.43"/>
    <x v="2"/>
  </r>
  <r>
    <x v="3"/>
    <n v="1128299"/>
    <x v="584"/>
    <x v="2"/>
    <s v="Washington"/>
    <s v="Seattle"/>
    <x v="1"/>
    <n v="47"/>
    <n v="131"/>
    <n v="6157"/>
    <n v="2401.23"/>
    <n v="0.39"/>
    <x v="2"/>
  </r>
  <r>
    <x v="3"/>
    <n v="1128299"/>
    <x v="585"/>
    <x v="2"/>
    <s v="Washington"/>
    <s v="Seattle"/>
    <x v="2"/>
    <n v="47"/>
    <n v="122"/>
    <n v="5734"/>
    <n v="2236.2600000000002"/>
    <n v="0.39"/>
    <x v="2"/>
  </r>
  <r>
    <x v="3"/>
    <n v="1128299"/>
    <x v="586"/>
    <x v="2"/>
    <s v="Washington"/>
    <s v="Seattle"/>
    <x v="3"/>
    <n v="48"/>
    <n v="87"/>
    <n v="4176"/>
    <n v="1753.9199999999998"/>
    <n v="0.42"/>
    <x v="2"/>
  </r>
  <r>
    <x v="3"/>
    <n v="1128299"/>
    <x v="587"/>
    <x v="2"/>
    <s v="Washington"/>
    <s v="Seattle"/>
    <x v="4"/>
    <n v="52"/>
    <n v="65"/>
    <n v="3380"/>
    <n v="1352"/>
    <n v="0.4"/>
    <x v="2"/>
  </r>
  <r>
    <x v="3"/>
    <n v="1128299"/>
    <x v="588"/>
    <x v="2"/>
    <s v="Washington"/>
    <s v="Seattle"/>
    <x v="5"/>
    <n v="46"/>
    <n v="123"/>
    <n v="5658"/>
    <n v="1753.98"/>
    <n v="0.31"/>
    <x v="2"/>
  </r>
  <r>
    <x v="3"/>
    <n v="1128299"/>
    <x v="589"/>
    <x v="2"/>
    <s v="Washington"/>
    <s v="Seattle"/>
    <x v="0"/>
    <n v="46"/>
    <n v="167"/>
    <n v="7682"/>
    <n v="3456.8999999999996"/>
    <n v="0.44999999999999996"/>
    <x v="2"/>
  </r>
  <r>
    <x v="3"/>
    <n v="1128299"/>
    <x v="590"/>
    <x v="2"/>
    <s v="Washington"/>
    <s v="Seattle"/>
    <x v="1"/>
    <n v="58"/>
    <n v="115"/>
    <n v="6670"/>
    <n v="2401.1999999999998"/>
    <n v="0.36"/>
    <x v="2"/>
  </r>
  <r>
    <x v="3"/>
    <n v="1128299"/>
    <x v="591"/>
    <x v="2"/>
    <s v="Washington"/>
    <s v="Seattle"/>
    <x v="2"/>
    <n v="60"/>
    <n v="115"/>
    <n v="6900"/>
    <n v="2760"/>
    <n v="0.4"/>
    <x v="2"/>
  </r>
  <r>
    <x v="3"/>
    <n v="1128299"/>
    <x v="592"/>
    <x v="2"/>
    <s v="Washington"/>
    <s v="Seattle"/>
    <x v="3"/>
    <n v="64"/>
    <n v="85"/>
    <n v="5440"/>
    <n v="2284.7999999999997"/>
    <n v="0.42"/>
    <x v="2"/>
  </r>
  <r>
    <x v="3"/>
    <n v="1128299"/>
    <x v="593"/>
    <x v="2"/>
    <s v="Washington"/>
    <s v="Seattle"/>
    <x v="4"/>
    <n v="69"/>
    <n v="46"/>
    <n v="3174"/>
    <n v="1206.1200000000001"/>
    <n v="0.38"/>
    <x v="2"/>
  </r>
  <r>
    <x v="3"/>
    <n v="1128299"/>
    <x v="594"/>
    <x v="2"/>
    <s v="Washington"/>
    <s v="Seattle"/>
    <x v="5"/>
    <n v="62"/>
    <n v="105"/>
    <n v="6510"/>
    <n v="2213.4"/>
    <n v="0.34"/>
    <x v="2"/>
  </r>
  <r>
    <x v="3"/>
    <n v="1128299"/>
    <x v="595"/>
    <x v="2"/>
    <s v="Washington"/>
    <s v="Seattle"/>
    <x v="0"/>
    <n v="68"/>
    <n v="160"/>
    <n v="10880"/>
    <n v="4787.2"/>
    <n v="0.44"/>
    <x v="2"/>
  </r>
  <r>
    <x v="3"/>
    <n v="1128299"/>
    <x v="596"/>
    <x v="2"/>
    <s v="Washington"/>
    <s v="Seattle"/>
    <x v="1"/>
    <n v="71"/>
    <n v="88"/>
    <n v="6248"/>
    <n v="2436.7200000000003"/>
    <n v="0.39"/>
    <x v="2"/>
  </r>
  <r>
    <x v="3"/>
    <n v="1128299"/>
    <x v="597"/>
    <x v="2"/>
    <s v="Washington"/>
    <s v="Seattle"/>
    <x v="2"/>
    <n v="74"/>
    <n v="120"/>
    <n v="8880"/>
    <n v="3463.2000000000003"/>
    <n v="0.39"/>
    <x v="2"/>
  </r>
  <r>
    <x v="3"/>
    <n v="1128299"/>
    <x v="598"/>
    <x v="2"/>
    <s v="Washington"/>
    <s v="Seattle"/>
    <x v="3"/>
    <n v="55"/>
    <n v="90"/>
    <n v="4950"/>
    <n v="2079"/>
    <n v="0.42"/>
    <x v="2"/>
  </r>
  <r>
    <x v="3"/>
    <n v="1128299"/>
    <x v="599"/>
    <x v="2"/>
    <s v="Washington"/>
    <s v="Seattle"/>
    <x v="4"/>
    <n v="59"/>
    <n v="56"/>
    <n v="3304"/>
    <n v="1321.6000000000001"/>
    <n v="0.4"/>
    <x v="2"/>
  </r>
  <r>
    <x v="3"/>
    <n v="1128299"/>
    <x v="600"/>
    <x v="2"/>
    <s v="Washington"/>
    <s v="Seattle"/>
    <x v="5"/>
    <n v="78"/>
    <n v="88"/>
    <n v="6864"/>
    <n v="2196.48"/>
    <n v="0.32"/>
    <x v="2"/>
  </r>
  <r>
    <x v="3"/>
    <n v="1128299"/>
    <x v="601"/>
    <x v="2"/>
    <s v="Washington"/>
    <s v="Seattle"/>
    <x v="0"/>
    <n v="55"/>
    <n v="165"/>
    <n v="9075"/>
    <n v="3720.75"/>
    <n v="0.41"/>
    <x v="2"/>
  </r>
  <r>
    <x v="3"/>
    <n v="1128299"/>
    <x v="602"/>
    <x v="2"/>
    <s v="Washington"/>
    <s v="Seattle"/>
    <x v="1"/>
    <n v="60"/>
    <n v="108"/>
    <n v="6480"/>
    <n v="2462.4"/>
    <n v="0.38"/>
    <x v="2"/>
  </r>
  <r>
    <x v="3"/>
    <n v="1128299"/>
    <x v="603"/>
    <x v="2"/>
    <s v="Washington"/>
    <s v="Seattle"/>
    <x v="2"/>
    <n v="61"/>
    <n v="120"/>
    <n v="7320"/>
    <n v="2781.6"/>
    <n v="0.38"/>
    <x v="2"/>
  </r>
  <r>
    <x v="3"/>
    <n v="1128299"/>
    <x v="604"/>
    <x v="2"/>
    <s v="Washington"/>
    <s v="Seattle"/>
    <x v="3"/>
    <n v="59"/>
    <n v="90"/>
    <n v="5310"/>
    <n v="2336.4"/>
    <n v="0.44"/>
    <x v="2"/>
  </r>
  <r>
    <x v="3"/>
    <n v="1128299"/>
    <x v="605"/>
    <x v="2"/>
    <s v="Washington"/>
    <s v="Seattle"/>
    <x v="4"/>
    <n v="60"/>
    <n v="52"/>
    <n v="3120"/>
    <n v="1185.5999999999999"/>
    <n v="0.38"/>
    <x v="2"/>
  </r>
  <r>
    <x v="3"/>
    <n v="1128299"/>
    <x v="606"/>
    <x v="2"/>
    <s v="Washington"/>
    <s v="Seattle"/>
    <x v="5"/>
    <n v="75"/>
    <n v="125"/>
    <n v="9375"/>
    <n v="3093.75"/>
    <n v="0.33"/>
    <x v="2"/>
  </r>
  <r>
    <x v="3"/>
    <n v="1128299"/>
    <x v="607"/>
    <x v="2"/>
    <s v="Washington"/>
    <s v="Seattle"/>
    <x v="0"/>
    <n v="71"/>
    <n v="195"/>
    <n v="13845"/>
    <n v="5814.9"/>
    <n v="0.42"/>
    <x v="2"/>
  </r>
  <r>
    <x v="3"/>
    <n v="1128299"/>
    <x v="608"/>
    <x v="2"/>
    <s v="Washington"/>
    <s v="Seattle"/>
    <x v="1"/>
    <n v="74"/>
    <n v="188"/>
    <n v="13912"/>
    <n v="5147.4399999999996"/>
    <n v="0.37"/>
    <x v="2"/>
  </r>
  <r>
    <x v="3"/>
    <n v="1128299"/>
    <x v="609"/>
    <x v="2"/>
    <s v="Washington"/>
    <s v="Seattle"/>
    <x v="2"/>
    <n v="72"/>
    <n v="163"/>
    <n v="11736"/>
    <n v="4459.68"/>
    <n v="0.38"/>
    <x v="2"/>
  </r>
  <r>
    <x v="3"/>
    <n v="1128299"/>
    <x v="610"/>
    <x v="2"/>
    <s v="Washington"/>
    <s v="Seattle"/>
    <x v="3"/>
    <n v="75"/>
    <n v="125"/>
    <n v="9375"/>
    <n v="3750"/>
    <n v="0.4"/>
    <x v="2"/>
  </r>
  <r>
    <x v="3"/>
    <n v="1128299"/>
    <x v="611"/>
    <x v="2"/>
    <s v="Washington"/>
    <s v="Seattle"/>
    <x v="4"/>
    <n v="82"/>
    <n v="105"/>
    <n v="8610"/>
    <n v="3357.9"/>
    <n v="0.39"/>
    <x v="2"/>
  </r>
  <r>
    <x v="3"/>
    <n v="1128299"/>
    <x v="612"/>
    <x v="2"/>
    <s v="Washington"/>
    <s v="Seattle"/>
    <x v="5"/>
    <n v="98"/>
    <n v="182"/>
    <n v="17836"/>
    <n v="6064.2400000000007"/>
    <n v="0.34"/>
    <x v="2"/>
  </r>
  <r>
    <x v="3"/>
    <n v="1128299"/>
    <x v="613"/>
    <x v="2"/>
    <s v="Washington"/>
    <s v="Seattle"/>
    <x v="0"/>
    <n v="73"/>
    <n v="239"/>
    <n v="17447"/>
    <n v="6978.8"/>
    <n v="0.4"/>
    <x v="2"/>
  </r>
  <r>
    <x v="3"/>
    <n v="1128299"/>
    <x v="614"/>
    <x v="2"/>
    <s v="Washington"/>
    <s v="Seattle"/>
    <x v="1"/>
    <n v="82"/>
    <n v="182"/>
    <n v="14924"/>
    <n v="5372.6399999999994"/>
    <n v="0.36"/>
    <x v="2"/>
  </r>
  <r>
    <x v="3"/>
    <n v="1128299"/>
    <x v="615"/>
    <x v="2"/>
    <s v="Washington"/>
    <s v="Seattle"/>
    <x v="2"/>
    <n v="78"/>
    <n v="175"/>
    <n v="13650"/>
    <n v="4777.5"/>
    <n v="0.35"/>
    <x v="2"/>
  </r>
  <r>
    <x v="3"/>
    <n v="1128299"/>
    <x v="616"/>
    <x v="2"/>
    <s v="Washington"/>
    <s v="Seattle"/>
    <x v="3"/>
    <n v="78"/>
    <n v="137"/>
    <n v="10686"/>
    <n v="4381.2599999999993"/>
    <n v="0.41"/>
    <x v="2"/>
  </r>
  <r>
    <x v="3"/>
    <n v="1128299"/>
    <x v="617"/>
    <x v="2"/>
    <s v="Washington"/>
    <s v="Seattle"/>
    <x v="4"/>
    <n v="77"/>
    <n v="144"/>
    <n v="11088"/>
    <n v="3880.7999999999997"/>
    <n v="0.35"/>
    <x v="2"/>
  </r>
  <r>
    <x v="3"/>
    <n v="1128299"/>
    <x v="618"/>
    <x v="2"/>
    <s v="Washington"/>
    <s v="Seattle"/>
    <x v="5"/>
    <n v="95"/>
    <n v="155"/>
    <n v="14725"/>
    <n v="5153.75"/>
    <n v="0.35"/>
    <x v="2"/>
  </r>
  <r>
    <x v="3"/>
    <n v="1128299"/>
    <x v="619"/>
    <x v="2"/>
    <s v="Washington"/>
    <s v="Seattle"/>
    <x v="0"/>
    <n v="80"/>
    <n v="217"/>
    <n v="17360"/>
    <n v="7811.9999999999991"/>
    <n v="0.44999999999999996"/>
    <x v="2"/>
  </r>
  <r>
    <x v="3"/>
    <n v="1128299"/>
    <x v="620"/>
    <x v="2"/>
    <s v="Washington"/>
    <s v="Seattle"/>
    <x v="1"/>
    <n v="77"/>
    <n v="210"/>
    <n v="16170"/>
    <n v="6306.3"/>
    <n v="0.39"/>
    <x v="2"/>
  </r>
  <r>
    <x v="3"/>
    <n v="1128299"/>
    <x v="621"/>
    <x v="2"/>
    <s v="Washington"/>
    <s v="Seattle"/>
    <x v="2"/>
    <n v="73"/>
    <n v="163"/>
    <n v="11899"/>
    <n v="4164.6499999999996"/>
    <n v="0.35"/>
    <x v="2"/>
  </r>
  <r>
    <x v="3"/>
    <n v="1128299"/>
    <x v="622"/>
    <x v="2"/>
    <s v="Washington"/>
    <s v="Seattle"/>
    <x v="3"/>
    <n v="74"/>
    <n v="155"/>
    <n v="11470"/>
    <n v="5046.8"/>
    <n v="0.44"/>
    <x v="2"/>
  </r>
  <r>
    <x v="3"/>
    <n v="1128299"/>
    <x v="623"/>
    <x v="2"/>
    <s v="Washington"/>
    <s v="Seattle"/>
    <x v="4"/>
    <n v="71"/>
    <n v="155"/>
    <n v="11005"/>
    <n v="4291.95"/>
    <n v="0.39"/>
    <x v="2"/>
  </r>
  <r>
    <x v="3"/>
    <n v="1128299"/>
    <x v="624"/>
    <x v="2"/>
    <s v="Washington"/>
    <s v="Seattle"/>
    <x v="5"/>
    <n v="76"/>
    <n v="108"/>
    <n v="8208"/>
    <n v="2708.6400000000003"/>
    <n v="0.33"/>
    <x v="2"/>
  </r>
  <r>
    <x v="3"/>
    <n v="1128299"/>
    <x v="625"/>
    <x v="2"/>
    <s v="Washington"/>
    <s v="Seattle"/>
    <x v="0"/>
    <n v="64"/>
    <n v="156"/>
    <n v="9984"/>
    <n v="4093.4399999999996"/>
    <n v="0.41"/>
    <x v="2"/>
  </r>
  <r>
    <x v="3"/>
    <n v="1128299"/>
    <x v="626"/>
    <x v="2"/>
    <s v="Washington"/>
    <s v="Seattle"/>
    <x v="1"/>
    <n v="71"/>
    <n v="174"/>
    <n v="12354"/>
    <n v="4323.8999999999996"/>
    <n v="0.35"/>
    <x v="2"/>
  </r>
  <r>
    <x v="3"/>
    <n v="1128299"/>
    <x v="627"/>
    <x v="2"/>
    <s v="Washington"/>
    <s v="Seattle"/>
    <x v="2"/>
    <n v="63"/>
    <n v="135"/>
    <n v="8505"/>
    <n v="3146.85"/>
    <n v="0.37"/>
    <x v="2"/>
  </r>
  <r>
    <x v="3"/>
    <n v="1128299"/>
    <x v="628"/>
    <x v="2"/>
    <s v="Washington"/>
    <s v="Seattle"/>
    <x v="3"/>
    <n v="67"/>
    <n v="112"/>
    <n v="7504"/>
    <n v="3001.6000000000004"/>
    <n v="0.4"/>
    <x v="2"/>
  </r>
  <r>
    <x v="3"/>
    <n v="1128299"/>
    <x v="629"/>
    <x v="2"/>
    <s v="Washington"/>
    <s v="Seattle"/>
    <x v="4"/>
    <n v="72"/>
    <n v="111"/>
    <n v="7992"/>
    <n v="3196.8"/>
    <n v="0.4"/>
    <x v="2"/>
  </r>
  <r>
    <x v="3"/>
    <n v="1128299"/>
    <x v="67"/>
    <x v="2"/>
    <s v="Washington"/>
    <s v="Seattle"/>
    <x v="5"/>
    <n v="62"/>
    <n v="113"/>
    <n v="7006"/>
    <n v="2452.1"/>
    <n v="0.35"/>
    <x v="2"/>
  </r>
  <r>
    <x v="3"/>
    <n v="1128299"/>
    <x v="68"/>
    <x v="2"/>
    <s v="Washington"/>
    <s v="Seattle"/>
    <x v="0"/>
    <n v="58"/>
    <n v="149"/>
    <n v="8642"/>
    <n v="3456.8"/>
    <n v="0.4"/>
    <x v="2"/>
  </r>
  <r>
    <x v="3"/>
    <n v="1128299"/>
    <x v="69"/>
    <x v="2"/>
    <s v="Washington"/>
    <s v="Seattle"/>
    <x v="1"/>
    <n v="64"/>
    <n v="138"/>
    <n v="8832"/>
    <n v="3267.84"/>
    <n v="0.37"/>
    <x v="2"/>
  </r>
  <r>
    <x v="3"/>
    <n v="1128299"/>
    <x v="70"/>
    <x v="2"/>
    <s v="Washington"/>
    <s v="Seattle"/>
    <x v="2"/>
    <n v="56"/>
    <n v="113"/>
    <n v="6328"/>
    <n v="2278.08"/>
    <n v="0.36"/>
    <x v="2"/>
  </r>
  <r>
    <x v="3"/>
    <n v="1128299"/>
    <x v="71"/>
    <x v="2"/>
    <s v="Washington"/>
    <s v="Seattle"/>
    <x v="3"/>
    <n v="58"/>
    <n v="98"/>
    <n v="5684"/>
    <n v="2500.96"/>
    <n v="0.44"/>
    <x v="2"/>
  </r>
  <r>
    <x v="3"/>
    <n v="1128299"/>
    <x v="72"/>
    <x v="2"/>
    <s v="Washington"/>
    <s v="Seattle"/>
    <x v="4"/>
    <n v="69"/>
    <n v="94"/>
    <n v="6486"/>
    <n v="2270.1"/>
    <n v="0.35"/>
    <x v="2"/>
  </r>
  <r>
    <x v="3"/>
    <n v="1128299"/>
    <x v="73"/>
    <x v="2"/>
    <s v="Washington"/>
    <s v="Seattle"/>
    <x v="5"/>
    <n v="71"/>
    <n v="101"/>
    <n v="7171"/>
    <n v="2509.85"/>
    <n v="0.35"/>
    <x v="2"/>
  </r>
  <r>
    <x v="3"/>
    <n v="1128299"/>
    <x v="74"/>
    <x v="2"/>
    <s v="Washington"/>
    <s v="Seattle"/>
    <x v="0"/>
    <n v="54"/>
    <n v="162"/>
    <n v="8748"/>
    <n v="3849.12"/>
    <n v="0.44"/>
    <x v="2"/>
  </r>
  <r>
    <x v="3"/>
    <n v="1128299"/>
    <x v="75"/>
    <x v="2"/>
    <s v="Washington"/>
    <s v="Seattle"/>
    <x v="1"/>
    <n v="60"/>
    <n v="188"/>
    <n v="11280"/>
    <n v="4173.6000000000004"/>
    <n v="0.37"/>
    <x v="2"/>
  </r>
  <r>
    <x v="3"/>
    <n v="1128299"/>
    <x v="76"/>
    <x v="2"/>
    <s v="Washington"/>
    <s v="Seattle"/>
    <x v="2"/>
    <n v="54"/>
    <n v="124"/>
    <n v="6696"/>
    <n v="2477.52"/>
    <n v="0.37"/>
    <x v="2"/>
  </r>
  <r>
    <x v="3"/>
    <n v="1128299"/>
    <x v="77"/>
    <x v="2"/>
    <s v="Washington"/>
    <s v="Seattle"/>
    <x v="3"/>
    <n v="69"/>
    <n v="117"/>
    <n v="8073"/>
    <n v="3471.39"/>
    <n v="0.43"/>
    <x v="2"/>
  </r>
  <r>
    <x v="3"/>
    <n v="1128299"/>
    <x v="78"/>
    <x v="2"/>
    <s v="Washington"/>
    <s v="Seattle"/>
    <x v="4"/>
    <n v="85"/>
    <n v="115"/>
    <n v="9775"/>
    <n v="3910"/>
    <n v="0.4"/>
    <x v="2"/>
  </r>
  <r>
    <x v="3"/>
    <n v="1128299"/>
    <x v="79"/>
    <x v="2"/>
    <s v="Washington"/>
    <s v="Seattle"/>
    <x v="5"/>
    <n v="88"/>
    <n v="138"/>
    <n v="12144"/>
    <n v="3764.64"/>
    <n v="0.31"/>
    <x v="2"/>
  </r>
  <r>
    <x v="3"/>
    <n v="1128299"/>
    <x v="80"/>
    <x v="2"/>
    <s v="Washington"/>
    <s v="Seattle"/>
    <x v="0"/>
    <n v="78"/>
    <n v="188"/>
    <n v="14664"/>
    <n v="5865.6"/>
    <n v="0.4"/>
    <x v="2"/>
  </r>
  <r>
    <x v="3"/>
    <n v="1128299"/>
    <x v="81"/>
    <x v="2"/>
    <s v="Washington"/>
    <s v="Seattle"/>
    <x v="1"/>
    <n v="77"/>
    <n v="195"/>
    <n v="15015"/>
    <n v="5705.7"/>
    <n v="0.38"/>
    <x v="2"/>
  </r>
  <r>
    <x v="3"/>
    <n v="1128299"/>
    <x v="82"/>
    <x v="2"/>
    <s v="Washington"/>
    <s v="Seattle"/>
    <x v="2"/>
    <n v="73"/>
    <n v="138"/>
    <n v="10074"/>
    <n v="3928.86"/>
    <n v="0.39"/>
    <x v="2"/>
  </r>
  <r>
    <x v="3"/>
    <n v="1128299"/>
    <x v="83"/>
    <x v="2"/>
    <s v="Washington"/>
    <s v="Seattle"/>
    <x v="3"/>
    <n v="76"/>
    <n v="138"/>
    <n v="10488"/>
    <n v="4509.84"/>
    <n v="0.43"/>
    <x v="2"/>
  </r>
  <r>
    <x v="3"/>
    <n v="1128299"/>
    <x v="84"/>
    <x v="2"/>
    <s v="Washington"/>
    <s v="Seattle"/>
    <x v="4"/>
    <n v="82"/>
    <n v="133"/>
    <n v="10906"/>
    <n v="4144.28"/>
    <n v="0.38"/>
    <x v="2"/>
  </r>
  <r>
    <x v="3"/>
    <n v="1128299"/>
    <x v="85"/>
    <x v="2"/>
    <s v="Washington"/>
    <s v="Seattle"/>
    <x v="5"/>
    <n v="86"/>
    <n v="150"/>
    <n v="12900"/>
    <n v="4386"/>
    <n v="0.34"/>
    <x v="2"/>
  </r>
  <r>
    <x v="0"/>
    <n v="1185732"/>
    <x v="86"/>
    <x v="2"/>
    <s v="Washington"/>
    <s v="Seattle"/>
    <x v="0"/>
    <n v="44"/>
    <n v="273"/>
    <n v="12012"/>
    <n v="6606.6"/>
    <n v="0.55000000000000004"/>
    <x v="2"/>
  </r>
  <r>
    <x v="0"/>
    <n v="1185732"/>
    <x v="87"/>
    <x v="2"/>
    <s v="Washington"/>
    <s v="Seattle"/>
    <x v="1"/>
    <n v="41"/>
    <n v="221"/>
    <n v="9061"/>
    <n v="4439.8900000000003"/>
    <n v="0.49"/>
    <x v="2"/>
  </r>
  <r>
    <x v="0"/>
    <n v="1185732"/>
    <x v="88"/>
    <x v="2"/>
    <s v="Washington"/>
    <s v="Seattle"/>
    <x v="2"/>
    <n v="34"/>
    <n v="230"/>
    <n v="7820"/>
    <n v="3049.8"/>
    <n v="0.39"/>
    <x v="2"/>
  </r>
  <r>
    <x v="0"/>
    <n v="1185732"/>
    <x v="89"/>
    <x v="2"/>
    <s v="Washington"/>
    <s v="Seattle"/>
    <x v="3"/>
    <n v="38"/>
    <n v="175"/>
    <n v="6650"/>
    <n v="2660"/>
    <n v="0.4"/>
    <x v="2"/>
  </r>
  <r>
    <x v="0"/>
    <n v="1185732"/>
    <x v="90"/>
    <x v="4"/>
    <s v="Florida"/>
    <s v="Miami"/>
    <x v="4"/>
    <n v="50"/>
    <n v="195"/>
    <n v="9750"/>
    <n v="4875"/>
    <n v="0.5"/>
    <x v="2"/>
  </r>
  <r>
    <x v="0"/>
    <n v="1185732"/>
    <x v="91"/>
    <x v="4"/>
    <s v="Florida"/>
    <s v="Miami"/>
    <x v="5"/>
    <n v="41"/>
    <n v="247"/>
    <n v="10127"/>
    <n v="6278.74"/>
    <n v="0.62"/>
    <x v="2"/>
  </r>
  <r>
    <x v="0"/>
    <n v="1185732"/>
    <x v="92"/>
    <x v="4"/>
    <s v="Florida"/>
    <s v="Miami"/>
    <x v="0"/>
    <n v="43"/>
    <n v="319"/>
    <n v="13717"/>
    <n v="7818.6900000000005"/>
    <n v="0.57000000000000006"/>
    <x v="2"/>
  </r>
  <r>
    <x v="0"/>
    <n v="1185732"/>
    <x v="93"/>
    <x v="4"/>
    <s v="Florida"/>
    <s v="Miami"/>
    <x v="1"/>
    <n v="43"/>
    <n v="195"/>
    <n v="8385"/>
    <n v="4108.6499999999996"/>
    <n v="0.49"/>
    <x v="2"/>
  </r>
  <r>
    <x v="0"/>
    <n v="1185732"/>
    <x v="94"/>
    <x v="4"/>
    <s v="Florida"/>
    <s v="Miami"/>
    <x v="2"/>
    <n v="32"/>
    <n v="240"/>
    <n v="7680"/>
    <n v="2918.4"/>
    <n v="0.38"/>
    <x v="2"/>
  </r>
  <r>
    <x v="3"/>
    <n v="1185732"/>
    <x v="95"/>
    <x v="4"/>
    <s v="Florida"/>
    <s v="Miami"/>
    <x v="3"/>
    <n v="38"/>
    <n v="169"/>
    <n v="6422"/>
    <n v="2825.68"/>
    <n v="0.44"/>
    <x v="2"/>
  </r>
  <r>
    <x v="0"/>
    <n v="1185732"/>
    <x v="96"/>
    <x v="4"/>
    <s v="Florida"/>
    <s v="Miami"/>
    <x v="4"/>
    <n v="53"/>
    <n v="218"/>
    <n v="11554"/>
    <n v="5545.92"/>
    <n v="0.48"/>
    <x v="2"/>
  </r>
  <r>
    <x v="0"/>
    <n v="1185732"/>
    <x v="97"/>
    <x v="4"/>
    <s v="Florida"/>
    <s v="Miami"/>
    <x v="5"/>
    <n v="41"/>
    <n v="221"/>
    <n v="9061"/>
    <n v="5889.6500000000005"/>
    <n v="0.65"/>
    <x v="2"/>
  </r>
  <r>
    <x v="0"/>
    <n v="1185732"/>
    <x v="98"/>
    <x v="4"/>
    <s v="Florida"/>
    <s v="Miami"/>
    <x v="0"/>
    <n v="41"/>
    <n v="268"/>
    <n v="10988"/>
    <n v="6592.8"/>
    <n v="0.6"/>
    <x v="2"/>
  </r>
  <r>
    <x v="0"/>
    <n v="1185732"/>
    <x v="99"/>
    <x v="4"/>
    <s v="Florida"/>
    <s v="Miami"/>
    <x v="1"/>
    <n v="42"/>
    <n v="225"/>
    <n v="9450"/>
    <n v="4536"/>
    <n v="0.48"/>
    <x v="2"/>
  </r>
  <r>
    <x v="0"/>
    <n v="1185732"/>
    <x v="100"/>
    <x v="4"/>
    <s v="Florida"/>
    <s v="Miami"/>
    <x v="2"/>
    <n v="32"/>
    <n v="217"/>
    <n v="6944"/>
    <n v="2430.3999999999996"/>
    <n v="0.35"/>
    <x v="2"/>
  </r>
  <r>
    <x v="0"/>
    <n v="1185732"/>
    <x v="101"/>
    <x v="4"/>
    <s v="Florida"/>
    <s v="Miami"/>
    <x v="3"/>
    <n v="36"/>
    <n v="175"/>
    <n v="6300"/>
    <n v="2520"/>
    <n v="0.4"/>
    <x v="2"/>
  </r>
  <r>
    <x v="0"/>
    <n v="1185732"/>
    <x v="102"/>
    <x v="4"/>
    <s v="Florida"/>
    <s v="Miami"/>
    <x v="4"/>
    <n v="53"/>
    <n v="182"/>
    <n v="9646"/>
    <n v="4437.16"/>
    <n v="0.45999999999999996"/>
    <x v="2"/>
  </r>
  <r>
    <x v="0"/>
    <n v="1185732"/>
    <x v="103"/>
    <x v="4"/>
    <s v="Florida"/>
    <s v="Miami"/>
    <x v="5"/>
    <n v="42"/>
    <n v="225"/>
    <n v="9450"/>
    <n v="6048"/>
    <n v="0.64"/>
    <x v="2"/>
  </r>
  <r>
    <x v="0"/>
    <n v="1185732"/>
    <x v="53"/>
    <x v="4"/>
    <s v="Florida"/>
    <s v="Miami"/>
    <x v="0"/>
    <n v="42"/>
    <n v="256"/>
    <n v="10752"/>
    <n v="6236.1600000000008"/>
    <n v="0.58000000000000007"/>
    <x v="2"/>
  </r>
  <r>
    <x v="0"/>
    <n v="1185732"/>
    <x v="53"/>
    <x v="4"/>
    <s v="Florida"/>
    <s v="Miami"/>
    <x v="1"/>
    <n v="41"/>
    <n v="210"/>
    <n v="8610"/>
    <n v="4305"/>
    <n v="0.5"/>
    <x v="2"/>
  </r>
  <r>
    <x v="3"/>
    <n v="1185732"/>
    <x v="53"/>
    <x v="4"/>
    <s v="Florida"/>
    <s v="Miami"/>
    <x v="2"/>
    <n v="32"/>
    <n v="203"/>
    <n v="6496"/>
    <n v="2598.4"/>
    <n v="0.4"/>
    <x v="2"/>
  </r>
  <r>
    <x v="3"/>
    <n v="1185732"/>
    <x v="53"/>
    <x v="4"/>
    <s v="Florida"/>
    <s v="Miami"/>
    <x v="3"/>
    <n v="38"/>
    <n v="189"/>
    <n v="7182"/>
    <n v="3231.8999999999996"/>
    <n v="0.44999999999999996"/>
    <x v="2"/>
  </r>
  <r>
    <x v="3"/>
    <n v="1185732"/>
    <x v="53"/>
    <x v="4"/>
    <s v="Florida"/>
    <s v="Miami"/>
    <x v="4"/>
    <n v="52"/>
    <n v="196"/>
    <n v="10192"/>
    <n v="4586.3999999999996"/>
    <n v="0.44999999999999996"/>
    <x v="2"/>
  </r>
  <r>
    <x v="3"/>
    <n v="1185732"/>
    <x v="53"/>
    <x v="4"/>
    <s v="Florida"/>
    <s v="Miami"/>
    <x v="5"/>
    <n v="44"/>
    <n v="208"/>
    <n v="9152"/>
    <n v="5491.2"/>
    <n v="0.6"/>
    <x v="2"/>
  </r>
  <r>
    <x v="3"/>
    <n v="1185732"/>
    <x v="53"/>
    <x v="4"/>
    <s v="Florida"/>
    <s v="Miami"/>
    <x v="0"/>
    <n v="52"/>
    <n v="300"/>
    <n v="15600"/>
    <n v="8736"/>
    <n v="0.56000000000000005"/>
    <x v="2"/>
  </r>
  <r>
    <x v="3"/>
    <n v="1185732"/>
    <x v="53"/>
    <x v="4"/>
    <s v="Florida"/>
    <s v="Miami"/>
    <x v="1"/>
    <n v="54"/>
    <n v="194"/>
    <n v="10476"/>
    <n v="5238"/>
    <n v="0.5"/>
    <x v="2"/>
  </r>
  <r>
    <x v="3"/>
    <n v="1185732"/>
    <x v="53"/>
    <x v="4"/>
    <s v="Florida"/>
    <s v="Miami"/>
    <x v="2"/>
    <n v="47"/>
    <n v="188"/>
    <n v="8836"/>
    <n v="3269.32"/>
    <n v="0.37"/>
    <x v="2"/>
  </r>
  <r>
    <x v="3"/>
    <n v="1185732"/>
    <x v="53"/>
    <x v="4"/>
    <s v="Florida"/>
    <s v="Miami"/>
    <x v="3"/>
    <n v="49"/>
    <n v="175"/>
    <n v="8575"/>
    <n v="3687.25"/>
    <n v="0.43"/>
    <x v="2"/>
  </r>
  <r>
    <x v="3"/>
    <n v="1185732"/>
    <x v="53"/>
    <x v="4"/>
    <s v="Florida"/>
    <s v="Miami"/>
    <x v="4"/>
    <n v="58"/>
    <n v="196"/>
    <n v="11368"/>
    <n v="5342.96"/>
    <n v="0.47"/>
    <x v="2"/>
  </r>
  <r>
    <x v="3"/>
    <n v="1185732"/>
    <x v="53"/>
    <x v="4"/>
    <s v="Florida"/>
    <s v="Miami"/>
    <x v="5"/>
    <n v="64"/>
    <n v="248"/>
    <n v="15872"/>
    <n v="10158.08"/>
    <n v="0.64"/>
    <x v="2"/>
  </r>
  <r>
    <x v="3"/>
    <n v="1185732"/>
    <x v="53"/>
    <x v="4"/>
    <s v="Florida"/>
    <s v="Miami"/>
    <x v="0"/>
    <n v="55"/>
    <n v="290"/>
    <n v="15950"/>
    <n v="9410.5000000000018"/>
    <n v="0.59000000000000008"/>
    <x v="2"/>
  </r>
  <r>
    <x v="3"/>
    <n v="1185732"/>
    <x v="53"/>
    <x v="4"/>
    <s v="Florida"/>
    <s v="Miami"/>
    <x v="1"/>
    <n v="54"/>
    <n v="206"/>
    <n v="11124"/>
    <n v="5450.76"/>
    <n v="0.49"/>
    <x v="2"/>
  </r>
  <r>
    <x v="3"/>
    <n v="1185732"/>
    <x v="118"/>
    <x v="4"/>
    <s v="Florida"/>
    <s v="Miami"/>
    <x v="2"/>
    <n v="49"/>
    <n v="208"/>
    <n v="10192"/>
    <n v="3567.2"/>
    <n v="0.35"/>
    <x v="2"/>
  </r>
  <r>
    <x v="3"/>
    <n v="1185732"/>
    <x v="119"/>
    <x v="4"/>
    <s v="Florida"/>
    <s v="Miami"/>
    <x v="3"/>
    <n v="47"/>
    <n v="217"/>
    <n v="10199"/>
    <n v="4079.6000000000004"/>
    <n v="0.4"/>
    <x v="2"/>
  </r>
  <r>
    <x v="3"/>
    <n v="1185732"/>
    <x v="120"/>
    <x v="4"/>
    <s v="Florida"/>
    <s v="Miami"/>
    <x v="4"/>
    <n v="62"/>
    <n v="233"/>
    <n v="14446"/>
    <n v="7078.54"/>
    <n v="0.49"/>
    <x v="2"/>
  </r>
  <r>
    <x v="3"/>
    <n v="1185732"/>
    <x v="121"/>
    <x v="4"/>
    <s v="Florida"/>
    <s v="Miami"/>
    <x v="5"/>
    <n v="63"/>
    <n v="259"/>
    <n v="16317"/>
    <n v="10606.050000000001"/>
    <n v="0.65"/>
    <x v="2"/>
  </r>
  <r>
    <x v="3"/>
    <n v="1185732"/>
    <x v="122"/>
    <x v="4"/>
    <s v="Florida"/>
    <s v="Miami"/>
    <x v="0"/>
    <n v="60"/>
    <n v="299"/>
    <n v="17940"/>
    <n v="10764"/>
    <n v="0.6"/>
    <x v="2"/>
  </r>
  <r>
    <x v="3"/>
    <n v="1185732"/>
    <x v="123"/>
    <x v="4"/>
    <s v="Florida"/>
    <s v="Miami"/>
    <x v="1"/>
    <n v="57"/>
    <n v="225"/>
    <n v="12825"/>
    <n v="5899.4999999999991"/>
    <n v="0.45999999999999996"/>
    <x v="2"/>
  </r>
  <r>
    <x v="3"/>
    <n v="1185732"/>
    <x v="124"/>
    <x v="4"/>
    <s v="Florida"/>
    <s v="Miami"/>
    <x v="2"/>
    <n v="50"/>
    <n v="215"/>
    <n v="10750"/>
    <n v="3977.5"/>
    <n v="0.37"/>
    <x v="2"/>
  </r>
  <r>
    <x v="3"/>
    <n v="1185732"/>
    <x v="125"/>
    <x v="4"/>
    <s v="Florida"/>
    <s v="Miami"/>
    <x v="3"/>
    <n v="53"/>
    <n v="233"/>
    <n v="12349"/>
    <n v="5310.07"/>
    <n v="0.43"/>
    <x v="2"/>
  </r>
  <r>
    <x v="3"/>
    <n v="1185732"/>
    <x v="126"/>
    <x v="4"/>
    <s v="Florida"/>
    <s v="Miami"/>
    <x v="4"/>
    <n v="61"/>
    <n v="208"/>
    <n v="12688"/>
    <n v="6217.12"/>
    <n v="0.49"/>
    <x v="2"/>
  </r>
  <r>
    <x v="3"/>
    <n v="1185732"/>
    <x v="127"/>
    <x v="4"/>
    <s v="Florida"/>
    <s v="Miami"/>
    <x v="5"/>
    <n v="67"/>
    <n v="244"/>
    <n v="16348"/>
    <n v="10626.2"/>
    <n v="0.65"/>
    <x v="2"/>
  </r>
  <r>
    <x v="3"/>
    <n v="1185732"/>
    <x v="630"/>
    <x v="4"/>
    <s v="Florida"/>
    <s v="Miami"/>
    <x v="0"/>
    <n v="60"/>
    <n v="304"/>
    <n v="18240"/>
    <n v="10396.800000000001"/>
    <n v="0.57000000000000006"/>
    <x v="2"/>
  </r>
  <r>
    <x v="3"/>
    <n v="1185732"/>
    <x v="631"/>
    <x v="4"/>
    <s v="Florida"/>
    <s v="Miami"/>
    <x v="1"/>
    <n v="55"/>
    <n v="252"/>
    <n v="13860"/>
    <n v="6236.9999999999991"/>
    <n v="0.44999999999999996"/>
    <x v="2"/>
  </r>
  <r>
    <x v="3"/>
    <n v="1185732"/>
    <x v="632"/>
    <x v="4"/>
    <s v="Florida"/>
    <s v="Miami"/>
    <x v="2"/>
    <n v="53"/>
    <n v="231"/>
    <n v="12243"/>
    <n v="4529.91"/>
    <n v="0.37"/>
    <x v="2"/>
  </r>
  <r>
    <x v="0"/>
    <n v="1185732"/>
    <x v="633"/>
    <x v="4"/>
    <s v="Florida"/>
    <s v="Miami"/>
    <x v="3"/>
    <n v="44"/>
    <n v="233"/>
    <n v="10252"/>
    <n v="4100.8"/>
    <n v="0.4"/>
    <x v="2"/>
  </r>
  <r>
    <x v="0"/>
    <n v="1185732"/>
    <x v="634"/>
    <x v="4"/>
    <s v="Florida"/>
    <s v="Miami"/>
    <x v="4"/>
    <n v="52"/>
    <n v="225"/>
    <n v="11700"/>
    <n v="5264.9999999999991"/>
    <n v="0.44999999999999996"/>
    <x v="2"/>
  </r>
  <r>
    <x v="0"/>
    <n v="1185732"/>
    <x v="635"/>
    <x v="4"/>
    <s v="Florida"/>
    <s v="Miami"/>
    <x v="5"/>
    <n v="56"/>
    <n v="278"/>
    <n v="15568"/>
    <n v="9496.48"/>
    <n v="0.61"/>
    <x v="2"/>
  </r>
  <r>
    <x v="0"/>
    <n v="1185732"/>
    <x v="636"/>
    <x v="4"/>
    <s v="Florida"/>
    <s v="Miami"/>
    <x v="0"/>
    <n v="53"/>
    <n v="284"/>
    <n v="15052"/>
    <n v="8278.6"/>
    <n v="0.55000000000000004"/>
    <x v="2"/>
  </r>
  <r>
    <x v="0"/>
    <n v="1185732"/>
    <x v="637"/>
    <x v="4"/>
    <s v="Florida"/>
    <s v="Miami"/>
    <x v="1"/>
    <n v="46"/>
    <n v="255"/>
    <n v="11730"/>
    <n v="5278.4999999999991"/>
    <n v="0.44999999999999996"/>
    <x v="2"/>
  </r>
  <r>
    <x v="2"/>
    <n v="1185732"/>
    <x v="638"/>
    <x v="4"/>
    <s v="Florida"/>
    <s v="Miami"/>
    <x v="2"/>
    <n v="41"/>
    <n v="225"/>
    <n v="9225"/>
    <n v="3413.25"/>
    <n v="0.37"/>
    <x v="2"/>
  </r>
  <r>
    <x v="2"/>
    <n v="1185732"/>
    <x v="639"/>
    <x v="4"/>
    <s v="Florida"/>
    <s v="Miami"/>
    <x v="3"/>
    <n v="42"/>
    <n v="210"/>
    <n v="8820"/>
    <n v="3792.6"/>
    <n v="0.43"/>
    <x v="2"/>
  </r>
  <r>
    <x v="2"/>
    <n v="1185732"/>
    <x v="640"/>
    <x v="4"/>
    <s v="Florida"/>
    <s v="Miami"/>
    <x v="4"/>
    <n v="50"/>
    <n v="210"/>
    <n v="10500"/>
    <n v="5250"/>
    <n v="0.5"/>
    <x v="2"/>
  </r>
  <r>
    <x v="2"/>
    <n v="1185732"/>
    <x v="641"/>
    <x v="4"/>
    <s v="Florida"/>
    <s v="Miami"/>
    <x v="5"/>
    <n v="55"/>
    <n v="223"/>
    <n v="12265"/>
    <n v="7726.95"/>
    <n v="0.63"/>
    <x v="2"/>
  </r>
  <r>
    <x v="2"/>
    <n v="1185732"/>
    <x v="642"/>
    <x v="4"/>
    <s v="Florida"/>
    <s v="Miami"/>
    <x v="0"/>
    <n v="56"/>
    <n v="270"/>
    <n v="15120"/>
    <n v="9072"/>
    <n v="0.6"/>
    <x v="2"/>
  </r>
  <r>
    <x v="2"/>
    <n v="1185732"/>
    <x v="643"/>
    <x v="4"/>
    <s v="Florida"/>
    <s v="Miami"/>
    <x v="1"/>
    <n v="47"/>
    <n v="215"/>
    <n v="10105"/>
    <n v="4547.25"/>
    <n v="0.44999999999999996"/>
    <x v="2"/>
  </r>
  <r>
    <x v="2"/>
    <n v="1185732"/>
    <x v="644"/>
    <x v="4"/>
    <s v="Florida"/>
    <s v="Miami"/>
    <x v="2"/>
    <n v="47"/>
    <n v="203"/>
    <n v="9541"/>
    <n v="3720.9900000000002"/>
    <n v="0.39"/>
    <x v="2"/>
  </r>
  <r>
    <x v="2"/>
    <n v="1185732"/>
    <x v="645"/>
    <x v="4"/>
    <s v="Florida"/>
    <s v="Miami"/>
    <x v="3"/>
    <n v="45"/>
    <n v="182"/>
    <n v="8190"/>
    <n v="3603.6"/>
    <n v="0.44"/>
    <x v="2"/>
  </r>
  <r>
    <x v="2"/>
    <n v="1185732"/>
    <x v="646"/>
    <x v="4"/>
    <s v="Florida"/>
    <s v="Miami"/>
    <x v="4"/>
    <n v="57"/>
    <n v="189"/>
    <n v="10773"/>
    <n v="5386.5"/>
    <n v="0.5"/>
    <x v="2"/>
  </r>
  <r>
    <x v="2"/>
    <n v="1185732"/>
    <x v="647"/>
    <x v="4"/>
    <s v="Florida"/>
    <s v="Miami"/>
    <x v="5"/>
    <n v="59"/>
    <n v="223"/>
    <n v="13157"/>
    <n v="8552.0500000000011"/>
    <n v="0.65"/>
    <x v="2"/>
  </r>
  <r>
    <x v="2"/>
    <n v="1185732"/>
    <x v="648"/>
    <x v="4"/>
    <s v="Florida"/>
    <s v="Miami"/>
    <x v="0"/>
    <n v="56"/>
    <n v="244"/>
    <n v="13664"/>
    <n v="7925.1200000000008"/>
    <n v="0.58000000000000007"/>
    <x v="2"/>
  </r>
  <r>
    <x v="2"/>
    <n v="1185732"/>
    <x v="649"/>
    <x v="4"/>
    <s v="Florida"/>
    <s v="Miami"/>
    <x v="1"/>
    <n v="49"/>
    <n v="224"/>
    <n v="10976"/>
    <n v="5268.48"/>
    <n v="0.48"/>
    <x v="2"/>
  </r>
  <r>
    <x v="2"/>
    <n v="1185732"/>
    <x v="650"/>
    <x v="4"/>
    <s v="Florida"/>
    <s v="Miami"/>
    <x v="2"/>
    <n v="46"/>
    <n v="224"/>
    <n v="10304"/>
    <n v="3812.48"/>
    <n v="0.37"/>
    <x v="2"/>
  </r>
  <r>
    <x v="2"/>
    <n v="1185732"/>
    <x v="651"/>
    <x v="4"/>
    <s v="Florida"/>
    <s v="Miami"/>
    <x v="3"/>
    <n v="49"/>
    <n v="202"/>
    <n v="9898"/>
    <n v="4355.12"/>
    <n v="0.44"/>
    <x v="2"/>
  </r>
  <r>
    <x v="2"/>
    <n v="1185732"/>
    <x v="652"/>
    <x v="4"/>
    <s v="Florida"/>
    <s v="Miami"/>
    <x v="4"/>
    <n v="64"/>
    <n v="195"/>
    <n v="12480"/>
    <n v="6240"/>
    <n v="0.5"/>
    <x v="2"/>
  </r>
  <r>
    <x v="2"/>
    <n v="1185732"/>
    <x v="653"/>
    <x v="4"/>
    <s v="Florida"/>
    <s v="Miami"/>
    <x v="5"/>
    <n v="64"/>
    <n v="213"/>
    <n v="13632"/>
    <n v="8179.2"/>
    <n v="0.6"/>
    <x v="2"/>
  </r>
  <r>
    <x v="2"/>
    <n v="1185732"/>
    <x v="575"/>
    <x v="4"/>
    <s v="Florida"/>
    <s v="Miami"/>
    <x v="0"/>
    <n v="63"/>
    <n v="323"/>
    <n v="20349"/>
    <n v="11395.44"/>
    <n v="0.56000000000000005"/>
    <x v="2"/>
  </r>
  <r>
    <x v="2"/>
    <n v="1185732"/>
    <x v="575"/>
    <x v="4"/>
    <s v="Florida"/>
    <s v="Miami"/>
    <x v="1"/>
    <n v="51"/>
    <n v="254"/>
    <n v="12954"/>
    <n v="6088.38"/>
    <n v="0.47"/>
    <x v="2"/>
  </r>
  <r>
    <x v="2"/>
    <n v="1185732"/>
    <x v="575"/>
    <x v="4"/>
    <s v="Florida"/>
    <s v="Miami"/>
    <x v="2"/>
    <n v="52"/>
    <n v="248"/>
    <n v="12896"/>
    <n v="4771.5199999999995"/>
    <n v="0.37"/>
    <x v="2"/>
  </r>
  <r>
    <x v="2"/>
    <n v="1185732"/>
    <x v="575"/>
    <x v="4"/>
    <s v="Florida"/>
    <s v="Miami"/>
    <x v="3"/>
    <n v="54"/>
    <n v="209"/>
    <n v="11286"/>
    <n v="4852.9799999999996"/>
    <n v="0.43"/>
    <x v="2"/>
  </r>
  <r>
    <x v="0"/>
    <n v="1185732"/>
    <x v="575"/>
    <x v="4"/>
    <s v="Florida"/>
    <s v="Miami"/>
    <x v="4"/>
    <n v="60"/>
    <n v="202"/>
    <n v="12120"/>
    <n v="5938.8"/>
    <n v="0.49"/>
    <x v="2"/>
  </r>
  <r>
    <x v="0"/>
    <n v="1185732"/>
    <x v="575"/>
    <x v="4"/>
    <s v="Florida"/>
    <s v="Miami"/>
    <x v="5"/>
    <n v="64"/>
    <n v="219"/>
    <n v="14016"/>
    <n v="8830.08"/>
    <n v="0.63"/>
    <x v="2"/>
  </r>
  <r>
    <x v="0"/>
    <n v="1185732"/>
    <x v="654"/>
    <x v="4"/>
    <s v="Florida"/>
    <s v="Miami"/>
    <x v="0"/>
    <n v="33"/>
    <n v="131"/>
    <n v="4323"/>
    <n v="1945.3500000000004"/>
    <n v="0.45000000000000007"/>
    <x v="2"/>
  </r>
  <r>
    <x v="0"/>
    <n v="1185732"/>
    <x v="655"/>
    <x v="4"/>
    <s v="Florida"/>
    <s v="Miami"/>
    <x v="1"/>
    <n v="33"/>
    <n v="65"/>
    <n v="2145"/>
    <n v="858"/>
    <n v="0.4"/>
    <x v="2"/>
  </r>
  <r>
    <x v="0"/>
    <n v="1185732"/>
    <x v="656"/>
    <x v="4"/>
    <s v="Florida"/>
    <s v="Miami"/>
    <x v="2"/>
    <n v="24"/>
    <n v="63"/>
    <n v="1512"/>
    <n v="665.28"/>
    <n v="0.44"/>
    <x v="2"/>
  </r>
  <r>
    <x v="0"/>
    <n v="1185732"/>
    <x v="128"/>
    <x v="4"/>
    <s v="Florida"/>
    <s v="Miami"/>
    <x v="3"/>
    <n v="29"/>
    <n v="26"/>
    <n v="754"/>
    <n v="339.30000000000007"/>
    <n v="0.45000000000000007"/>
    <x v="2"/>
  </r>
  <r>
    <x v="0"/>
    <n v="1185732"/>
    <x v="129"/>
    <x v="3"/>
    <s v="Minnesota"/>
    <s v="Minneapolis"/>
    <x v="4"/>
    <n v="43"/>
    <n v="39"/>
    <n v="1677"/>
    <n v="754.65"/>
    <n v="0.44999999999999996"/>
    <x v="2"/>
  </r>
  <r>
    <x v="0"/>
    <n v="1185732"/>
    <x v="130"/>
    <x v="3"/>
    <s v="Minnesota"/>
    <s v="Minneapolis"/>
    <x v="5"/>
    <n v="32"/>
    <n v="65"/>
    <n v="2080"/>
    <n v="1164.8000000000002"/>
    <n v="0.56000000000000005"/>
    <x v="2"/>
  </r>
  <r>
    <x v="0"/>
    <n v="1185732"/>
    <x v="131"/>
    <x v="3"/>
    <s v="Minnesota"/>
    <s v="Minneapolis"/>
    <x v="0"/>
    <n v="32"/>
    <n v="135"/>
    <n v="4320"/>
    <n v="1944.0000000000002"/>
    <n v="0.45000000000000007"/>
    <x v="2"/>
  </r>
  <r>
    <x v="0"/>
    <n v="1185732"/>
    <x v="132"/>
    <x v="3"/>
    <s v="Minnesota"/>
    <s v="Minneapolis"/>
    <x v="1"/>
    <n v="34"/>
    <n v="38"/>
    <n v="1292"/>
    <n v="581.4"/>
    <n v="0.44999999999999996"/>
    <x v="2"/>
  </r>
  <r>
    <x v="0"/>
    <n v="1185732"/>
    <x v="133"/>
    <x v="3"/>
    <s v="Minnesota"/>
    <s v="Minneapolis"/>
    <x v="2"/>
    <n v="25"/>
    <n v="56"/>
    <n v="1400"/>
    <n v="588"/>
    <n v="0.42"/>
    <x v="2"/>
  </r>
  <r>
    <x v="0"/>
    <n v="1185732"/>
    <x v="134"/>
    <x v="3"/>
    <s v="Minnesota"/>
    <s v="Minneapolis"/>
    <x v="3"/>
    <n v="27"/>
    <n v="20"/>
    <n v="540"/>
    <n v="253.8"/>
    <n v="0.47000000000000003"/>
    <x v="2"/>
  </r>
  <r>
    <x v="0"/>
    <n v="1185732"/>
    <x v="135"/>
    <x v="3"/>
    <s v="Minnesota"/>
    <s v="Minneapolis"/>
    <x v="4"/>
    <n v="41"/>
    <n v="44"/>
    <n v="1804"/>
    <n v="739.64"/>
    <n v="0.41"/>
    <x v="2"/>
  </r>
  <r>
    <x v="0"/>
    <n v="1185732"/>
    <x v="136"/>
    <x v="3"/>
    <s v="Minnesota"/>
    <s v="Minneapolis"/>
    <x v="5"/>
    <n v="34"/>
    <n v="65"/>
    <n v="2210"/>
    <n v="1215.5"/>
    <n v="0.55000000000000004"/>
    <x v="2"/>
  </r>
  <r>
    <x v="0"/>
    <n v="1185732"/>
    <x v="137"/>
    <x v="3"/>
    <s v="Minnesota"/>
    <s v="Minneapolis"/>
    <x v="0"/>
    <n v="39"/>
    <n v="116"/>
    <n v="4524"/>
    <n v="2262"/>
    <n v="0.5"/>
    <x v="2"/>
  </r>
  <r>
    <x v="0"/>
    <n v="1185732"/>
    <x v="138"/>
    <x v="3"/>
    <s v="Minnesota"/>
    <s v="Minneapolis"/>
    <x v="1"/>
    <n v="38"/>
    <n v="35"/>
    <n v="1330"/>
    <n v="532"/>
    <n v="0.4"/>
    <x v="2"/>
  </r>
  <r>
    <x v="0"/>
    <n v="1185732"/>
    <x v="139"/>
    <x v="3"/>
    <s v="Minnesota"/>
    <s v="Minneapolis"/>
    <x v="2"/>
    <n v="29"/>
    <n v="53"/>
    <n v="1537"/>
    <n v="691.65"/>
    <n v="0.44999999999999996"/>
    <x v="2"/>
  </r>
  <r>
    <x v="0"/>
    <n v="1185732"/>
    <x v="140"/>
    <x v="3"/>
    <s v="Minnesota"/>
    <s v="Minneapolis"/>
    <x v="3"/>
    <n v="32"/>
    <n v="7"/>
    <n v="224"/>
    <n v="112"/>
    <n v="0.5"/>
    <x v="2"/>
  </r>
  <r>
    <x v="0"/>
    <n v="1185732"/>
    <x v="141"/>
    <x v="3"/>
    <s v="Minnesota"/>
    <s v="Minneapolis"/>
    <x v="4"/>
    <n v="47"/>
    <n v="19"/>
    <n v="893"/>
    <n v="375.06"/>
    <n v="0.42"/>
    <x v="2"/>
  </r>
  <r>
    <x v="0"/>
    <n v="1185732"/>
    <x v="142"/>
    <x v="3"/>
    <s v="Minnesota"/>
    <s v="Minneapolis"/>
    <x v="5"/>
    <n v="38"/>
    <n v="47"/>
    <n v="1786"/>
    <n v="982.30000000000007"/>
    <n v="0.55000000000000004"/>
    <x v="2"/>
  </r>
  <r>
    <x v="0"/>
    <n v="1185732"/>
    <x v="143"/>
    <x v="3"/>
    <s v="Minnesota"/>
    <s v="Minneapolis"/>
    <x v="0"/>
    <n v="36"/>
    <n v="120"/>
    <n v="4320"/>
    <n v="2030.4"/>
    <n v="0.47000000000000003"/>
    <x v="2"/>
  </r>
  <r>
    <x v="0"/>
    <n v="1185732"/>
    <x v="144"/>
    <x v="3"/>
    <s v="Minnesota"/>
    <s v="Minneapolis"/>
    <x v="1"/>
    <n v="38"/>
    <n v="28"/>
    <n v="1064"/>
    <n v="446.88"/>
    <n v="0.42"/>
    <x v="2"/>
  </r>
  <r>
    <x v="0"/>
    <n v="1185732"/>
    <x v="145"/>
    <x v="3"/>
    <s v="Minnesota"/>
    <s v="Minneapolis"/>
    <x v="2"/>
    <n v="29"/>
    <n v="26"/>
    <n v="754"/>
    <n v="331.76"/>
    <n v="0.44"/>
    <x v="2"/>
  </r>
  <r>
    <x v="0"/>
    <n v="1185732"/>
    <x v="146"/>
    <x v="3"/>
    <s v="Minnesota"/>
    <s v="Minneapolis"/>
    <x v="3"/>
    <n v="32"/>
    <n v="7"/>
    <n v="224"/>
    <n v="112"/>
    <n v="0.5"/>
    <x v="2"/>
  </r>
  <r>
    <x v="0"/>
    <n v="1185732"/>
    <x v="147"/>
    <x v="3"/>
    <s v="Minnesota"/>
    <s v="Minneapolis"/>
    <x v="4"/>
    <n v="47"/>
    <n v="14"/>
    <n v="658"/>
    <n v="263.2"/>
    <n v="0.4"/>
    <x v="2"/>
  </r>
  <r>
    <x v="0"/>
    <n v="1185732"/>
    <x v="148"/>
    <x v="3"/>
    <s v="Minnesota"/>
    <s v="Minneapolis"/>
    <x v="5"/>
    <n v="36"/>
    <n v="53"/>
    <n v="1908"/>
    <n v="1144.8"/>
    <n v="0.6"/>
    <x v="2"/>
  </r>
  <r>
    <x v="0"/>
    <n v="1185732"/>
    <x v="149"/>
    <x v="3"/>
    <s v="Minnesota"/>
    <s v="Minneapolis"/>
    <x v="0"/>
    <n v="48"/>
    <n v="116"/>
    <n v="5568"/>
    <n v="2616.96"/>
    <n v="0.47000000000000003"/>
    <x v="2"/>
  </r>
  <r>
    <x v="0"/>
    <n v="1185732"/>
    <x v="150"/>
    <x v="3"/>
    <s v="Minnesota"/>
    <s v="Minneapolis"/>
    <x v="1"/>
    <n v="44"/>
    <n v="44"/>
    <n v="1936"/>
    <n v="793.76"/>
    <n v="0.41"/>
    <x v="2"/>
  </r>
  <r>
    <x v="0"/>
    <n v="1185732"/>
    <x v="151"/>
    <x v="3"/>
    <s v="Minnesota"/>
    <s v="Minneapolis"/>
    <x v="2"/>
    <n v="37"/>
    <n v="38"/>
    <n v="1406"/>
    <n v="618.64"/>
    <n v="0.44"/>
    <x v="2"/>
  </r>
  <r>
    <x v="0"/>
    <n v="1185732"/>
    <x v="152"/>
    <x v="3"/>
    <s v="Minnesota"/>
    <s v="Minneapolis"/>
    <x v="3"/>
    <n v="36"/>
    <n v="13"/>
    <n v="468"/>
    <n v="229.32000000000002"/>
    <n v="0.49000000000000005"/>
    <x v="2"/>
  </r>
  <r>
    <x v="0"/>
    <n v="1185732"/>
    <x v="153"/>
    <x v="3"/>
    <s v="Minnesota"/>
    <s v="Minneapolis"/>
    <x v="4"/>
    <n v="50"/>
    <n v="20"/>
    <n v="1000"/>
    <n v="410"/>
    <n v="0.41"/>
    <x v="2"/>
  </r>
  <r>
    <x v="0"/>
    <n v="1185732"/>
    <x v="154"/>
    <x v="3"/>
    <s v="Minnesota"/>
    <s v="Minneapolis"/>
    <x v="5"/>
    <n v="58"/>
    <n v="51"/>
    <n v="2958"/>
    <n v="1745.2200000000003"/>
    <n v="0.59000000000000008"/>
    <x v="2"/>
  </r>
  <r>
    <x v="0"/>
    <n v="1185732"/>
    <x v="657"/>
    <x v="3"/>
    <s v="Minnesota"/>
    <s v="Minneapolis"/>
    <x v="0"/>
    <n v="44"/>
    <n v="106"/>
    <n v="4664"/>
    <n v="2285.36"/>
    <n v="0.49000000000000005"/>
    <x v="2"/>
  </r>
  <r>
    <x v="0"/>
    <n v="1185732"/>
    <x v="658"/>
    <x v="3"/>
    <s v="Minnesota"/>
    <s v="Minneapolis"/>
    <x v="1"/>
    <n v="38"/>
    <n v="49"/>
    <n v="1862"/>
    <n v="763.42"/>
    <n v="0.41"/>
    <x v="2"/>
  </r>
  <r>
    <x v="0"/>
    <n v="1185732"/>
    <x v="659"/>
    <x v="3"/>
    <s v="Minnesota"/>
    <s v="Minneapolis"/>
    <x v="2"/>
    <n v="33"/>
    <n v="47"/>
    <n v="1551"/>
    <n v="697.94999999999993"/>
    <n v="0.44999999999999996"/>
    <x v="2"/>
  </r>
  <r>
    <x v="0"/>
    <n v="1185732"/>
    <x v="660"/>
    <x v="3"/>
    <s v="Minnesota"/>
    <s v="Minneapolis"/>
    <x v="3"/>
    <n v="32"/>
    <n v="45"/>
    <n v="1440"/>
    <n v="676.80000000000007"/>
    <n v="0.47000000000000003"/>
    <x v="2"/>
  </r>
  <r>
    <x v="0"/>
    <n v="1185732"/>
    <x v="661"/>
    <x v="3"/>
    <s v="Minnesota"/>
    <s v="Minneapolis"/>
    <x v="4"/>
    <n v="49"/>
    <n v="45"/>
    <n v="2205"/>
    <n v="926.09999999999991"/>
    <n v="0.42"/>
    <x v="2"/>
  </r>
  <r>
    <x v="0"/>
    <n v="1185732"/>
    <x v="662"/>
    <x v="3"/>
    <s v="Minnesota"/>
    <s v="Minneapolis"/>
    <x v="5"/>
    <n v="53"/>
    <n v="81"/>
    <n v="4293"/>
    <n v="2404.0800000000004"/>
    <n v="0.56000000000000005"/>
    <x v="2"/>
  </r>
  <r>
    <x v="0"/>
    <n v="1185732"/>
    <x v="663"/>
    <x v="3"/>
    <s v="Minnesota"/>
    <s v="Minneapolis"/>
    <x v="0"/>
    <n v="49"/>
    <n v="160"/>
    <n v="7840"/>
    <n v="3684.8"/>
    <n v="0.47000000000000003"/>
    <x v="2"/>
  </r>
  <r>
    <x v="0"/>
    <n v="1185732"/>
    <x v="664"/>
    <x v="3"/>
    <s v="Minnesota"/>
    <s v="Minneapolis"/>
    <x v="1"/>
    <n v="42"/>
    <n v="75"/>
    <n v="3150"/>
    <n v="1417.4999999999998"/>
    <n v="0.44999999999999996"/>
    <x v="2"/>
  </r>
  <r>
    <x v="0"/>
    <n v="1185732"/>
    <x v="665"/>
    <x v="3"/>
    <s v="Minnesota"/>
    <s v="Minneapolis"/>
    <x v="2"/>
    <n v="36"/>
    <n v="63"/>
    <n v="2268"/>
    <n v="952.56"/>
    <n v="0.42"/>
    <x v="2"/>
  </r>
  <r>
    <x v="0"/>
    <n v="1185732"/>
    <x v="666"/>
    <x v="3"/>
    <s v="Minnesota"/>
    <s v="Minneapolis"/>
    <x v="3"/>
    <n v="38"/>
    <n v="51"/>
    <n v="1938"/>
    <n v="930.24000000000012"/>
    <n v="0.48000000000000004"/>
    <x v="2"/>
  </r>
  <r>
    <x v="0"/>
    <n v="1185732"/>
    <x v="667"/>
    <x v="3"/>
    <s v="Minnesota"/>
    <s v="Minneapolis"/>
    <x v="4"/>
    <n v="49"/>
    <n v="58"/>
    <n v="2842"/>
    <n v="1165.22"/>
    <n v="0.41"/>
    <x v="2"/>
  </r>
  <r>
    <x v="0"/>
    <n v="1185732"/>
    <x v="668"/>
    <x v="3"/>
    <s v="Minnesota"/>
    <s v="Minneapolis"/>
    <x v="5"/>
    <n v="54"/>
    <n v="98"/>
    <n v="5292"/>
    <n v="2910.6000000000004"/>
    <n v="0.55000000000000004"/>
    <x v="2"/>
  </r>
  <r>
    <x v="0"/>
    <n v="1185732"/>
    <x v="669"/>
    <x v="3"/>
    <s v="Minnesota"/>
    <s v="Minneapolis"/>
    <x v="0"/>
    <n v="47"/>
    <n v="137"/>
    <n v="6439"/>
    <n v="3026.3300000000004"/>
    <n v="0.47000000000000003"/>
    <x v="2"/>
  </r>
  <r>
    <x v="0"/>
    <n v="1185732"/>
    <x v="670"/>
    <x v="3"/>
    <s v="Minnesota"/>
    <s v="Minneapolis"/>
    <x v="1"/>
    <n v="43"/>
    <n v="87"/>
    <n v="3741"/>
    <n v="1533.81"/>
    <n v="0.41"/>
    <x v="2"/>
  </r>
  <r>
    <x v="0"/>
    <n v="1185732"/>
    <x v="671"/>
    <x v="3"/>
    <s v="Minnesota"/>
    <s v="Minneapolis"/>
    <x v="2"/>
    <n v="37"/>
    <n v="68"/>
    <n v="2516"/>
    <n v="1006.4000000000001"/>
    <n v="0.4"/>
    <x v="2"/>
  </r>
  <r>
    <x v="0"/>
    <n v="1185732"/>
    <x v="672"/>
    <x v="3"/>
    <s v="Minnesota"/>
    <s v="Minneapolis"/>
    <x v="3"/>
    <n v="33"/>
    <n v="47"/>
    <n v="1551"/>
    <n v="759.99000000000012"/>
    <n v="0.49000000000000005"/>
    <x v="2"/>
  </r>
  <r>
    <x v="0"/>
    <n v="1185732"/>
    <x v="673"/>
    <x v="3"/>
    <s v="Minnesota"/>
    <s v="Minneapolis"/>
    <x v="4"/>
    <n v="42"/>
    <n v="42"/>
    <n v="1764"/>
    <n v="723.24"/>
    <n v="0.41"/>
    <x v="2"/>
  </r>
  <r>
    <x v="0"/>
    <n v="1185732"/>
    <x v="674"/>
    <x v="3"/>
    <s v="Minnesota"/>
    <s v="Minneapolis"/>
    <x v="5"/>
    <n v="46"/>
    <n v="88"/>
    <n v="4048"/>
    <n v="2307.36"/>
    <n v="0.57000000000000006"/>
    <x v="2"/>
  </r>
  <r>
    <x v="0"/>
    <n v="1185732"/>
    <x v="675"/>
    <x v="3"/>
    <s v="Minnesota"/>
    <s v="Minneapolis"/>
    <x v="0"/>
    <n v="43"/>
    <n v="113"/>
    <n v="4859"/>
    <n v="2332.3200000000002"/>
    <n v="0.48000000000000004"/>
    <x v="2"/>
  </r>
  <r>
    <x v="0"/>
    <n v="1185732"/>
    <x v="676"/>
    <x v="3"/>
    <s v="Minnesota"/>
    <s v="Minneapolis"/>
    <x v="1"/>
    <n v="37"/>
    <n v="73"/>
    <n v="2701"/>
    <n v="1215.4499999999998"/>
    <n v="0.44999999999999996"/>
    <x v="2"/>
  </r>
  <r>
    <x v="0"/>
    <n v="1185732"/>
    <x v="677"/>
    <x v="3"/>
    <s v="Minnesota"/>
    <s v="Minneapolis"/>
    <x v="2"/>
    <n v="24"/>
    <n v="41"/>
    <n v="984"/>
    <n v="393.6"/>
    <n v="0.4"/>
    <x v="2"/>
  </r>
  <r>
    <x v="0"/>
    <n v="1185732"/>
    <x v="678"/>
    <x v="3"/>
    <s v="Minnesota"/>
    <s v="Minneapolis"/>
    <x v="3"/>
    <n v="24"/>
    <n v="31"/>
    <n v="744"/>
    <n v="342.24"/>
    <n v="0.46"/>
    <x v="2"/>
  </r>
  <r>
    <x v="0"/>
    <n v="1185732"/>
    <x v="679"/>
    <x v="3"/>
    <s v="Minnesota"/>
    <s v="Minneapolis"/>
    <x v="4"/>
    <n v="32"/>
    <n v="34"/>
    <n v="1088"/>
    <n v="478.72"/>
    <n v="0.44"/>
    <x v="2"/>
  </r>
  <r>
    <x v="0"/>
    <n v="1185732"/>
    <x v="680"/>
    <x v="3"/>
    <s v="Minnesota"/>
    <s v="Minneapolis"/>
    <x v="5"/>
    <n v="39"/>
    <n v="52"/>
    <n v="2028"/>
    <n v="1155.96"/>
    <n v="0.57000000000000006"/>
    <x v="2"/>
  </r>
  <r>
    <x v="0"/>
    <n v="1185732"/>
    <x v="681"/>
    <x v="3"/>
    <s v="Minnesota"/>
    <s v="Minneapolis"/>
    <x v="0"/>
    <n v="41"/>
    <n v="98"/>
    <n v="4018"/>
    <n v="1888.46"/>
    <n v="0.47000000000000003"/>
    <x v="2"/>
  </r>
  <r>
    <x v="0"/>
    <n v="1185732"/>
    <x v="682"/>
    <x v="3"/>
    <s v="Minnesota"/>
    <s v="Minneapolis"/>
    <x v="1"/>
    <n v="34"/>
    <n v="58"/>
    <n v="1972"/>
    <n v="847.96"/>
    <n v="0.43"/>
    <x v="2"/>
  </r>
  <r>
    <x v="0"/>
    <n v="1185732"/>
    <x v="683"/>
    <x v="3"/>
    <s v="Minnesota"/>
    <s v="Minneapolis"/>
    <x v="2"/>
    <n v="32"/>
    <n v="25"/>
    <n v="800"/>
    <n v="336"/>
    <n v="0.42"/>
    <x v="2"/>
  </r>
  <r>
    <x v="0"/>
    <n v="1185732"/>
    <x v="684"/>
    <x v="3"/>
    <s v="Minnesota"/>
    <s v="Minneapolis"/>
    <x v="3"/>
    <n v="32"/>
    <n v="21"/>
    <n v="672"/>
    <n v="309.12"/>
    <n v="0.46"/>
    <x v="2"/>
  </r>
  <r>
    <x v="0"/>
    <n v="1185732"/>
    <x v="685"/>
    <x v="3"/>
    <s v="Minnesota"/>
    <s v="Minneapolis"/>
    <x v="4"/>
    <n v="41"/>
    <n v="19"/>
    <n v="779"/>
    <n v="327.18"/>
    <n v="0.42"/>
    <x v="2"/>
  </r>
  <r>
    <x v="0"/>
    <n v="1185732"/>
    <x v="686"/>
    <x v="3"/>
    <s v="Minnesota"/>
    <s v="Minneapolis"/>
    <x v="5"/>
    <n v="49"/>
    <n v="60"/>
    <n v="2940"/>
    <n v="1764"/>
    <n v="0.6"/>
    <x v="2"/>
  </r>
  <r>
    <x v="0"/>
    <n v="1185732"/>
    <x v="687"/>
    <x v="3"/>
    <s v="Minnesota"/>
    <s v="Minneapolis"/>
    <x v="0"/>
    <n v="46"/>
    <n v="91"/>
    <n v="4186"/>
    <n v="1967.42"/>
    <n v="0.47000000000000003"/>
    <x v="2"/>
  </r>
  <r>
    <x v="0"/>
    <n v="1185732"/>
    <x v="688"/>
    <x v="3"/>
    <s v="Minnesota"/>
    <s v="Minneapolis"/>
    <x v="1"/>
    <n v="38"/>
    <n v="52"/>
    <n v="1976"/>
    <n v="790.40000000000009"/>
    <n v="0.4"/>
    <x v="2"/>
  </r>
  <r>
    <x v="0"/>
    <n v="1185732"/>
    <x v="689"/>
    <x v="3"/>
    <s v="Minnesota"/>
    <s v="Minneapolis"/>
    <x v="2"/>
    <n v="36"/>
    <n v="38"/>
    <n v="1368"/>
    <n v="547.20000000000005"/>
    <n v="0.4"/>
    <x v="2"/>
  </r>
  <r>
    <x v="0"/>
    <n v="1185732"/>
    <x v="690"/>
    <x v="3"/>
    <s v="Minnesota"/>
    <s v="Minneapolis"/>
    <x v="3"/>
    <n v="38"/>
    <n v="45"/>
    <n v="1710"/>
    <n v="837.90000000000009"/>
    <n v="0.49000000000000005"/>
    <x v="2"/>
  </r>
  <r>
    <x v="0"/>
    <n v="1185732"/>
    <x v="691"/>
    <x v="3"/>
    <s v="Minnesota"/>
    <s v="Minneapolis"/>
    <x v="4"/>
    <n v="52"/>
    <n v="34"/>
    <n v="1768"/>
    <n v="742.56"/>
    <n v="0.42"/>
    <x v="2"/>
  </r>
  <r>
    <x v="0"/>
    <n v="1185732"/>
    <x v="692"/>
    <x v="3"/>
    <s v="Minnesota"/>
    <s v="Minneapolis"/>
    <x v="5"/>
    <n v="59"/>
    <n v="61"/>
    <n v="3599"/>
    <n v="2159.4"/>
    <n v="0.6"/>
    <x v="2"/>
  </r>
  <r>
    <x v="0"/>
    <n v="1185732"/>
    <x v="155"/>
    <x v="3"/>
    <s v="Minnesota"/>
    <s v="Minneapolis"/>
    <x v="0"/>
    <n v="50"/>
    <n v="124"/>
    <n v="6200"/>
    <n v="3100"/>
    <n v="0.5"/>
    <x v="2"/>
  </r>
  <r>
    <x v="0"/>
    <n v="1185732"/>
    <x v="156"/>
    <x v="3"/>
    <s v="Minnesota"/>
    <s v="Minneapolis"/>
    <x v="1"/>
    <n v="42"/>
    <n v="77"/>
    <n v="3234"/>
    <n v="1455.3"/>
    <n v="0.44999999999999996"/>
    <x v="2"/>
  </r>
  <r>
    <x v="0"/>
    <n v="1185732"/>
    <x v="157"/>
    <x v="3"/>
    <s v="Minnesota"/>
    <s v="Minneapolis"/>
    <x v="2"/>
    <n v="44"/>
    <n v="56"/>
    <n v="2464"/>
    <n v="1010.2399999999999"/>
    <n v="0.41"/>
    <x v="2"/>
  </r>
  <r>
    <x v="0"/>
    <n v="1185732"/>
    <x v="158"/>
    <x v="3"/>
    <s v="Minnesota"/>
    <s v="Minneapolis"/>
    <x v="3"/>
    <n v="44"/>
    <n v="49"/>
    <n v="2156"/>
    <n v="1056.44"/>
    <n v="0.49000000000000005"/>
    <x v="2"/>
  </r>
  <r>
    <x v="0"/>
    <n v="1185732"/>
    <x v="159"/>
    <x v="3"/>
    <s v="Minnesota"/>
    <s v="Minneapolis"/>
    <x v="4"/>
    <n v="54"/>
    <n v="44"/>
    <n v="2376"/>
    <n v="974.16"/>
    <n v="0.41"/>
    <x v="2"/>
  </r>
  <r>
    <x v="0"/>
    <n v="1185732"/>
    <x v="160"/>
    <x v="3"/>
    <s v="Minnesota"/>
    <s v="Minneapolis"/>
    <x v="5"/>
    <n v="54"/>
    <n v="77"/>
    <n v="4158"/>
    <n v="2370.0600000000004"/>
    <n v="0.57000000000000006"/>
    <x v="2"/>
  </r>
  <r>
    <x v="4"/>
    <n v="1189833"/>
    <x v="161"/>
    <x v="3"/>
    <s v="Minnesota"/>
    <s v="Minneapolis"/>
    <x v="0"/>
    <n v="32"/>
    <n v="119"/>
    <n v="3808"/>
    <n v="2208.6400000000003"/>
    <n v="0.58000000000000007"/>
    <x v="2"/>
  </r>
  <r>
    <x v="4"/>
    <n v="1189833"/>
    <x v="162"/>
    <x v="3"/>
    <s v="Minnesota"/>
    <s v="Minneapolis"/>
    <x v="1"/>
    <n v="43"/>
    <n v="128"/>
    <n v="5504"/>
    <n v="2311.6799999999998"/>
    <n v="0.42"/>
    <x v="2"/>
  </r>
  <r>
    <x v="4"/>
    <n v="1189833"/>
    <x v="163"/>
    <x v="3"/>
    <s v="Minnesota"/>
    <s v="Minneapolis"/>
    <x v="2"/>
    <n v="41"/>
    <n v="119"/>
    <n v="4879"/>
    <n v="2878.6100000000006"/>
    <n v="0.59000000000000008"/>
    <x v="2"/>
  </r>
  <r>
    <x v="4"/>
    <n v="1189833"/>
    <x v="164"/>
    <x v="3"/>
    <s v="Minnesota"/>
    <s v="Minneapolis"/>
    <x v="3"/>
    <n v="44"/>
    <n v="98"/>
    <n v="4312"/>
    <n v="2242.2400000000002"/>
    <n v="0.52"/>
    <x v="2"/>
  </r>
  <r>
    <x v="4"/>
    <n v="1189833"/>
    <x v="165"/>
    <x v="3"/>
    <s v="Montana"/>
    <s v="Billings"/>
    <x v="4"/>
    <n v="47"/>
    <n v="77"/>
    <n v="3619"/>
    <n v="2714.2500000000005"/>
    <n v="0.75000000000000011"/>
    <x v="2"/>
  </r>
  <r>
    <x v="4"/>
    <n v="1189833"/>
    <x v="166"/>
    <x v="3"/>
    <s v="Montana"/>
    <s v="Billings"/>
    <x v="5"/>
    <n v="43"/>
    <n v="138"/>
    <n v="5934"/>
    <n v="2314.2600000000002"/>
    <n v="0.39"/>
    <x v="2"/>
  </r>
  <r>
    <x v="4"/>
    <n v="1189833"/>
    <x v="167"/>
    <x v="3"/>
    <s v="Montana"/>
    <s v="Billings"/>
    <x v="0"/>
    <n v="34"/>
    <n v="158"/>
    <n v="5372"/>
    <n v="3062.0400000000004"/>
    <n v="0.57000000000000006"/>
    <x v="2"/>
  </r>
  <r>
    <x v="4"/>
    <n v="1189833"/>
    <x v="168"/>
    <x v="3"/>
    <s v="Montana"/>
    <s v="Billings"/>
    <x v="1"/>
    <n v="42"/>
    <n v="123"/>
    <n v="5166"/>
    <n v="2324.6999999999998"/>
    <n v="0.44999999999999996"/>
    <x v="2"/>
  </r>
  <r>
    <x v="4"/>
    <n v="1189833"/>
    <x v="169"/>
    <x v="3"/>
    <s v="Montana"/>
    <s v="Billings"/>
    <x v="2"/>
    <n v="43"/>
    <n v="122"/>
    <n v="5246"/>
    <n v="2990.2200000000003"/>
    <n v="0.57000000000000006"/>
    <x v="2"/>
  </r>
  <r>
    <x v="4"/>
    <n v="1189833"/>
    <x v="170"/>
    <x v="3"/>
    <s v="Montana"/>
    <s v="Billings"/>
    <x v="3"/>
    <n v="44"/>
    <n v="81"/>
    <n v="3564"/>
    <n v="1960.1999999999998"/>
    <n v="0.54999999999999993"/>
    <x v="2"/>
  </r>
  <r>
    <x v="4"/>
    <n v="1189833"/>
    <x v="171"/>
    <x v="3"/>
    <s v="Montana"/>
    <s v="Billings"/>
    <x v="4"/>
    <n v="48"/>
    <n v="59"/>
    <n v="2832"/>
    <n v="2039.0400000000002"/>
    <n v="0.72000000000000008"/>
    <x v="2"/>
  </r>
  <r>
    <x v="4"/>
    <n v="1189833"/>
    <x v="172"/>
    <x v="3"/>
    <s v="Montana"/>
    <s v="Billings"/>
    <x v="5"/>
    <n v="43"/>
    <n v="119"/>
    <n v="5117"/>
    <n v="1893.29"/>
    <n v="0.37"/>
    <x v="2"/>
  </r>
  <r>
    <x v="4"/>
    <n v="1189833"/>
    <x v="173"/>
    <x v="3"/>
    <s v="Montana"/>
    <s v="Billings"/>
    <x v="0"/>
    <n v="32"/>
    <n v="173"/>
    <n v="5536"/>
    <n v="3044.8"/>
    <n v="0.55000000000000004"/>
    <x v="2"/>
  </r>
  <r>
    <x v="4"/>
    <n v="1189833"/>
    <x v="174"/>
    <x v="3"/>
    <s v="Montana"/>
    <s v="Billings"/>
    <x v="1"/>
    <n v="41"/>
    <n v="115"/>
    <n v="4715"/>
    <n v="1933.1499999999999"/>
    <n v="0.41"/>
    <x v="2"/>
  </r>
  <r>
    <x v="4"/>
    <n v="1189833"/>
    <x v="175"/>
    <x v="3"/>
    <s v="Montana"/>
    <s v="Billings"/>
    <x v="2"/>
    <n v="42"/>
    <n v="128"/>
    <n v="5376"/>
    <n v="3064.32"/>
    <n v="0.57000000000000006"/>
    <x v="2"/>
  </r>
  <r>
    <x v="4"/>
    <n v="1189833"/>
    <x v="176"/>
    <x v="3"/>
    <s v="Montana"/>
    <s v="Billings"/>
    <x v="3"/>
    <n v="44"/>
    <n v="91"/>
    <n v="4004"/>
    <n v="2122.12"/>
    <n v="0.53"/>
    <x v="2"/>
  </r>
  <r>
    <x v="4"/>
    <n v="1189833"/>
    <x v="177"/>
    <x v="3"/>
    <s v="Montana"/>
    <s v="Billings"/>
    <x v="4"/>
    <n v="48"/>
    <n v="60"/>
    <n v="2880"/>
    <n v="2044.8000000000002"/>
    <n v="0.71000000000000008"/>
    <x v="2"/>
  </r>
  <r>
    <x v="4"/>
    <n v="1189833"/>
    <x v="178"/>
    <x v="3"/>
    <s v="Montana"/>
    <s v="Billings"/>
    <x v="5"/>
    <n v="42"/>
    <n v="112"/>
    <n v="4704"/>
    <n v="1834.5600000000002"/>
    <n v="0.39"/>
    <x v="2"/>
  </r>
  <r>
    <x v="4"/>
    <n v="1189833"/>
    <x v="179"/>
    <x v="3"/>
    <s v="Montana"/>
    <s v="Billings"/>
    <x v="0"/>
    <n v="44"/>
    <n v="161"/>
    <n v="7084"/>
    <n v="4179.5600000000004"/>
    <n v="0.59000000000000008"/>
    <x v="2"/>
  </r>
  <r>
    <x v="4"/>
    <n v="1189833"/>
    <x v="180"/>
    <x v="3"/>
    <s v="Montana"/>
    <s v="Billings"/>
    <x v="1"/>
    <n v="43"/>
    <n v="101"/>
    <n v="4343"/>
    <n v="1954.35"/>
    <n v="0.44999999999999996"/>
    <x v="2"/>
  </r>
  <r>
    <x v="4"/>
    <n v="1189833"/>
    <x v="181"/>
    <x v="3"/>
    <s v="Montana"/>
    <s v="Billings"/>
    <x v="2"/>
    <n v="44"/>
    <n v="120"/>
    <n v="5280"/>
    <n v="3168"/>
    <n v="0.6"/>
    <x v="2"/>
  </r>
  <r>
    <x v="4"/>
    <n v="1189833"/>
    <x v="182"/>
    <x v="3"/>
    <s v="Montana"/>
    <s v="Billings"/>
    <x v="3"/>
    <n v="36"/>
    <n v="78"/>
    <n v="2808"/>
    <n v="1404"/>
    <n v="0.5"/>
    <x v="2"/>
  </r>
  <r>
    <x v="4"/>
    <n v="1189833"/>
    <x v="183"/>
    <x v="3"/>
    <s v="Montana"/>
    <s v="Billings"/>
    <x v="4"/>
    <n v="44"/>
    <n v="56"/>
    <n v="2464"/>
    <n v="1823.3600000000004"/>
    <n v="0.7400000000000001"/>
    <x v="2"/>
  </r>
  <r>
    <x v="4"/>
    <n v="1189833"/>
    <x v="184"/>
    <x v="3"/>
    <s v="Montana"/>
    <s v="Billings"/>
    <x v="5"/>
    <n v="55"/>
    <n v="101"/>
    <n v="5555"/>
    <n v="2166.4500000000003"/>
    <n v="0.39"/>
    <x v="2"/>
  </r>
  <r>
    <x v="4"/>
    <n v="1189833"/>
    <x v="185"/>
    <x v="3"/>
    <s v="Montana"/>
    <s v="Billings"/>
    <x v="0"/>
    <n v="39"/>
    <n v="150"/>
    <n v="5850"/>
    <n v="3334.5000000000005"/>
    <n v="0.57000000000000006"/>
    <x v="2"/>
  </r>
  <r>
    <x v="4"/>
    <n v="1189833"/>
    <x v="186"/>
    <x v="3"/>
    <s v="Montana"/>
    <s v="Billings"/>
    <x v="1"/>
    <n v="41"/>
    <n v="106"/>
    <n v="4346"/>
    <n v="1912.24"/>
    <n v="0.44"/>
    <x v="2"/>
  </r>
  <r>
    <x v="4"/>
    <n v="1189833"/>
    <x v="187"/>
    <x v="3"/>
    <s v="Montana"/>
    <s v="Billings"/>
    <x v="2"/>
    <n v="44"/>
    <n v="111"/>
    <n v="4884"/>
    <n v="2686.2000000000003"/>
    <n v="0.55000000000000004"/>
    <x v="2"/>
  </r>
  <r>
    <x v="4"/>
    <n v="1189833"/>
    <x v="188"/>
    <x v="3"/>
    <s v="Montana"/>
    <s v="Billings"/>
    <x v="3"/>
    <n v="38"/>
    <n v="88"/>
    <n v="3344"/>
    <n v="1772.3200000000002"/>
    <n v="0.53"/>
    <x v="2"/>
  </r>
  <r>
    <x v="4"/>
    <n v="1189833"/>
    <x v="189"/>
    <x v="3"/>
    <s v="Montana"/>
    <s v="Billings"/>
    <x v="4"/>
    <n v="41"/>
    <n v="61"/>
    <n v="2501"/>
    <n v="1850.7400000000002"/>
    <n v="0.7400000000000001"/>
    <x v="2"/>
  </r>
  <r>
    <x v="4"/>
    <n v="1189833"/>
    <x v="190"/>
    <x v="3"/>
    <s v="Montana"/>
    <s v="Billings"/>
    <x v="5"/>
    <n v="59"/>
    <n v="108"/>
    <n v="6372"/>
    <n v="2421.36"/>
    <n v="0.38"/>
    <x v="2"/>
  </r>
  <r>
    <x v="4"/>
    <n v="1189833"/>
    <x v="191"/>
    <x v="3"/>
    <s v="Montana"/>
    <s v="Billings"/>
    <x v="0"/>
    <n v="36"/>
    <n v="169"/>
    <n v="6084"/>
    <n v="3589.5600000000004"/>
    <n v="0.59000000000000008"/>
    <x v="2"/>
  </r>
  <r>
    <x v="4"/>
    <n v="1189833"/>
    <x v="192"/>
    <x v="3"/>
    <s v="Montana"/>
    <s v="Billings"/>
    <x v="1"/>
    <n v="42"/>
    <n v="147"/>
    <n v="6174"/>
    <n v="2531.3399999999997"/>
    <n v="0.41"/>
    <x v="2"/>
  </r>
  <r>
    <x v="4"/>
    <n v="1189833"/>
    <x v="193"/>
    <x v="3"/>
    <s v="Montana"/>
    <s v="Billings"/>
    <x v="2"/>
    <n v="44"/>
    <n v="165"/>
    <n v="7260"/>
    <n v="3993.0000000000005"/>
    <n v="0.55000000000000004"/>
    <x v="2"/>
  </r>
  <r>
    <x v="4"/>
    <n v="1189833"/>
    <x v="194"/>
    <x v="3"/>
    <s v="Montana"/>
    <s v="Billings"/>
    <x v="3"/>
    <n v="38"/>
    <n v="106"/>
    <n v="4028"/>
    <n v="2134.84"/>
    <n v="0.53"/>
    <x v="2"/>
  </r>
  <r>
    <x v="4"/>
    <n v="1189833"/>
    <x v="195"/>
    <x v="3"/>
    <s v="Montana"/>
    <s v="Billings"/>
    <x v="4"/>
    <n v="41"/>
    <n v="75"/>
    <n v="3075"/>
    <n v="2275.5000000000005"/>
    <n v="0.7400000000000001"/>
    <x v="2"/>
  </r>
  <r>
    <x v="4"/>
    <n v="1189833"/>
    <x v="196"/>
    <x v="3"/>
    <s v="Montana"/>
    <s v="Billings"/>
    <x v="5"/>
    <n v="55"/>
    <n v="150"/>
    <n v="8250"/>
    <n v="2970"/>
    <n v="0.36"/>
    <x v="2"/>
  </r>
  <r>
    <x v="4"/>
    <n v="1189833"/>
    <x v="197"/>
    <x v="3"/>
    <s v="Montana"/>
    <s v="Billings"/>
    <x v="0"/>
    <n v="37"/>
    <n v="203"/>
    <n v="7511"/>
    <n v="4431.4900000000007"/>
    <n v="0.59000000000000008"/>
    <x v="2"/>
  </r>
  <r>
    <x v="4"/>
    <n v="1189833"/>
    <x v="198"/>
    <x v="3"/>
    <s v="Montana"/>
    <s v="Billings"/>
    <x v="1"/>
    <n v="41"/>
    <n v="156"/>
    <n v="6396"/>
    <n v="2750.2799999999997"/>
    <n v="0.43"/>
    <x v="2"/>
  </r>
  <r>
    <x v="4"/>
    <n v="1189833"/>
    <x v="199"/>
    <x v="3"/>
    <s v="Montana"/>
    <s v="Billings"/>
    <x v="2"/>
    <n v="44"/>
    <n v="143"/>
    <n v="6292"/>
    <n v="3712.2800000000007"/>
    <n v="0.59000000000000008"/>
    <x v="2"/>
  </r>
  <r>
    <x v="4"/>
    <n v="1189833"/>
    <x v="200"/>
    <x v="3"/>
    <s v="Montana"/>
    <s v="Billings"/>
    <x v="3"/>
    <n v="36"/>
    <n v="113"/>
    <n v="4068"/>
    <n v="2156.04"/>
    <n v="0.53"/>
    <x v="2"/>
  </r>
  <r>
    <x v="4"/>
    <n v="1189833"/>
    <x v="201"/>
    <x v="3"/>
    <s v="Montana"/>
    <s v="Billings"/>
    <x v="4"/>
    <n v="42"/>
    <n v="124"/>
    <n v="5208"/>
    <n v="3645.6000000000004"/>
    <n v="0.70000000000000007"/>
    <x v="2"/>
  </r>
  <r>
    <x v="4"/>
    <n v="1189833"/>
    <x v="202"/>
    <x v="3"/>
    <s v="Montana"/>
    <s v="Billings"/>
    <x v="5"/>
    <n v="58"/>
    <n v="143"/>
    <n v="8294"/>
    <n v="2902.8999999999996"/>
    <n v="0.35"/>
    <x v="2"/>
  </r>
  <r>
    <x v="4"/>
    <n v="1189833"/>
    <x v="203"/>
    <x v="3"/>
    <s v="Montana"/>
    <s v="Billings"/>
    <x v="0"/>
    <n v="42"/>
    <n v="203"/>
    <n v="8526"/>
    <n v="4945.0800000000008"/>
    <n v="0.58000000000000007"/>
    <x v="2"/>
  </r>
  <r>
    <x v="4"/>
    <n v="1189833"/>
    <x v="204"/>
    <x v="3"/>
    <s v="Montana"/>
    <s v="Billings"/>
    <x v="1"/>
    <n v="54"/>
    <n v="188"/>
    <n v="10152"/>
    <n v="4365.3599999999997"/>
    <n v="0.43"/>
    <x v="2"/>
  </r>
  <r>
    <x v="4"/>
    <n v="1189833"/>
    <x v="205"/>
    <x v="3"/>
    <s v="Montana"/>
    <s v="Billings"/>
    <x v="2"/>
    <n v="49"/>
    <n v="130"/>
    <n v="6370"/>
    <n v="3758.3000000000006"/>
    <n v="0.59000000000000008"/>
    <x v="2"/>
  </r>
  <r>
    <x v="4"/>
    <n v="1189833"/>
    <x v="206"/>
    <x v="3"/>
    <s v="Montana"/>
    <s v="Billings"/>
    <x v="3"/>
    <n v="41"/>
    <n v="106"/>
    <n v="4346"/>
    <n v="2346.84"/>
    <n v="0.54"/>
    <x v="2"/>
  </r>
  <r>
    <x v="4"/>
    <n v="1189833"/>
    <x v="207"/>
    <x v="3"/>
    <s v="Montana"/>
    <s v="Billings"/>
    <x v="4"/>
    <n v="52"/>
    <n v="106"/>
    <n v="5512"/>
    <n v="3858.4000000000005"/>
    <n v="0.70000000000000007"/>
    <x v="2"/>
  </r>
  <r>
    <x v="4"/>
    <n v="1189833"/>
    <x v="208"/>
    <x v="3"/>
    <s v="Montana"/>
    <s v="Billings"/>
    <x v="5"/>
    <n v="56"/>
    <n v="112"/>
    <n v="6272"/>
    <n v="2383.36"/>
    <n v="0.38"/>
    <x v="2"/>
  </r>
  <r>
    <x v="4"/>
    <n v="1189833"/>
    <x v="209"/>
    <x v="3"/>
    <s v="Montana"/>
    <s v="Billings"/>
    <x v="0"/>
    <n v="41"/>
    <n v="180"/>
    <n v="7380"/>
    <n v="4280.4000000000005"/>
    <n v="0.58000000000000007"/>
    <x v="2"/>
  </r>
  <r>
    <x v="4"/>
    <n v="1189833"/>
    <x v="210"/>
    <x v="3"/>
    <s v="Montana"/>
    <s v="Billings"/>
    <x v="1"/>
    <n v="48"/>
    <n v="156"/>
    <n v="7488"/>
    <n v="3294.72"/>
    <n v="0.44"/>
    <x v="2"/>
  </r>
  <r>
    <x v="4"/>
    <n v="1189833"/>
    <x v="211"/>
    <x v="3"/>
    <s v="Montana"/>
    <s v="Billings"/>
    <x v="2"/>
    <n v="42"/>
    <n v="117"/>
    <n v="4914"/>
    <n v="2751.84"/>
    <n v="0.56000000000000005"/>
    <x v="2"/>
  </r>
  <r>
    <x v="4"/>
    <n v="1189833"/>
    <x v="212"/>
    <x v="3"/>
    <s v="Montana"/>
    <s v="Billings"/>
    <x v="3"/>
    <n v="41"/>
    <n v="116"/>
    <n v="4756"/>
    <n v="2615.7999999999997"/>
    <n v="0.54999999999999993"/>
    <x v="2"/>
  </r>
  <r>
    <x v="4"/>
    <n v="1189833"/>
    <x v="213"/>
    <x v="3"/>
    <s v="Montana"/>
    <s v="Billings"/>
    <x v="4"/>
    <n v="50"/>
    <n v="100"/>
    <n v="5000"/>
    <n v="3650.0000000000005"/>
    <n v="0.73000000000000009"/>
    <x v="2"/>
  </r>
  <r>
    <x v="4"/>
    <n v="1189833"/>
    <x v="693"/>
    <x v="3"/>
    <s v="Montana"/>
    <s v="Billings"/>
    <x v="5"/>
    <n v="59"/>
    <n v="122"/>
    <n v="7198"/>
    <n v="2879.2000000000003"/>
    <n v="0.4"/>
    <x v="2"/>
  </r>
  <r>
    <x v="4"/>
    <n v="1189833"/>
    <x v="694"/>
    <x v="3"/>
    <s v="Montana"/>
    <s v="Billings"/>
    <x v="0"/>
    <n v="44"/>
    <n v="160"/>
    <n v="7040"/>
    <n v="3942.4000000000005"/>
    <n v="0.56000000000000005"/>
    <x v="2"/>
  </r>
  <r>
    <x v="4"/>
    <n v="1189833"/>
    <x v="695"/>
    <x v="3"/>
    <s v="Montana"/>
    <s v="Billings"/>
    <x v="1"/>
    <n v="49"/>
    <n v="160"/>
    <n v="7840"/>
    <n v="3371.2"/>
    <n v="0.43"/>
    <x v="2"/>
  </r>
  <r>
    <x v="4"/>
    <n v="1189833"/>
    <x v="696"/>
    <x v="3"/>
    <s v="Montana"/>
    <s v="Billings"/>
    <x v="2"/>
    <n v="41"/>
    <n v="116"/>
    <n v="4756"/>
    <n v="2710.92"/>
    <n v="0.57000000000000006"/>
    <x v="2"/>
  </r>
  <r>
    <x v="4"/>
    <n v="1189833"/>
    <x v="697"/>
    <x v="3"/>
    <s v="Montana"/>
    <s v="Billings"/>
    <x v="3"/>
    <n v="44"/>
    <n v="105"/>
    <n v="4620"/>
    <n v="2402.4"/>
    <n v="0.52"/>
    <x v="2"/>
  </r>
  <r>
    <x v="4"/>
    <n v="1189833"/>
    <x v="698"/>
    <x v="3"/>
    <s v="Montana"/>
    <s v="Billings"/>
    <x v="4"/>
    <n v="54"/>
    <n v="98"/>
    <n v="5292"/>
    <n v="3969.0000000000005"/>
    <n v="0.75000000000000011"/>
    <x v="2"/>
  </r>
  <r>
    <x v="4"/>
    <n v="1189833"/>
    <x v="699"/>
    <x v="3"/>
    <s v="Montana"/>
    <s v="Billings"/>
    <x v="5"/>
    <n v="58"/>
    <n v="108"/>
    <n v="6264"/>
    <n v="2442.96"/>
    <n v="0.39"/>
    <x v="2"/>
  </r>
  <r>
    <x v="4"/>
    <n v="1189833"/>
    <x v="700"/>
    <x v="3"/>
    <s v="Montana"/>
    <s v="Billings"/>
    <x v="0"/>
    <n v="38"/>
    <n v="167"/>
    <n v="6346"/>
    <n v="3744.1400000000003"/>
    <n v="0.59000000000000008"/>
    <x v="2"/>
  </r>
  <r>
    <x v="4"/>
    <n v="1189833"/>
    <x v="701"/>
    <x v="3"/>
    <s v="Montana"/>
    <s v="Billings"/>
    <x v="1"/>
    <n v="42"/>
    <n v="173"/>
    <n v="7266"/>
    <n v="2979.06"/>
    <n v="0.41"/>
    <x v="2"/>
  </r>
  <r>
    <x v="4"/>
    <n v="1189833"/>
    <x v="702"/>
    <x v="3"/>
    <s v="Montana"/>
    <s v="Billings"/>
    <x v="2"/>
    <n v="37"/>
    <n v="123"/>
    <n v="4551"/>
    <n v="2594.0700000000002"/>
    <n v="0.57000000000000006"/>
    <x v="2"/>
  </r>
  <r>
    <x v="4"/>
    <n v="1189833"/>
    <x v="703"/>
    <x v="3"/>
    <s v="Montana"/>
    <s v="Billings"/>
    <x v="3"/>
    <n v="39"/>
    <n v="119"/>
    <n v="4641"/>
    <n v="2552.5499999999997"/>
    <n v="0.54999999999999993"/>
    <x v="2"/>
  </r>
  <r>
    <x v="4"/>
    <n v="1189833"/>
    <x v="704"/>
    <x v="3"/>
    <s v="Montana"/>
    <s v="Billings"/>
    <x v="4"/>
    <n v="51"/>
    <n v="113"/>
    <n v="5763"/>
    <n v="4264.6200000000008"/>
    <n v="0.7400000000000001"/>
    <x v="2"/>
  </r>
  <r>
    <x v="4"/>
    <n v="1189833"/>
    <x v="705"/>
    <x v="3"/>
    <s v="Montana"/>
    <s v="Billings"/>
    <x v="5"/>
    <n v="56"/>
    <n v="133"/>
    <n v="7448"/>
    <n v="2830.2400000000002"/>
    <n v="0.38"/>
    <x v="2"/>
  </r>
  <r>
    <x v="4"/>
    <n v="1189833"/>
    <x v="706"/>
    <x v="3"/>
    <s v="Montana"/>
    <s v="Billings"/>
    <x v="0"/>
    <n v="41"/>
    <n v="196"/>
    <n v="8036"/>
    <n v="4500.1600000000008"/>
    <n v="0.56000000000000005"/>
    <x v="2"/>
  </r>
  <r>
    <x v="4"/>
    <n v="1189833"/>
    <x v="707"/>
    <x v="3"/>
    <s v="Montana"/>
    <s v="Billings"/>
    <x v="1"/>
    <n v="45"/>
    <n v="182"/>
    <n v="8190"/>
    <n v="3521.7"/>
    <n v="0.43"/>
    <x v="2"/>
  </r>
  <r>
    <x v="4"/>
    <n v="1189833"/>
    <x v="708"/>
    <x v="3"/>
    <s v="Montana"/>
    <s v="Billings"/>
    <x v="2"/>
    <n v="42"/>
    <n v="133"/>
    <n v="5586"/>
    <n v="3351.6"/>
    <n v="0.6"/>
    <x v="2"/>
  </r>
  <r>
    <x v="4"/>
    <n v="1189833"/>
    <x v="709"/>
    <x v="3"/>
    <s v="Montana"/>
    <s v="Billings"/>
    <x v="3"/>
    <n v="43"/>
    <n v="143"/>
    <n v="6149"/>
    <n v="3135.9900000000002"/>
    <n v="0.51"/>
    <x v="2"/>
  </r>
  <r>
    <x v="4"/>
    <n v="1189833"/>
    <x v="710"/>
    <x v="3"/>
    <s v="Montana"/>
    <s v="Billings"/>
    <x v="4"/>
    <n v="53"/>
    <n v="120"/>
    <n v="6360"/>
    <n v="4642.8"/>
    <n v="0.73000000000000009"/>
    <x v="2"/>
  </r>
  <r>
    <x v="4"/>
    <n v="1189833"/>
    <x v="214"/>
    <x v="3"/>
    <s v="Montana"/>
    <s v="Billings"/>
    <x v="5"/>
    <n v="55"/>
    <n v="130"/>
    <n v="7150"/>
    <n v="2860"/>
    <n v="0.4"/>
    <x v="2"/>
  </r>
  <r>
    <x v="2"/>
    <n v="1197831"/>
    <x v="215"/>
    <x v="3"/>
    <s v="Montana"/>
    <s v="Billings"/>
    <x v="0"/>
    <n v="18"/>
    <n v="210"/>
    <n v="3780"/>
    <n v="1890"/>
    <n v="0.5"/>
    <x v="2"/>
  </r>
  <r>
    <x v="2"/>
    <n v="1197831"/>
    <x v="216"/>
    <x v="3"/>
    <s v="Montana"/>
    <s v="Billings"/>
    <x v="1"/>
    <n v="29"/>
    <n v="182"/>
    <n v="5278"/>
    <n v="2427.8799999999997"/>
    <n v="0.45999999999999996"/>
    <x v="2"/>
  </r>
  <r>
    <x v="2"/>
    <n v="1197831"/>
    <x v="217"/>
    <x v="3"/>
    <s v="Montana"/>
    <s v="Billings"/>
    <x v="2"/>
    <n v="27"/>
    <n v="130"/>
    <n v="3510"/>
    <n v="1579.4999999999998"/>
    <n v="0.44999999999999996"/>
    <x v="2"/>
  </r>
  <r>
    <x v="2"/>
    <n v="1197831"/>
    <x v="218"/>
    <x v="3"/>
    <s v="Montana"/>
    <s v="Billings"/>
    <x v="3"/>
    <n v="32"/>
    <n v="135"/>
    <n v="4320"/>
    <n v="2462.4"/>
    <n v="0.57000000000000006"/>
    <x v="2"/>
  </r>
  <r>
    <x v="2"/>
    <n v="1197831"/>
    <x v="219"/>
    <x v="1"/>
    <s v="Tennessee"/>
    <s v="Knoxville"/>
    <x v="4"/>
    <n v="39"/>
    <n v="95"/>
    <n v="3705"/>
    <n v="1482"/>
    <n v="0.4"/>
    <x v="2"/>
  </r>
  <r>
    <x v="2"/>
    <n v="1197831"/>
    <x v="220"/>
    <x v="1"/>
    <s v="Tennessee"/>
    <s v="Knoxville"/>
    <x v="5"/>
    <n v="33"/>
    <n v="125"/>
    <n v="4125"/>
    <n v="2681.25"/>
    <n v="0.65"/>
    <x v="2"/>
  </r>
  <r>
    <x v="2"/>
    <n v="1197831"/>
    <x v="221"/>
    <x v="1"/>
    <s v="Tennessee"/>
    <s v="Knoxville"/>
    <x v="0"/>
    <n v="24"/>
    <n v="169"/>
    <n v="4056"/>
    <n v="2028"/>
    <n v="0.5"/>
    <x v="2"/>
  </r>
  <r>
    <x v="2"/>
    <n v="1197831"/>
    <x v="222"/>
    <x v="1"/>
    <s v="Tennessee"/>
    <s v="Knoxville"/>
    <x v="1"/>
    <n v="33"/>
    <n v="181"/>
    <n v="5973"/>
    <n v="2867.04"/>
    <n v="0.48"/>
    <x v="2"/>
  </r>
  <r>
    <x v="2"/>
    <n v="1197831"/>
    <x v="223"/>
    <x v="1"/>
    <s v="Tennessee"/>
    <s v="Knoxville"/>
    <x v="2"/>
    <n v="32"/>
    <n v="122"/>
    <n v="3904"/>
    <n v="1873.9199999999998"/>
    <n v="0.48"/>
    <x v="2"/>
  </r>
  <r>
    <x v="2"/>
    <n v="1197831"/>
    <x v="224"/>
    <x v="1"/>
    <s v="Tennessee"/>
    <s v="Knoxville"/>
    <x v="3"/>
    <n v="33"/>
    <n v="108"/>
    <n v="3564"/>
    <n v="2138.4"/>
    <n v="0.6"/>
    <x v="2"/>
  </r>
  <r>
    <x v="2"/>
    <n v="1197831"/>
    <x v="225"/>
    <x v="1"/>
    <s v="Tennessee"/>
    <s v="Knoxville"/>
    <x v="4"/>
    <n v="37"/>
    <n v="83"/>
    <n v="3071"/>
    <n v="1259.1099999999999"/>
    <n v="0.41"/>
    <x v="2"/>
  </r>
  <r>
    <x v="2"/>
    <n v="1197831"/>
    <x v="226"/>
    <x v="1"/>
    <s v="Tennessee"/>
    <s v="Knoxville"/>
    <x v="5"/>
    <n v="32"/>
    <n v="133"/>
    <n v="4256"/>
    <n v="2723.84"/>
    <n v="0.64"/>
    <x v="2"/>
  </r>
  <r>
    <x v="2"/>
    <n v="1197831"/>
    <x v="227"/>
    <x v="1"/>
    <s v="Tennessee"/>
    <s v="Knoxville"/>
    <x v="0"/>
    <n v="27"/>
    <n v="189"/>
    <n v="5103"/>
    <n v="2602.5300000000002"/>
    <n v="0.51"/>
    <x v="2"/>
  </r>
  <r>
    <x v="2"/>
    <n v="1197831"/>
    <x v="228"/>
    <x v="1"/>
    <s v="Tennessee"/>
    <s v="Knoxville"/>
    <x v="1"/>
    <n v="37"/>
    <n v="163"/>
    <n v="6031"/>
    <n v="3136.12"/>
    <n v="0.52"/>
    <x v="2"/>
  </r>
  <r>
    <x v="2"/>
    <n v="1197831"/>
    <x v="711"/>
    <x v="1"/>
    <s v="Tennessee"/>
    <s v="Knoxville"/>
    <x v="2"/>
    <n v="28"/>
    <n v="124"/>
    <n v="3472"/>
    <n v="1909.5999999999997"/>
    <n v="0.54999999999999993"/>
    <x v="2"/>
  </r>
  <r>
    <x v="2"/>
    <n v="1197831"/>
    <x v="712"/>
    <x v="1"/>
    <s v="Tennessee"/>
    <s v="Knoxville"/>
    <x v="3"/>
    <n v="33"/>
    <n v="101"/>
    <n v="3333"/>
    <n v="2133.12"/>
    <n v="0.64"/>
    <x v="2"/>
  </r>
  <r>
    <x v="2"/>
    <n v="1197831"/>
    <x v="713"/>
    <x v="1"/>
    <s v="Tennessee"/>
    <s v="Knoxville"/>
    <x v="4"/>
    <n v="39"/>
    <n v="69"/>
    <n v="2691"/>
    <n v="1264.77"/>
    <n v="0.47"/>
    <x v="2"/>
  </r>
  <r>
    <x v="2"/>
    <n v="1197831"/>
    <x v="714"/>
    <x v="1"/>
    <s v="Tennessee"/>
    <s v="Knoxville"/>
    <x v="5"/>
    <n v="33"/>
    <n v="111"/>
    <n v="3663"/>
    <n v="2417.58"/>
    <n v="0.66"/>
    <x v="2"/>
  </r>
  <r>
    <x v="2"/>
    <n v="1197831"/>
    <x v="715"/>
    <x v="1"/>
    <s v="Tennessee"/>
    <s v="Knoxville"/>
    <x v="0"/>
    <n v="19"/>
    <n v="169"/>
    <n v="3211"/>
    <n v="1605.5"/>
    <n v="0.5"/>
    <x v="2"/>
  </r>
  <r>
    <x v="2"/>
    <n v="1197831"/>
    <x v="716"/>
    <x v="1"/>
    <s v="Tennessee"/>
    <s v="Knoxville"/>
    <x v="1"/>
    <n v="24"/>
    <n v="176"/>
    <n v="4224"/>
    <n v="2154.2400000000002"/>
    <n v="0.51"/>
    <x v="2"/>
  </r>
  <r>
    <x v="2"/>
    <n v="1197831"/>
    <x v="717"/>
    <x v="1"/>
    <s v="Tennessee"/>
    <s v="Knoxville"/>
    <x v="2"/>
    <n v="19"/>
    <n v="135"/>
    <n v="2565"/>
    <n v="1410.7499999999998"/>
    <n v="0.54999999999999993"/>
    <x v="2"/>
  </r>
  <r>
    <x v="2"/>
    <n v="1197831"/>
    <x v="718"/>
    <x v="1"/>
    <s v="Tennessee"/>
    <s v="Knoxville"/>
    <x v="3"/>
    <n v="23"/>
    <n v="112"/>
    <n v="2576"/>
    <n v="1674.4"/>
    <n v="0.65"/>
    <x v="2"/>
  </r>
  <r>
    <x v="2"/>
    <n v="1197831"/>
    <x v="719"/>
    <x v="1"/>
    <s v="Tennessee"/>
    <s v="Knoxville"/>
    <x v="4"/>
    <n v="28"/>
    <n v="84"/>
    <n v="2352"/>
    <n v="1058.3999999999999"/>
    <n v="0.44999999999999996"/>
    <x v="2"/>
  </r>
  <r>
    <x v="2"/>
    <n v="1197831"/>
    <x v="720"/>
    <x v="1"/>
    <s v="Tennessee"/>
    <s v="Knoxville"/>
    <x v="5"/>
    <n v="24"/>
    <n v="161"/>
    <n v="3864"/>
    <n v="2627.52"/>
    <n v="0.68"/>
    <x v="2"/>
  </r>
  <r>
    <x v="2"/>
    <n v="1197831"/>
    <x v="721"/>
    <x v="1"/>
    <s v="Tennessee"/>
    <s v="Knoxville"/>
    <x v="0"/>
    <n v="14"/>
    <n v="189"/>
    <n v="2646"/>
    <n v="1323"/>
    <n v="0.5"/>
    <x v="2"/>
  </r>
  <r>
    <x v="2"/>
    <n v="1197831"/>
    <x v="722"/>
    <x v="1"/>
    <s v="Tennessee"/>
    <s v="Knoxville"/>
    <x v="1"/>
    <n v="23"/>
    <n v="218"/>
    <n v="5014"/>
    <n v="2507"/>
    <n v="0.5"/>
    <x v="2"/>
  </r>
  <r>
    <x v="2"/>
    <n v="1197831"/>
    <x v="723"/>
    <x v="1"/>
    <s v="Tennessee"/>
    <s v="Knoxville"/>
    <x v="2"/>
    <n v="19"/>
    <n v="180"/>
    <n v="3420"/>
    <n v="1846.8000000000002"/>
    <n v="0.54"/>
    <x v="2"/>
  </r>
  <r>
    <x v="2"/>
    <n v="1197831"/>
    <x v="229"/>
    <x v="1"/>
    <s v="Tennessee"/>
    <s v="Knoxville"/>
    <x v="3"/>
    <n v="27"/>
    <n v="142"/>
    <n v="3834"/>
    <n v="2300.4"/>
    <n v="0.6"/>
    <x v="2"/>
  </r>
  <r>
    <x v="2"/>
    <n v="1197831"/>
    <x v="230"/>
    <x v="1"/>
    <s v="Tennessee"/>
    <s v="Knoxville"/>
    <x v="4"/>
    <n v="41"/>
    <n v="106"/>
    <n v="4346"/>
    <n v="2129.54"/>
    <n v="0.49"/>
    <x v="2"/>
  </r>
  <r>
    <x v="2"/>
    <n v="1197831"/>
    <x v="231"/>
    <x v="1"/>
    <s v="Tennessee"/>
    <s v="Knoxville"/>
    <x v="5"/>
    <n v="38"/>
    <n v="202"/>
    <n v="7676"/>
    <n v="5142.92"/>
    <n v="0.67"/>
    <x v="2"/>
  </r>
  <r>
    <x v="2"/>
    <n v="1197831"/>
    <x v="232"/>
    <x v="1"/>
    <s v="Tennessee"/>
    <s v="Knoxville"/>
    <x v="0"/>
    <n v="36"/>
    <n v="217"/>
    <n v="7812"/>
    <n v="3984.12"/>
    <n v="0.51"/>
    <x v="2"/>
  </r>
  <r>
    <x v="2"/>
    <n v="1197831"/>
    <x v="233"/>
    <x v="1"/>
    <s v="Tennessee"/>
    <s v="Knoxville"/>
    <x v="1"/>
    <n v="42"/>
    <n v="202"/>
    <n v="8484"/>
    <n v="4326.84"/>
    <n v="0.51"/>
    <x v="2"/>
  </r>
  <r>
    <x v="2"/>
    <n v="1197831"/>
    <x v="234"/>
    <x v="1"/>
    <s v="Tennessee"/>
    <s v="Knoxville"/>
    <x v="2"/>
    <n v="36"/>
    <n v="169"/>
    <n v="6084"/>
    <n v="3102.84"/>
    <n v="0.51"/>
    <x v="2"/>
  </r>
  <r>
    <x v="2"/>
    <n v="1197831"/>
    <x v="235"/>
    <x v="1"/>
    <s v="Tennessee"/>
    <s v="Knoxville"/>
    <x v="3"/>
    <n v="36"/>
    <n v="174"/>
    <n v="6264"/>
    <n v="3821.04"/>
    <n v="0.61"/>
    <x v="2"/>
  </r>
  <r>
    <x v="2"/>
    <n v="1197831"/>
    <x v="236"/>
    <x v="1"/>
    <s v="Tennessee"/>
    <s v="Knoxville"/>
    <x v="4"/>
    <n v="43"/>
    <n v="145"/>
    <n v="6235"/>
    <n v="2992.7999999999997"/>
    <n v="0.48"/>
    <x v="2"/>
  </r>
  <r>
    <x v="2"/>
    <n v="1197831"/>
    <x v="237"/>
    <x v="1"/>
    <s v="Tennessee"/>
    <s v="Knoxville"/>
    <x v="5"/>
    <n v="49"/>
    <n v="236"/>
    <n v="11564"/>
    <n v="7516.6"/>
    <n v="0.65"/>
    <x v="2"/>
  </r>
  <r>
    <x v="2"/>
    <n v="1197831"/>
    <x v="238"/>
    <x v="1"/>
    <s v="Tennessee"/>
    <s v="Knoxville"/>
    <x v="0"/>
    <n v="36"/>
    <n v="215"/>
    <n v="7740"/>
    <n v="4411.7999999999993"/>
    <n v="0.56999999999999995"/>
    <x v="2"/>
  </r>
  <r>
    <x v="2"/>
    <n v="1197831"/>
    <x v="239"/>
    <x v="1"/>
    <s v="Tennessee"/>
    <s v="Knoxville"/>
    <x v="1"/>
    <n v="43"/>
    <n v="206"/>
    <n v="8858"/>
    <n v="5137.6399999999994"/>
    <n v="0.57999999999999996"/>
    <x v="2"/>
  </r>
  <r>
    <x v="2"/>
    <n v="1197831"/>
    <x v="240"/>
    <x v="1"/>
    <s v="Tennessee"/>
    <s v="Knoxville"/>
    <x v="2"/>
    <n v="36"/>
    <n v="263"/>
    <n v="9468"/>
    <n v="5680.8"/>
    <n v="0.6"/>
    <x v="2"/>
  </r>
  <r>
    <x v="2"/>
    <n v="1197831"/>
    <x v="241"/>
    <x v="1"/>
    <s v="Tennessee"/>
    <s v="Knoxville"/>
    <x v="3"/>
    <n v="37"/>
    <n v="161"/>
    <n v="5957"/>
    <n v="3872.05"/>
    <n v="0.65"/>
    <x v="2"/>
  </r>
  <r>
    <x v="2"/>
    <n v="1197831"/>
    <x v="242"/>
    <x v="1"/>
    <s v="Tennessee"/>
    <s v="Knoxville"/>
    <x v="4"/>
    <n v="43"/>
    <n v="165"/>
    <n v="7095"/>
    <n v="3760.3500000000004"/>
    <n v="0.53"/>
    <x v="2"/>
  </r>
  <r>
    <x v="2"/>
    <n v="1197831"/>
    <x v="243"/>
    <x v="1"/>
    <s v="Tennessee"/>
    <s v="Knoxville"/>
    <x v="5"/>
    <n v="52"/>
    <n v="223"/>
    <n v="11596"/>
    <n v="8117.2000000000007"/>
    <n v="0.70000000000000007"/>
    <x v="2"/>
  </r>
  <r>
    <x v="2"/>
    <n v="1197831"/>
    <x v="244"/>
    <x v="1"/>
    <s v="Tennessee"/>
    <s v="Knoxville"/>
    <x v="0"/>
    <n v="41"/>
    <n v="233"/>
    <n v="9553"/>
    <n v="5445.2099999999991"/>
    <n v="0.56999999999999995"/>
    <x v="2"/>
  </r>
  <r>
    <x v="2"/>
    <n v="1197831"/>
    <x v="245"/>
    <x v="1"/>
    <s v="Tennessee"/>
    <s v="Knoxville"/>
    <x v="1"/>
    <n v="54"/>
    <n v="233"/>
    <n v="12582"/>
    <n v="7171.74"/>
    <n v="0.56999999999999995"/>
    <x v="2"/>
  </r>
  <r>
    <x v="2"/>
    <n v="1197831"/>
    <x v="246"/>
    <x v="1"/>
    <s v="Tennessee"/>
    <s v="Knoxville"/>
    <x v="2"/>
    <n v="46"/>
    <n v="285"/>
    <n v="13110"/>
    <n v="7866"/>
    <n v="0.6"/>
    <x v="2"/>
  </r>
  <r>
    <x v="2"/>
    <n v="1197831"/>
    <x v="247"/>
    <x v="1"/>
    <s v="Tennessee"/>
    <s v="Knoxville"/>
    <x v="3"/>
    <n v="42"/>
    <n v="133"/>
    <n v="5586"/>
    <n v="3854.34"/>
    <n v="0.69000000000000006"/>
    <x v="2"/>
  </r>
  <r>
    <x v="2"/>
    <n v="1197831"/>
    <x v="248"/>
    <x v="1"/>
    <s v="Tennessee"/>
    <s v="Knoxville"/>
    <x v="4"/>
    <n v="49"/>
    <n v="133"/>
    <n v="6517"/>
    <n v="3454.01"/>
    <n v="0.53"/>
    <x v="2"/>
  </r>
  <r>
    <x v="2"/>
    <n v="1197831"/>
    <x v="249"/>
    <x v="1"/>
    <s v="Tennessee"/>
    <s v="Knoxville"/>
    <x v="5"/>
    <n v="53"/>
    <n v="181"/>
    <n v="9593"/>
    <n v="6811.0300000000007"/>
    <n v="0.71000000000000008"/>
    <x v="2"/>
  </r>
  <r>
    <x v="2"/>
    <n v="1197831"/>
    <x v="250"/>
    <x v="1"/>
    <s v="Tennessee"/>
    <s v="Knoxville"/>
    <x v="0"/>
    <n v="49"/>
    <n v="182"/>
    <n v="8918"/>
    <n v="5350.8"/>
    <n v="0.6"/>
    <x v="2"/>
  </r>
  <r>
    <x v="2"/>
    <n v="1197831"/>
    <x v="251"/>
    <x v="1"/>
    <s v="Tennessee"/>
    <s v="Knoxville"/>
    <x v="1"/>
    <n v="47"/>
    <n v="169"/>
    <n v="7943"/>
    <n v="4765.8"/>
    <n v="0.6"/>
    <x v="2"/>
  </r>
  <r>
    <x v="2"/>
    <n v="1197831"/>
    <x v="252"/>
    <x v="1"/>
    <s v="Tennessee"/>
    <s v="Knoxville"/>
    <x v="2"/>
    <n v="54"/>
    <n v="182"/>
    <n v="9828"/>
    <n v="5798.5199999999995"/>
    <n v="0.59"/>
    <x v="2"/>
  </r>
  <r>
    <x v="2"/>
    <n v="1197831"/>
    <x v="253"/>
    <x v="1"/>
    <s v="Tennessee"/>
    <s v="Knoxville"/>
    <x v="3"/>
    <n v="53"/>
    <n v="100"/>
    <n v="5300"/>
    <n v="3710.0000000000005"/>
    <n v="0.70000000000000007"/>
    <x v="2"/>
  </r>
  <r>
    <x v="2"/>
    <n v="1197831"/>
    <x v="254"/>
    <x v="1"/>
    <s v="Tennessee"/>
    <s v="Knoxville"/>
    <x v="4"/>
    <n v="47"/>
    <n v="120"/>
    <n v="5640"/>
    <n v="2876.4"/>
    <n v="0.51"/>
    <x v="2"/>
  </r>
  <r>
    <x v="2"/>
    <n v="1197831"/>
    <x v="255"/>
    <x v="1"/>
    <s v="Tennessee"/>
    <s v="Knoxville"/>
    <x v="5"/>
    <n v="42"/>
    <n v="163"/>
    <n v="6846"/>
    <n v="5066.0400000000009"/>
    <n v="0.7400000000000001"/>
    <x v="2"/>
  </r>
  <r>
    <x v="2"/>
    <n v="1197831"/>
    <x v="256"/>
    <x v="1"/>
    <s v="Tennessee"/>
    <s v="Knoxville"/>
    <x v="0"/>
    <n v="33"/>
    <n v="173"/>
    <n v="5709"/>
    <n v="3254.1299999999997"/>
    <n v="0.56999999999999995"/>
    <x v="2"/>
  </r>
  <r>
    <x v="2"/>
    <n v="1197831"/>
    <x v="257"/>
    <x v="1"/>
    <s v="Tennessee"/>
    <s v="Knoxville"/>
    <x v="1"/>
    <n v="32"/>
    <n v="150"/>
    <n v="4800"/>
    <n v="2880"/>
    <n v="0.6"/>
    <x v="2"/>
  </r>
  <r>
    <x v="2"/>
    <n v="1197831"/>
    <x v="258"/>
    <x v="1"/>
    <s v="Tennessee"/>
    <s v="Knoxville"/>
    <x v="2"/>
    <n v="36"/>
    <n v="147"/>
    <n v="5292"/>
    <n v="3069.3599999999997"/>
    <n v="0.57999999999999996"/>
    <x v="2"/>
  </r>
  <r>
    <x v="2"/>
    <n v="1197831"/>
    <x v="259"/>
    <x v="1"/>
    <s v="Tennessee"/>
    <s v="Knoxville"/>
    <x v="3"/>
    <n v="38"/>
    <n v="98"/>
    <n v="3724"/>
    <n v="2606.8000000000002"/>
    <n v="0.70000000000000007"/>
    <x v="2"/>
  </r>
  <r>
    <x v="2"/>
    <n v="1197831"/>
    <x v="260"/>
    <x v="1"/>
    <s v="Tennessee"/>
    <s v="Knoxville"/>
    <x v="4"/>
    <n v="32"/>
    <n v="88"/>
    <n v="2816"/>
    <n v="1436.16"/>
    <n v="0.51"/>
    <x v="2"/>
  </r>
  <r>
    <x v="2"/>
    <n v="1197831"/>
    <x v="261"/>
    <x v="1"/>
    <s v="Tennessee"/>
    <s v="Knoxville"/>
    <x v="5"/>
    <n v="43"/>
    <n v="131"/>
    <n v="5633"/>
    <n v="3999.4300000000003"/>
    <n v="0.71000000000000008"/>
    <x v="2"/>
  </r>
  <r>
    <x v="2"/>
    <n v="1197831"/>
    <x v="262"/>
    <x v="1"/>
    <s v="Tennessee"/>
    <s v="Knoxville"/>
    <x v="0"/>
    <n v="29"/>
    <n v="196"/>
    <n v="5684"/>
    <n v="3183.0399999999995"/>
    <n v="0.55999999999999994"/>
    <x v="2"/>
  </r>
  <r>
    <x v="2"/>
    <n v="1197831"/>
    <x v="263"/>
    <x v="1"/>
    <s v="Tennessee"/>
    <s v="Knoxville"/>
    <x v="1"/>
    <n v="29"/>
    <n v="189"/>
    <n v="5481"/>
    <n v="3069.3599999999997"/>
    <n v="0.55999999999999994"/>
    <x v="2"/>
  </r>
  <r>
    <x v="2"/>
    <n v="1197831"/>
    <x v="264"/>
    <x v="1"/>
    <s v="Tennessee"/>
    <s v="Knoxville"/>
    <x v="2"/>
    <n v="50"/>
    <n v="174"/>
    <n v="8700"/>
    <n v="4871.9999999999991"/>
    <n v="0.55999999999999994"/>
    <x v="2"/>
  </r>
  <r>
    <x v="2"/>
    <n v="1197831"/>
    <x v="265"/>
    <x v="1"/>
    <s v="Tennessee"/>
    <s v="Knoxville"/>
    <x v="3"/>
    <n v="52"/>
    <n v="133"/>
    <n v="6916"/>
    <n v="4772.04"/>
    <n v="0.69000000000000006"/>
    <x v="2"/>
  </r>
  <r>
    <x v="2"/>
    <n v="1197831"/>
    <x v="266"/>
    <x v="1"/>
    <s v="Tennessee"/>
    <s v="Knoxville"/>
    <x v="4"/>
    <n v="51"/>
    <n v="113"/>
    <n v="5763"/>
    <n v="3054.3900000000003"/>
    <n v="0.53"/>
    <x v="2"/>
  </r>
  <r>
    <x v="2"/>
    <n v="1197831"/>
    <x v="267"/>
    <x v="1"/>
    <s v="Tennessee"/>
    <s v="Knoxville"/>
    <x v="5"/>
    <n v="59"/>
    <n v="169"/>
    <n v="9971"/>
    <n v="7079.4100000000008"/>
    <n v="0.71000000000000008"/>
    <x v="2"/>
  </r>
  <r>
    <x v="2"/>
    <n v="1197831"/>
    <x v="268"/>
    <x v="1"/>
    <s v="Tennessee"/>
    <s v="Knoxville"/>
    <x v="0"/>
    <n v="53"/>
    <n v="200"/>
    <n v="10600"/>
    <n v="6148"/>
    <n v="0.57999999999999996"/>
    <x v="2"/>
  </r>
  <r>
    <x v="2"/>
    <n v="1197831"/>
    <x v="269"/>
    <x v="1"/>
    <s v="Tennessee"/>
    <s v="Knoxville"/>
    <x v="1"/>
    <n v="51"/>
    <n v="240"/>
    <n v="12240"/>
    <n v="6731.9999999999991"/>
    <n v="0.54999999999999993"/>
    <x v="2"/>
  </r>
  <r>
    <x v="2"/>
    <n v="1197831"/>
    <x v="270"/>
    <x v="1"/>
    <s v="Tennessee"/>
    <s v="Knoxville"/>
    <x v="2"/>
    <n v="54"/>
    <n v="210"/>
    <n v="11340"/>
    <n v="6236.9999999999991"/>
    <n v="0.54999999999999993"/>
    <x v="2"/>
  </r>
  <r>
    <x v="2"/>
    <n v="1197831"/>
    <x v="271"/>
    <x v="1"/>
    <s v="Tennessee"/>
    <s v="Knoxville"/>
    <x v="3"/>
    <n v="54"/>
    <n v="149"/>
    <n v="8046"/>
    <n v="5551.7400000000007"/>
    <n v="0.69000000000000006"/>
    <x v="2"/>
  </r>
  <r>
    <x v="2"/>
    <n v="1197831"/>
    <x v="272"/>
    <x v="1"/>
    <s v="Tennessee"/>
    <s v="Knoxville"/>
    <x v="4"/>
    <n v="50"/>
    <n v="140"/>
    <n v="7000"/>
    <n v="3500"/>
    <n v="0.5"/>
    <x v="2"/>
  </r>
  <r>
    <x v="2"/>
    <n v="1197831"/>
    <x v="273"/>
    <x v="1"/>
    <s v="Tennessee"/>
    <s v="Knoxville"/>
    <x v="5"/>
    <n v="61"/>
    <n v="225"/>
    <n v="13725"/>
    <n v="10156.500000000002"/>
    <n v="0.7400000000000001"/>
    <x v="2"/>
  </r>
  <r>
    <x v="0"/>
    <n v="1185732"/>
    <x v="274"/>
    <x v="1"/>
    <s v="Tennessee"/>
    <s v="Knoxville"/>
    <x v="0"/>
    <n v="32"/>
    <n v="119"/>
    <n v="3808"/>
    <n v="1904"/>
    <n v="0.5"/>
    <x v="2"/>
  </r>
  <r>
    <x v="0"/>
    <n v="1185732"/>
    <x v="275"/>
    <x v="1"/>
    <s v="Tennessee"/>
    <s v="Knoxville"/>
    <x v="1"/>
    <n v="32"/>
    <n v="56"/>
    <n v="1792"/>
    <n v="878.07999999999993"/>
    <n v="0.49"/>
    <x v="2"/>
  </r>
  <r>
    <x v="0"/>
    <n v="1185732"/>
    <x v="276"/>
    <x v="1"/>
    <s v="Tennessee"/>
    <s v="Knoxville"/>
    <x v="2"/>
    <n v="24"/>
    <n v="65"/>
    <n v="1560"/>
    <n v="748.8"/>
    <n v="0.48"/>
    <x v="2"/>
  </r>
  <r>
    <x v="0"/>
    <n v="1185732"/>
    <x v="277"/>
    <x v="1"/>
    <s v="Tennessee"/>
    <s v="Knoxville"/>
    <x v="3"/>
    <n v="27"/>
    <n v="19"/>
    <n v="513"/>
    <n v="271.89"/>
    <n v="0.53"/>
    <x v="2"/>
  </r>
  <r>
    <x v="0"/>
    <n v="1185732"/>
    <x v="278"/>
    <x v="3"/>
    <s v="Nebraska"/>
    <s v="Omaha"/>
    <x v="4"/>
    <n v="43"/>
    <n v="35"/>
    <n v="1505"/>
    <n v="677.24999999999989"/>
    <n v="0.44999999999999996"/>
    <x v="2"/>
  </r>
  <r>
    <x v="0"/>
    <n v="1185732"/>
    <x v="279"/>
    <x v="3"/>
    <s v="Nebraska"/>
    <s v="Omaha"/>
    <x v="5"/>
    <n v="32"/>
    <n v="68"/>
    <n v="2176"/>
    <n v="1327.36"/>
    <n v="0.61"/>
    <x v="2"/>
  </r>
  <r>
    <x v="0"/>
    <n v="1185732"/>
    <x v="280"/>
    <x v="3"/>
    <s v="Nebraska"/>
    <s v="Omaha"/>
    <x v="0"/>
    <n v="32"/>
    <n v="119"/>
    <n v="3808"/>
    <n v="2056.3200000000002"/>
    <n v="0.54"/>
    <x v="2"/>
  </r>
  <r>
    <x v="0"/>
    <n v="1185732"/>
    <x v="281"/>
    <x v="3"/>
    <s v="Nebraska"/>
    <s v="Omaha"/>
    <x v="1"/>
    <n v="33"/>
    <n v="38"/>
    <n v="1254"/>
    <n v="627"/>
    <n v="0.5"/>
    <x v="2"/>
  </r>
  <r>
    <x v="0"/>
    <n v="1185732"/>
    <x v="282"/>
    <x v="3"/>
    <s v="Nebraska"/>
    <s v="Omaha"/>
    <x v="2"/>
    <n v="23"/>
    <n v="47"/>
    <n v="1081"/>
    <n v="540.5"/>
    <n v="0.5"/>
    <x v="2"/>
  </r>
  <r>
    <x v="0"/>
    <n v="1185732"/>
    <x v="283"/>
    <x v="3"/>
    <s v="Nebraska"/>
    <s v="Omaha"/>
    <x v="3"/>
    <n v="29"/>
    <n v="14"/>
    <n v="406"/>
    <n v="203"/>
    <n v="0.5"/>
    <x v="2"/>
  </r>
  <r>
    <x v="0"/>
    <n v="1185732"/>
    <x v="284"/>
    <x v="3"/>
    <s v="Nebraska"/>
    <s v="Omaha"/>
    <x v="4"/>
    <n v="41"/>
    <n v="31"/>
    <n v="1271"/>
    <n v="622.79"/>
    <n v="0.49"/>
    <x v="2"/>
  </r>
  <r>
    <x v="0"/>
    <n v="1185732"/>
    <x v="285"/>
    <x v="3"/>
    <s v="Nebraska"/>
    <s v="Omaha"/>
    <x v="5"/>
    <n v="32"/>
    <n v="60"/>
    <n v="1920"/>
    <n v="1190.4000000000001"/>
    <n v="0.62"/>
    <x v="2"/>
  </r>
  <r>
    <x v="0"/>
    <n v="1185732"/>
    <x v="286"/>
    <x v="3"/>
    <s v="Nebraska"/>
    <s v="Omaha"/>
    <x v="0"/>
    <n v="38"/>
    <n v="122"/>
    <n v="4636"/>
    <n v="2503.44"/>
    <n v="0.54"/>
    <x v="2"/>
  </r>
  <r>
    <x v="0"/>
    <n v="1185732"/>
    <x v="287"/>
    <x v="3"/>
    <s v="Nebraska"/>
    <s v="Omaha"/>
    <x v="1"/>
    <n v="39"/>
    <n v="26"/>
    <n v="1014"/>
    <n v="466.43999999999994"/>
    <n v="0.45999999999999996"/>
    <x v="2"/>
  </r>
  <r>
    <x v="0"/>
    <n v="1185732"/>
    <x v="288"/>
    <x v="3"/>
    <s v="Nebraska"/>
    <s v="Omaha"/>
    <x v="2"/>
    <n v="29"/>
    <n v="39"/>
    <n v="1131"/>
    <n v="565.5"/>
    <n v="0.5"/>
    <x v="2"/>
  </r>
  <r>
    <x v="0"/>
    <n v="1185732"/>
    <x v="289"/>
    <x v="3"/>
    <s v="Nebraska"/>
    <s v="Omaha"/>
    <x v="3"/>
    <n v="33"/>
    <n v="0"/>
    <n v="0"/>
    <n v="0"/>
    <n v="0.55000000000000004"/>
    <x v="2"/>
  </r>
  <r>
    <x v="0"/>
    <n v="1185732"/>
    <x v="290"/>
    <x v="3"/>
    <s v="Nebraska"/>
    <s v="Omaha"/>
    <x v="4"/>
    <n v="45"/>
    <n v="13"/>
    <n v="585"/>
    <n v="274.95"/>
    <n v="0.47"/>
    <x v="2"/>
  </r>
  <r>
    <x v="0"/>
    <n v="1185732"/>
    <x v="291"/>
    <x v="3"/>
    <s v="Nebraska"/>
    <s v="Omaha"/>
    <x v="5"/>
    <n v="37"/>
    <n v="38"/>
    <n v="1406"/>
    <n v="857.66"/>
    <n v="0.61"/>
    <x v="2"/>
  </r>
  <r>
    <x v="0"/>
    <n v="1185732"/>
    <x v="292"/>
    <x v="3"/>
    <s v="Nebraska"/>
    <s v="Omaha"/>
    <x v="0"/>
    <n v="38"/>
    <n v="105"/>
    <n v="3990"/>
    <n v="2114.7000000000003"/>
    <n v="0.53"/>
    <x v="2"/>
  </r>
  <r>
    <x v="0"/>
    <n v="1185732"/>
    <x v="293"/>
    <x v="3"/>
    <s v="Nebraska"/>
    <s v="Omaha"/>
    <x v="1"/>
    <n v="32"/>
    <n v="23"/>
    <n v="736"/>
    <n v="331.2"/>
    <n v="0.44999999999999996"/>
    <x v="2"/>
  </r>
  <r>
    <x v="0"/>
    <n v="1185732"/>
    <x v="294"/>
    <x v="3"/>
    <s v="Nebraska"/>
    <s v="Omaha"/>
    <x v="2"/>
    <n v="23"/>
    <n v="21"/>
    <n v="483"/>
    <n v="217.34999999999997"/>
    <n v="0.44999999999999996"/>
    <x v="2"/>
  </r>
  <r>
    <x v="0"/>
    <n v="1185732"/>
    <x v="295"/>
    <x v="3"/>
    <s v="Nebraska"/>
    <s v="Omaha"/>
    <x v="3"/>
    <n v="27"/>
    <n v="0"/>
    <n v="0"/>
    <n v="0"/>
    <n v="0.53"/>
    <x v="2"/>
  </r>
  <r>
    <x v="0"/>
    <n v="1185732"/>
    <x v="296"/>
    <x v="3"/>
    <s v="Nebraska"/>
    <s v="Omaha"/>
    <x v="4"/>
    <n v="42"/>
    <n v="6"/>
    <n v="252"/>
    <n v="120.96"/>
    <n v="0.48"/>
    <x v="2"/>
  </r>
  <r>
    <x v="0"/>
    <n v="1185732"/>
    <x v="297"/>
    <x v="3"/>
    <s v="Nebraska"/>
    <s v="Omaha"/>
    <x v="5"/>
    <n v="34"/>
    <n v="39"/>
    <n v="1326"/>
    <n v="822.12"/>
    <n v="0.62"/>
    <x v="2"/>
  </r>
  <r>
    <x v="0"/>
    <n v="1185732"/>
    <x v="298"/>
    <x v="3"/>
    <s v="Nebraska"/>
    <s v="Omaha"/>
    <x v="0"/>
    <n v="44"/>
    <n v="118"/>
    <n v="5192"/>
    <n v="2803.6800000000003"/>
    <n v="0.54"/>
    <x v="2"/>
  </r>
  <r>
    <x v="0"/>
    <n v="1185732"/>
    <x v="299"/>
    <x v="3"/>
    <s v="Nebraska"/>
    <s v="Omaha"/>
    <x v="1"/>
    <n v="38"/>
    <n v="33"/>
    <n v="1254"/>
    <n v="627"/>
    <n v="0.5"/>
    <x v="2"/>
  </r>
  <r>
    <x v="0"/>
    <n v="1185732"/>
    <x v="300"/>
    <x v="3"/>
    <s v="Nebraska"/>
    <s v="Omaha"/>
    <x v="2"/>
    <n v="32"/>
    <n v="30"/>
    <n v="960"/>
    <n v="460.79999999999995"/>
    <n v="0.48"/>
    <x v="2"/>
  </r>
  <r>
    <x v="0"/>
    <n v="1185732"/>
    <x v="301"/>
    <x v="3"/>
    <s v="Nebraska"/>
    <s v="Omaha"/>
    <x v="3"/>
    <n v="34"/>
    <n v="7"/>
    <n v="238"/>
    <n v="126.14"/>
    <n v="0.53"/>
    <x v="2"/>
  </r>
  <r>
    <x v="0"/>
    <n v="1185732"/>
    <x v="302"/>
    <x v="3"/>
    <s v="Nebraska"/>
    <s v="Omaha"/>
    <x v="4"/>
    <n v="46"/>
    <n v="13"/>
    <n v="598"/>
    <n v="275.08"/>
    <n v="0.45999999999999996"/>
    <x v="2"/>
  </r>
  <r>
    <x v="0"/>
    <n v="1185732"/>
    <x v="303"/>
    <x v="3"/>
    <s v="Nebraska"/>
    <s v="Omaha"/>
    <x v="5"/>
    <n v="51"/>
    <n v="41"/>
    <n v="2091"/>
    <n v="1296.42"/>
    <n v="0.62"/>
    <x v="2"/>
  </r>
  <r>
    <x v="0"/>
    <n v="1185732"/>
    <x v="304"/>
    <x v="3"/>
    <s v="Nebraska"/>
    <s v="Omaha"/>
    <x v="0"/>
    <n v="36"/>
    <n v="120"/>
    <n v="4320"/>
    <n v="2289.6"/>
    <n v="0.53"/>
    <x v="2"/>
  </r>
  <r>
    <x v="0"/>
    <n v="1185732"/>
    <x v="305"/>
    <x v="3"/>
    <s v="Nebraska"/>
    <s v="Omaha"/>
    <x v="1"/>
    <n v="32"/>
    <n v="45"/>
    <n v="1440"/>
    <n v="720"/>
    <n v="0.5"/>
    <x v="2"/>
  </r>
  <r>
    <x v="0"/>
    <n v="1185732"/>
    <x v="306"/>
    <x v="3"/>
    <s v="Nebraska"/>
    <s v="Omaha"/>
    <x v="2"/>
    <n v="27"/>
    <n v="46"/>
    <n v="1242"/>
    <n v="558.9"/>
    <n v="0.44999999999999996"/>
    <x v="2"/>
  </r>
  <r>
    <x v="0"/>
    <n v="1185732"/>
    <x v="307"/>
    <x v="3"/>
    <s v="Nebraska"/>
    <s v="Omaha"/>
    <x v="3"/>
    <n v="27"/>
    <n v="39"/>
    <n v="1053"/>
    <n v="568.62"/>
    <n v="0.54"/>
    <x v="2"/>
  </r>
  <r>
    <x v="0"/>
    <n v="1185732"/>
    <x v="308"/>
    <x v="3"/>
    <s v="Nebraska"/>
    <s v="Omaha"/>
    <x v="4"/>
    <n v="42"/>
    <n v="42"/>
    <n v="1764"/>
    <n v="882"/>
    <n v="0.5"/>
    <x v="2"/>
  </r>
  <r>
    <x v="0"/>
    <n v="1185732"/>
    <x v="309"/>
    <x v="3"/>
    <s v="Nebraska"/>
    <s v="Omaha"/>
    <x v="5"/>
    <n v="49"/>
    <n v="85"/>
    <n v="4165"/>
    <n v="2582.3000000000002"/>
    <n v="0.62"/>
    <x v="2"/>
  </r>
  <r>
    <x v="0"/>
    <n v="1185732"/>
    <x v="310"/>
    <x v="3"/>
    <s v="Nebraska"/>
    <s v="Omaha"/>
    <x v="0"/>
    <n v="43"/>
    <n v="165"/>
    <n v="7095"/>
    <n v="3618.4500000000003"/>
    <n v="0.51"/>
    <x v="2"/>
  </r>
  <r>
    <x v="0"/>
    <n v="1185732"/>
    <x v="311"/>
    <x v="3"/>
    <s v="Nebraska"/>
    <s v="Omaha"/>
    <x v="1"/>
    <n v="37"/>
    <n v="81"/>
    <n v="2997"/>
    <n v="1348.6499999999999"/>
    <n v="0.44999999999999996"/>
    <x v="2"/>
  </r>
  <r>
    <x v="0"/>
    <n v="1185732"/>
    <x v="312"/>
    <x v="3"/>
    <s v="Nebraska"/>
    <s v="Omaha"/>
    <x v="2"/>
    <n v="34"/>
    <n v="63"/>
    <n v="2142"/>
    <n v="963.89999999999986"/>
    <n v="0.44999999999999996"/>
    <x v="2"/>
  </r>
  <r>
    <x v="0"/>
    <n v="1185732"/>
    <x v="313"/>
    <x v="3"/>
    <s v="Nebraska"/>
    <s v="Omaha"/>
    <x v="3"/>
    <n v="33"/>
    <n v="46"/>
    <n v="1518"/>
    <n v="789.36"/>
    <n v="0.52"/>
    <x v="2"/>
  </r>
  <r>
    <x v="0"/>
    <n v="1185732"/>
    <x v="314"/>
    <x v="3"/>
    <s v="Nebraska"/>
    <s v="Omaha"/>
    <x v="4"/>
    <n v="41"/>
    <n v="44"/>
    <n v="1804"/>
    <n v="883.96"/>
    <n v="0.49"/>
    <x v="2"/>
  </r>
  <r>
    <x v="0"/>
    <n v="1185732"/>
    <x v="315"/>
    <x v="3"/>
    <s v="Nebraska"/>
    <s v="Omaha"/>
    <x v="5"/>
    <n v="49"/>
    <n v="91"/>
    <n v="4459"/>
    <n v="2809.17"/>
    <n v="0.63"/>
    <x v="2"/>
  </r>
  <r>
    <x v="0"/>
    <n v="1185732"/>
    <x v="316"/>
    <x v="3"/>
    <s v="Nebraska"/>
    <s v="Omaha"/>
    <x v="0"/>
    <n v="41"/>
    <n v="145"/>
    <n v="5945"/>
    <n v="3150.8500000000004"/>
    <n v="0.53"/>
    <x v="2"/>
  </r>
  <r>
    <x v="0"/>
    <n v="1185732"/>
    <x v="317"/>
    <x v="3"/>
    <s v="Nebraska"/>
    <s v="Omaha"/>
    <x v="1"/>
    <n v="42"/>
    <n v="80"/>
    <n v="3360"/>
    <n v="1646.3999999999999"/>
    <n v="0.49"/>
    <x v="2"/>
  </r>
  <r>
    <x v="0"/>
    <n v="1185732"/>
    <x v="318"/>
    <x v="3"/>
    <s v="Nebraska"/>
    <s v="Omaha"/>
    <x v="2"/>
    <n v="36"/>
    <n v="52"/>
    <n v="1872"/>
    <n v="898.56"/>
    <n v="0.48"/>
    <x v="2"/>
  </r>
  <r>
    <x v="0"/>
    <n v="1185732"/>
    <x v="319"/>
    <x v="3"/>
    <s v="Nebraska"/>
    <s v="Omaha"/>
    <x v="3"/>
    <n v="29"/>
    <n v="38"/>
    <n v="1102"/>
    <n v="562.02"/>
    <n v="0.51"/>
    <x v="2"/>
  </r>
  <r>
    <x v="0"/>
    <n v="1185732"/>
    <x v="320"/>
    <x v="3"/>
    <s v="Nebraska"/>
    <s v="Omaha"/>
    <x v="4"/>
    <n v="37"/>
    <n v="27"/>
    <n v="999"/>
    <n v="479.52"/>
    <n v="0.48"/>
    <x v="2"/>
  </r>
  <r>
    <x v="0"/>
    <n v="1185732"/>
    <x v="321"/>
    <x v="3"/>
    <s v="Nebraska"/>
    <s v="Omaha"/>
    <x v="5"/>
    <n v="44"/>
    <n v="69"/>
    <n v="3036"/>
    <n v="1821.6"/>
    <n v="0.6"/>
    <x v="2"/>
  </r>
  <r>
    <x v="0"/>
    <n v="1185732"/>
    <x v="322"/>
    <x v="3"/>
    <s v="Nebraska"/>
    <s v="Omaha"/>
    <x v="0"/>
    <n v="38"/>
    <n v="112"/>
    <n v="4256"/>
    <n v="2298.2400000000002"/>
    <n v="0.54"/>
    <x v="2"/>
  </r>
  <r>
    <x v="0"/>
    <n v="1185732"/>
    <x v="323"/>
    <x v="3"/>
    <s v="Nebraska"/>
    <s v="Omaha"/>
    <x v="1"/>
    <n v="33"/>
    <n v="56"/>
    <n v="1848"/>
    <n v="850.07999999999993"/>
    <n v="0.45999999999999996"/>
    <x v="2"/>
  </r>
  <r>
    <x v="0"/>
    <n v="1185732"/>
    <x v="324"/>
    <x v="3"/>
    <s v="Nebraska"/>
    <s v="Omaha"/>
    <x v="2"/>
    <n v="18"/>
    <n v="25"/>
    <n v="450"/>
    <n v="216"/>
    <n v="0.48"/>
    <x v="2"/>
  </r>
  <r>
    <x v="0"/>
    <n v="1185732"/>
    <x v="325"/>
    <x v="3"/>
    <s v="Nebraska"/>
    <s v="Omaha"/>
    <x v="3"/>
    <n v="19"/>
    <n v="23"/>
    <n v="437"/>
    <n v="227.24"/>
    <n v="0.52"/>
    <x v="2"/>
  </r>
  <r>
    <x v="0"/>
    <n v="1185732"/>
    <x v="326"/>
    <x v="3"/>
    <s v="Nebraska"/>
    <s v="Omaha"/>
    <x v="4"/>
    <n v="29"/>
    <n v="21"/>
    <n v="609"/>
    <n v="292.32"/>
    <n v="0.48"/>
    <x v="2"/>
  </r>
  <r>
    <x v="0"/>
    <n v="1185732"/>
    <x v="327"/>
    <x v="3"/>
    <s v="Nebraska"/>
    <s v="Omaha"/>
    <x v="5"/>
    <n v="34"/>
    <n v="39"/>
    <n v="1326"/>
    <n v="822.12"/>
    <n v="0.62"/>
    <x v="2"/>
  </r>
  <r>
    <x v="0"/>
    <n v="1185732"/>
    <x v="328"/>
    <x v="3"/>
    <s v="Nebraska"/>
    <s v="Omaha"/>
    <x v="0"/>
    <n v="36"/>
    <n v="94"/>
    <n v="3384"/>
    <n v="1827.3600000000001"/>
    <n v="0.54"/>
    <x v="2"/>
  </r>
  <r>
    <x v="0"/>
    <n v="1185732"/>
    <x v="329"/>
    <x v="3"/>
    <s v="Nebraska"/>
    <s v="Omaha"/>
    <x v="1"/>
    <n v="29"/>
    <n v="41"/>
    <n v="1189"/>
    <n v="546.93999999999994"/>
    <n v="0.45999999999999996"/>
    <x v="2"/>
  </r>
  <r>
    <x v="0"/>
    <n v="1185732"/>
    <x v="330"/>
    <x v="3"/>
    <s v="Nebraska"/>
    <s v="Omaha"/>
    <x v="2"/>
    <n v="29"/>
    <n v="14"/>
    <n v="406"/>
    <n v="203"/>
    <n v="0.5"/>
    <x v="2"/>
  </r>
  <r>
    <x v="0"/>
    <n v="1185732"/>
    <x v="331"/>
    <x v="3"/>
    <s v="Nebraska"/>
    <s v="Omaha"/>
    <x v="3"/>
    <n v="29"/>
    <n v="7"/>
    <n v="203"/>
    <n v="107.59"/>
    <n v="0.53"/>
    <x v="2"/>
  </r>
  <r>
    <x v="0"/>
    <n v="1185732"/>
    <x v="332"/>
    <x v="3"/>
    <s v="Nebraska"/>
    <s v="Omaha"/>
    <x v="4"/>
    <n v="37"/>
    <n v="7"/>
    <n v="259"/>
    <n v="124.32"/>
    <n v="0.48"/>
    <x v="2"/>
  </r>
  <r>
    <x v="0"/>
    <n v="1185732"/>
    <x v="333"/>
    <x v="3"/>
    <s v="Nebraska"/>
    <s v="Omaha"/>
    <x v="5"/>
    <n v="44"/>
    <n v="38"/>
    <n v="1672"/>
    <n v="1053.3599999999999"/>
    <n v="0.63"/>
    <x v="2"/>
  </r>
  <r>
    <x v="0"/>
    <n v="1185732"/>
    <x v="334"/>
    <x v="3"/>
    <s v="Nebraska"/>
    <s v="Omaha"/>
    <x v="0"/>
    <n v="37"/>
    <n v="84"/>
    <n v="3108"/>
    <n v="1678.3200000000002"/>
    <n v="0.54"/>
    <x v="2"/>
  </r>
  <r>
    <x v="0"/>
    <n v="1185732"/>
    <x v="335"/>
    <x v="3"/>
    <s v="Nebraska"/>
    <s v="Omaha"/>
    <x v="1"/>
    <n v="29"/>
    <n v="41"/>
    <n v="1189"/>
    <n v="546.93999999999994"/>
    <n v="0.45999999999999996"/>
    <x v="2"/>
  </r>
  <r>
    <x v="0"/>
    <n v="1185732"/>
    <x v="336"/>
    <x v="3"/>
    <s v="Nebraska"/>
    <s v="Omaha"/>
    <x v="2"/>
    <n v="29"/>
    <n v="25"/>
    <n v="725"/>
    <n v="340.75"/>
    <n v="0.47"/>
    <x v="2"/>
  </r>
  <r>
    <x v="0"/>
    <n v="1185732"/>
    <x v="337"/>
    <x v="3"/>
    <s v="Nebraska"/>
    <s v="Omaha"/>
    <x v="3"/>
    <n v="27"/>
    <n v="36"/>
    <n v="972"/>
    <n v="534.6"/>
    <n v="0.55000000000000004"/>
    <x v="2"/>
  </r>
  <r>
    <x v="0"/>
    <n v="1185732"/>
    <x v="338"/>
    <x v="3"/>
    <s v="Nebraska"/>
    <s v="Omaha"/>
    <x v="4"/>
    <n v="48"/>
    <n v="27"/>
    <n v="1296"/>
    <n v="583.19999999999993"/>
    <n v="0.44999999999999996"/>
    <x v="2"/>
  </r>
  <r>
    <x v="0"/>
    <n v="1185732"/>
    <x v="339"/>
    <x v="3"/>
    <s v="Nebraska"/>
    <s v="Omaha"/>
    <x v="5"/>
    <n v="53"/>
    <n v="58"/>
    <n v="3074"/>
    <n v="1905.8799999999999"/>
    <n v="0.62"/>
    <x v="2"/>
  </r>
  <r>
    <x v="0"/>
    <n v="1185732"/>
    <x v="340"/>
    <x v="3"/>
    <s v="Nebraska"/>
    <s v="Omaha"/>
    <x v="0"/>
    <n v="49"/>
    <n v="117"/>
    <n v="5733"/>
    <n v="2866.5"/>
    <n v="0.5"/>
    <x v="2"/>
  </r>
  <r>
    <x v="0"/>
    <n v="1185732"/>
    <x v="341"/>
    <x v="3"/>
    <s v="Nebraska"/>
    <s v="Omaha"/>
    <x v="1"/>
    <n v="36"/>
    <n v="63"/>
    <n v="2268"/>
    <n v="1134"/>
    <n v="0.5"/>
    <x v="2"/>
  </r>
  <r>
    <x v="0"/>
    <n v="1185732"/>
    <x v="342"/>
    <x v="3"/>
    <s v="Nebraska"/>
    <s v="Omaha"/>
    <x v="2"/>
    <n v="39"/>
    <n v="60"/>
    <n v="2340"/>
    <n v="1146.5999999999999"/>
    <n v="0.49"/>
    <x v="2"/>
  </r>
  <r>
    <x v="0"/>
    <n v="1185732"/>
    <x v="343"/>
    <x v="3"/>
    <s v="Nebraska"/>
    <s v="Omaha"/>
    <x v="3"/>
    <n v="38"/>
    <n v="38"/>
    <n v="1444"/>
    <n v="794.2"/>
    <n v="0.55000000000000004"/>
    <x v="2"/>
  </r>
  <r>
    <x v="0"/>
    <n v="1185732"/>
    <x v="344"/>
    <x v="3"/>
    <s v="Nebraska"/>
    <s v="Omaha"/>
    <x v="4"/>
    <n v="45"/>
    <n v="39"/>
    <n v="1755"/>
    <n v="842.4"/>
    <n v="0.48"/>
    <x v="2"/>
  </r>
  <r>
    <x v="0"/>
    <n v="1185732"/>
    <x v="345"/>
    <x v="3"/>
    <s v="Nebraska"/>
    <s v="Omaha"/>
    <x v="5"/>
    <n v="54"/>
    <n v="65"/>
    <n v="3510"/>
    <n v="2176.1999999999998"/>
    <n v="0.62"/>
    <x v="2"/>
  </r>
  <r>
    <x v="2"/>
    <n v="1197831"/>
    <x v="346"/>
    <x v="3"/>
    <s v="Nebraska"/>
    <s v="Omaha"/>
    <x v="0"/>
    <n v="19"/>
    <n v="203"/>
    <n v="3857"/>
    <n v="2044.21"/>
    <n v="0.53"/>
    <x v="2"/>
  </r>
  <r>
    <x v="2"/>
    <n v="1197831"/>
    <x v="347"/>
    <x v="3"/>
    <s v="Nebraska"/>
    <s v="Omaha"/>
    <x v="1"/>
    <n v="29"/>
    <n v="196"/>
    <n v="5684"/>
    <n v="3069.36"/>
    <n v="0.54"/>
    <x v="2"/>
  </r>
  <r>
    <x v="2"/>
    <n v="1197831"/>
    <x v="348"/>
    <x v="3"/>
    <s v="Nebraska"/>
    <s v="Omaha"/>
    <x v="2"/>
    <n v="28"/>
    <n v="138"/>
    <n v="3864"/>
    <n v="2125.1999999999998"/>
    <n v="0.54999999999999993"/>
    <x v="2"/>
  </r>
  <r>
    <x v="2"/>
    <n v="1197831"/>
    <x v="349"/>
    <x v="3"/>
    <s v="Nebraska"/>
    <s v="Omaha"/>
    <x v="3"/>
    <n v="33"/>
    <n v="138"/>
    <n v="4554"/>
    <n v="2914.56"/>
    <n v="0.64"/>
    <x v="2"/>
  </r>
  <r>
    <x v="2"/>
    <n v="1197831"/>
    <x v="350"/>
    <x v="1"/>
    <s v="Alabama"/>
    <s v="Birmingham"/>
    <x v="4"/>
    <n v="37"/>
    <n v="88"/>
    <n v="3256"/>
    <n v="1562.8799999999999"/>
    <n v="0.48"/>
    <x v="2"/>
  </r>
  <r>
    <x v="2"/>
    <n v="1197831"/>
    <x v="351"/>
    <x v="1"/>
    <s v="Alabama"/>
    <s v="Birmingham"/>
    <x v="5"/>
    <n v="32"/>
    <n v="138"/>
    <n v="4416"/>
    <n v="3091.2000000000003"/>
    <n v="0.70000000000000007"/>
    <x v="2"/>
  </r>
  <r>
    <x v="2"/>
    <n v="1197831"/>
    <x v="352"/>
    <x v="1"/>
    <s v="Alabama"/>
    <s v="Birmingham"/>
    <x v="0"/>
    <n v="24"/>
    <n v="156"/>
    <n v="3744"/>
    <n v="2021.7600000000002"/>
    <n v="0.54"/>
    <x v="2"/>
  </r>
  <r>
    <x v="2"/>
    <n v="1197831"/>
    <x v="353"/>
    <x v="1"/>
    <s v="Alabama"/>
    <s v="Birmingham"/>
    <x v="1"/>
    <n v="33"/>
    <n v="174"/>
    <n v="5742"/>
    <n v="3100.6800000000003"/>
    <n v="0.54"/>
    <x v="2"/>
  </r>
  <r>
    <x v="2"/>
    <n v="1197831"/>
    <x v="354"/>
    <x v="1"/>
    <s v="Alabama"/>
    <s v="Birmingham"/>
    <x v="2"/>
    <n v="32"/>
    <n v="128"/>
    <n v="4096"/>
    <n v="2129.92"/>
    <n v="0.52"/>
    <x v="2"/>
  </r>
  <r>
    <x v="2"/>
    <n v="1197831"/>
    <x v="355"/>
    <x v="1"/>
    <s v="Alabama"/>
    <s v="Birmingham"/>
    <x v="3"/>
    <n v="32"/>
    <n v="98"/>
    <n v="3136"/>
    <n v="1944.32"/>
    <n v="0.62"/>
    <x v="2"/>
  </r>
  <r>
    <x v="2"/>
    <n v="1197831"/>
    <x v="356"/>
    <x v="1"/>
    <s v="Alabama"/>
    <s v="Birmingham"/>
    <x v="4"/>
    <n v="38"/>
    <n v="68"/>
    <n v="2584"/>
    <n v="1240.32"/>
    <n v="0.48"/>
    <x v="2"/>
  </r>
  <r>
    <x v="2"/>
    <n v="1197831"/>
    <x v="357"/>
    <x v="1"/>
    <s v="Alabama"/>
    <s v="Birmingham"/>
    <x v="5"/>
    <n v="33"/>
    <n v="126"/>
    <n v="4158"/>
    <n v="2785.86"/>
    <n v="0.67"/>
    <x v="2"/>
  </r>
  <r>
    <x v="2"/>
    <n v="1197831"/>
    <x v="358"/>
    <x v="1"/>
    <s v="Alabama"/>
    <s v="Birmingham"/>
    <x v="0"/>
    <n v="28"/>
    <n v="163"/>
    <n v="4564"/>
    <n v="2510.1999999999998"/>
    <n v="0.54999999999999993"/>
    <x v="2"/>
  </r>
  <r>
    <x v="2"/>
    <n v="1197831"/>
    <x v="359"/>
    <x v="1"/>
    <s v="Alabama"/>
    <s v="Birmingham"/>
    <x v="1"/>
    <n v="36"/>
    <n v="188"/>
    <n v="6768"/>
    <n v="3722.3999999999996"/>
    <n v="0.54999999999999993"/>
    <x v="2"/>
  </r>
  <r>
    <x v="2"/>
    <n v="1197831"/>
    <x v="360"/>
    <x v="1"/>
    <s v="Alabama"/>
    <s v="Birmingham"/>
    <x v="2"/>
    <n v="27"/>
    <n v="117"/>
    <n v="3159"/>
    <n v="1832.2199999999998"/>
    <n v="0.57999999999999996"/>
    <x v="2"/>
  </r>
  <r>
    <x v="2"/>
    <n v="1197831"/>
    <x v="361"/>
    <x v="1"/>
    <s v="Alabama"/>
    <s v="Birmingham"/>
    <x v="3"/>
    <n v="33"/>
    <n v="105"/>
    <n v="3465"/>
    <n v="2356.2000000000003"/>
    <n v="0.68"/>
    <x v="2"/>
  </r>
  <r>
    <x v="2"/>
    <n v="1197831"/>
    <x v="362"/>
    <x v="1"/>
    <s v="Alabama"/>
    <s v="Birmingham"/>
    <x v="4"/>
    <n v="37"/>
    <n v="73"/>
    <n v="2701"/>
    <n v="1350.5"/>
    <n v="0.5"/>
    <x v="2"/>
  </r>
  <r>
    <x v="2"/>
    <n v="1197831"/>
    <x v="363"/>
    <x v="1"/>
    <s v="Alabama"/>
    <s v="Birmingham"/>
    <x v="5"/>
    <n v="34"/>
    <n v="104"/>
    <n v="3536"/>
    <n v="2652.0000000000005"/>
    <n v="0.75000000000000011"/>
    <x v="2"/>
  </r>
  <r>
    <x v="2"/>
    <n v="1197831"/>
    <x v="364"/>
    <x v="1"/>
    <s v="Alabama"/>
    <s v="Birmingham"/>
    <x v="0"/>
    <n v="19"/>
    <n v="195"/>
    <n v="3705"/>
    <n v="2148.8999999999996"/>
    <n v="0.57999999999999996"/>
    <x v="2"/>
  </r>
  <r>
    <x v="2"/>
    <n v="1197831"/>
    <x v="365"/>
    <x v="1"/>
    <s v="Alabama"/>
    <s v="Birmingham"/>
    <x v="1"/>
    <n v="19"/>
    <n v="189"/>
    <n v="3591"/>
    <n v="2082.7799999999997"/>
    <n v="0.57999999999999996"/>
    <x v="2"/>
  </r>
  <r>
    <x v="2"/>
    <n v="1197831"/>
    <x v="366"/>
    <x v="1"/>
    <s v="Alabama"/>
    <s v="Birmingham"/>
    <x v="2"/>
    <n v="14"/>
    <n v="119"/>
    <n v="1666"/>
    <n v="982.93999999999994"/>
    <n v="0.59"/>
    <x v="2"/>
  </r>
  <r>
    <x v="2"/>
    <n v="1197831"/>
    <x v="367"/>
    <x v="1"/>
    <s v="Alabama"/>
    <s v="Birmingham"/>
    <x v="3"/>
    <n v="18"/>
    <n v="113"/>
    <n v="2034"/>
    <n v="1342.44"/>
    <n v="0.66"/>
    <x v="2"/>
  </r>
  <r>
    <x v="2"/>
    <n v="1197831"/>
    <x v="368"/>
    <x v="1"/>
    <s v="Alabama"/>
    <s v="Birmingham"/>
    <x v="4"/>
    <n v="23"/>
    <n v="74"/>
    <n v="1702"/>
    <n v="902.06000000000006"/>
    <n v="0.53"/>
    <x v="2"/>
  </r>
  <r>
    <x v="2"/>
    <n v="1197831"/>
    <x v="369"/>
    <x v="1"/>
    <s v="Alabama"/>
    <s v="Birmingham"/>
    <x v="5"/>
    <n v="20"/>
    <n v="149"/>
    <n v="2980"/>
    <n v="2235.0000000000005"/>
    <n v="0.75000000000000011"/>
    <x v="2"/>
  </r>
  <r>
    <x v="2"/>
    <n v="1197831"/>
    <x v="370"/>
    <x v="1"/>
    <s v="Alabama"/>
    <s v="Birmingham"/>
    <x v="0"/>
    <n v="9"/>
    <n v="203"/>
    <n v="1827"/>
    <n v="1077.9299999999998"/>
    <n v="0.59"/>
    <x v="2"/>
  </r>
  <r>
    <x v="2"/>
    <n v="1197831"/>
    <x v="371"/>
    <x v="1"/>
    <s v="Alabama"/>
    <s v="Birmingham"/>
    <x v="1"/>
    <n v="19"/>
    <n v="189"/>
    <n v="3591"/>
    <n v="2118.69"/>
    <n v="0.59"/>
    <x v="2"/>
  </r>
  <r>
    <x v="2"/>
    <n v="1197831"/>
    <x v="372"/>
    <x v="1"/>
    <s v="Alabama"/>
    <s v="Birmingham"/>
    <x v="2"/>
    <n v="15"/>
    <n v="173"/>
    <n v="2595"/>
    <n v="1453.1999999999998"/>
    <n v="0.55999999999999994"/>
    <x v="2"/>
  </r>
  <r>
    <x v="2"/>
    <n v="1197831"/>
    <x v="373"/>
    <x v="1"/>
    <s v="Alabama"/>
    <s v="Birmingham"/>
    <x v="3"/>
    <n v="34"/>
    <n v="135"/>
    <n v="4590"/>
    <n v="3121.2000000000003"/>
    <n v="0.68"/>
    <x v="2"/>
  </r>
  <r>
    <x v="2"/>
    <n v="1197831"/>
    <x v="374"/>
    <x v="1"/>
    <s v="Alabama"/>
    <s v="Birmingham"/>
    <x v="4"/>
    <n v="49"/>
    <n v="120"/>
    <n v="5880"/>
    <n v="3175.2000000000003"/>
    <n v="0.54"/>
    <x v="2"/>
  </r>
  <r>
    <x v="2"/>
    <n v="1197831"/>
    <x v="375"/>
    <x v="1"/>
    <s v="Alabama"/>
    <s v="Birmingham"/>
    <x v="5"/>
    <n v="43"/>
    <n v="203"/>
    <n v="8729"/>
    <n v="6284.880000000001"/>
    <n v="0.72000000000000008"/>
    <x v="2"/>
  </r>
  <r>
    <x v="2"/>
    <n v="1197831"/>
    <x v="376"/>
    <x v="1"/>
    <s v="Alabama"/>
    <s v="Birmingham"/>
    <x v="0"/>
    <n v="43"/>
    <n v="203"/>
    <n v="8729"/>
    <n v="4800.95"/>
    <n v="0.54999999999999993"/>
    <x v="2"/>
  </r>
  <r>
    <x v="2"/>
    <n v="1197831"/>
    <x v="377"/>
    <x v="1"/>
    <s v="Alabama"/>
    <s v="Birmingham"/>
    <x v="1"/>
    <n v="49"/>
    <n v="203"/>
    <n v="9947"/>
    <n v="5570.32"/>
    <n v="0.55999999999999994"/>
    <x v="2"/>
  </r>
  <r>
    <x v="2"/>
    <n v="1197831"/>
    <x v="378"/>
    <x v="1"/>
    <s v="Alabama"/>
    <s v="Birmingham"/>
    <x v="2"/>
    <n v="44"/>
    <n v="189"/>
    <n v="8316"/>
    <n v="4906.4399999999996"/>
    <n v="0.59"/>
    <x v="2"/>
  </r>
  <r>
    <x v="2"/>
    <n v="1197831"/>
    <x v="379"/>
    <x v="1"/>
    <s v="Alabama"/>
    <s v="Birmingham"/>
    <x v="3"/>
    <n v="41"/>
    <n v="180"/>
    <n v="7380"/>
    <n v="5092.2000000000007"/>
    <n v="0.69000000000000006"/>
    <x v="2"/>
  </r>
  <r>
    <x v="2"/>
    <n v="1197831"/>
    <x v="380"/>
    <x v="1"/>
    <s v="Alabama"/>
    <s v="Birmingham"/>
    <x v="4"/>
    <n v="49"/>
    <n v="145"/>
    <n v="7105"/>
    <n v="3907.7499999999995"/>
    <n v="0.54999999999999993"/>
    <x v="2"/>
  </r>
  <r>
    <x v="2"/>
    <n v="1197831"/>
    <x v="381"/>
    <x v="1"/>
    <s v="Alabama"/>
    <s v="Birmingham"/>
    <x v="5"/>
    <n v="50"/>
    <n v="245"/>
    <n v="12250"/>
    <n v="8820.0000000000018"/>
    <n v="0.72000000000000008"/>
    <x v="2"/>
  </r>
  <r>
    <x v="2"/>
    <n v="1197831"/>
    <x v="382"/>
    <x v="1"/>
    <s v="Alabama"/>
    <s v="Birmingham"/>
    <x v="0"/>
    <n v="44"/>
    <n v="206"/>
    <n v="9064"/>
    <n v="5800.9599999999991"/>
    <n v="0.6399999999999999"/>
    <x v="2"/>
  </r>
  <r>
    <x v="2"/>
    <n v="1197831"/>
    <x v="383"/>
    <x v="1"/>
    <s v="Alabama"/>
    <s v="Birmingham"/>
    <x v="1"/>
    <n v="49"/>
    <n v="215"/>
    <n v="10535"/>
    <n v="6742.3999999999987"/>
    <n v="0.6399999999999999"/>
    <x v="2"/>
  </r>
  <r>
    <x v="2"/>
    <n v="1197831"/>
    <x v="384"/>
    <x v="1"/>
    <s v="Alabama"/>
    <s v="Birmingham"/>
    <x v="2"/>
    <n v="41"/>
    <n v="254"/>
    <n v="10414"/>
    <n v="6560.8199999999988"/>
    <n v="0.62999999999999989"/>
    <x v="2"/>
  </r>
  <r>
    <x v="2"/>
    <n v="1197831"/>
    <x v="385"/>
    <x v="1"/>
    <s v="Alabama"/>
    <s v="Birmingham"/>
    <x v="3"/>
    <n v="44"/>
    <n v="173"/>
    <n v="7612"/>
    <n v="5632.880000000001"/>
    <n v="0.7400000000000001"/>
    <x v="2"/>
  </r>
  <r>
    <x v="2"/>
    <n v="1197831"/>
    <x v="386"/>
    <x v="1"/>
    <s v="Alabama"/>
    <s v="Birmingham"/>
    <x v="4"/>
    <n v="45"/>
    <n v="131"/>
    <n v="5895"/>
    <n v="3419.1"/>
    <n v="0.57999999999999996"/>
    <x v="2"/>
  </r>
  <r>
    <x v="2"/>
    <n v="1197831"/>
    <x v="387"/>
    <x v="1"/>
    <s v="Alabama"/>
    <s v="Birmingham"/>
    <x v="5"/>
    <n v="56"/>
    <n v="240"/>
    <n v="13440"/>
    <n v="10752.000000000002"/>
    <n v="0.80000000000000016"/>
    <x v="2"/>
  </r>
  <r>
    <x v="2"/>
    <n v="1197831"/>
    <x v="388"/>
    <x v="1"/>
    <s v="Alabama"/>
    <s v="Birmingham"/>
    <x v="0"/>
    <n v="38"/>
    <n v="225"/>
    <n v="8550"/>
    <n v="5215.5"/>
    <n v="0.61"/>
    <x v="2"/>
  </r>
  <r>
    <x v="2"/>
    <n v="1197831"/>
    <x v="389"/>
    <x v="1"/>
    <s v="Alabama"/>
    <s v="Birmingham"/>
    <x v="1"/>
    <n v="52"/>
    <n v="210"/>
    <n v="10920"/>
    <n v="7097.9999999999991"/>
    <n v="0.64999999999999991"/>
    <x v="2"/>
  </r>
  <r>
    <x v="2"/>
    <n v="1197831"/>
    <x v="390"/>
    <x v="1"/>
    <s v="Alabama"/>
    <s v="Birmingham"/>
    <x v="2"/>
    <n v="51"/>
    <n v="268"/>
    <n v="13668"/>
    <n v="8200.7999999999993"/>
    <n v="0.6"/>
    <x v="2"/>
  </r>
  <r>
    <x v="2"/>
    <n v="1197831"/>
    <x v="391"/>
    <x v="1"/>
    <s v="Alabama"/>
    <s v="Birmingham"/>
    <x v="3"/>
    <n v="46"/>
    <n v="119"/>
    <n v="5474"/>
    <n v="3886.5400000000004"/>
    <n v="0.71000000000000008"/>
    <x v="2"/>
  </r>
  <r>
    <x v="2"/>
    <n v="1197831"/>
    <x v="392"/>
    <x v="1"/>
    <s v="Alabama"/>
    <s v="Birmingham"/>
    <x v="4"/>
    <n v="50"/>
    <n v="123"/>
    <n v="6150"/>
    <n v="3628.5"/>
    <n v="0.59"/>
    <x v="2"/>
  </r>
  <r>
    <x v="2"/>
    <n v="1197831"/>
    <x v="393"/>
    <x v="1"/>
    <s v="Alabama"/>
    <s v="Birmingham"/>
    <x v="5"/>
    <n v="59"/>
    <n v="182"/>
    <n v="10738"/>
    <n v="8268.260000000002"/>
    <n v="0.77000000000000013"/>
    <x v="2"/>
  </r>
  <r>
    <x v="2"/>
    <n v="1197831"/>
    <x v="394"/>
    <x v="1"/>
    <s v="Alabama"/>
    <s v="Birmingham"/>
    <x v="0"/>
    <n v="51"/>
    <n v="175"/>
    <n v="8925"/>
    <n v="5355"/>
    <n v="0.6"/>
    <x v="2"/>
  </r>
  <r>
    <x v="2"/>
    <n v="1197831"/>
    <x v="395"/>
    <x v="1"/>
    <s v="Alabama"/>
    <s v="Birmingham"/>
    <x v="1"/>
    <n v="50"/>
    <n v="144"/>
    <n v="7200"/>
    <n v="4535.9999999999991"/>
    <n v="0.62999999999999989"/>
    <x v="2"/>
  </r>
  <r>
    <x v="2"/>
    <n v="1197831"/>
    <x v="396"/>
    <x v="1"/>
    <s v="Alabama"/>
    <s v="Birmingham"/>
    <x v="2"/>
    <n v="59"/>
    <n v="188"/>
    <n v="11092"/>
    <n v="6987.9599999999991"/>
    <n v="0.62999999999999989"/>
    <x v="2"/>
  </r>
  <r>
    <x v="2"/>
    <n v="1197831"/>
    <x v="397"/>
    <x v="1"/>
    <s v="Alabama"/>
    <s v="Birmingham"/>
    <x v="3"/>
    <n v="58"/>
    <n v="95"/>
    <n v="5510"/>
    <n v="3912.1000000000004"/>
    <n v="0.71000000000000008"/>
    <x v="2"/>
  </r>
  <r>
    <x v="2"/>
    <n v="1197831"/>
    <x v="398"/>
    <x v="1"/>
    <s v="Alabama"/>
    <s v="Birmingham"/>
    <x v="4"/>
    <n v="41"/>
    <n v="88"/>
    <n v="3608"/>
    <n v="2056.56"/>
    <n v="0.56999999999999995"/>
    <x v="2"/>
  </r>
  <r>
    <x v="2"/>
    <n v="1197831"/>
    <x v="399"/>
    <x v="1"/>
    <s v="Alabama"/>
    <s v="Birmingham"/>
    <x v="5"/>
    <n v="37"/>
    <n v="150"/>
    <n v="5550"/>
    <n v="4273.5000000000009"/>
    <n v="0.77000000000000013"/>
    <x v="2"/>
  </r>
  <r>
    <x v="2"/>
    <n v="1197831"/>
    <x v="400"/>
    <x v="1"/>
    <s v="Alabama"/>
    <s v="Birmingham"/>
    <x v="0"/>
    <n v="29"/>
    <n v="131"/>
    <n v="3799"/>
    <n v="2279.4"/>
    <n v="0.6"/>
    <x v="2"/>
  </r>
  <r>
    <x v="2"/>
    <n v="1197831"/>
    <x v="401"/>
    <x v="1"/>
    <s v="Alabama"/>
    <s v="Birmingham"/>
    <x v="1"/>
    <n v="29"/>
    <n v="158"/>
    <n v="4582"/>
    <n v="2886.6599999999994"/>
    <n v="0.62999999999999989"/>
    <x v="2"/>
  </r>
  <r>
    <x v="2"/>
    <n v="1197831"/>
    <x v="402"/>
    <x v="1"/>
    <s v="Alabama"/>
    <s v="Birmingham"/>
    <x v="2"/>
    <n v="32"/>
    <n v="124"/>
    <n v="3968"/>
    <n v="2380.7999999999997"/>
    <n v="0.6"/>
    <x v="2"/>
  </r>
  <r>
    <x v="2"/>
    <n v="1197831"/>
    <x v="403"/>
    <x v="1"/>
    <s v="Alabama"/>
    <s v="Birmingham"/>
    <x v="3"/>
    <n v="32"/>
    <n v="91"/>
    <n v="2912"/>
    <n v="2125.7600000000002"/>
    <n v="0.73000000000000009"/>
    <x v="2"/>
  </r>
  <r>
    <x v="2"/>
    <n v="1197831"/>
    <x v="404"/>
    <x v="1"/>
    <s v="Alabama"/>
    <s v="Birmingham"/>
    <x v="4"/>
    <n v="29"/>
    <n v="78"/>
    <n v="2262"/>
    <n v="1357.2"/>
    <n v="0.6"/>
    <x v="2"/>
  </r>
  <r>
    <x v="2"/>
    <n v="1197831"/>
    <x v="405"/>
    <x v="1"/>
    <s v="Alabama"/>
    <s v="Birmingham"/>
    <x v="5"/>
    <n v="36"/>
    <n v="143"/>
    <n v="5148"/>
    <n v="3861.0000000000005"/>
    <n v="0.75000000000000011"/>
    <x v="2"/>
  </r>
  <r>
    <x v="2"/>
    <n v="1197831"/>
    <x v="406"/>
    <x v="1"/>
    <s v="Alabama"/>
    <s v="Birmingham"/>
    <x v="0"/>
    <n v="18"/>
    <n v="169"/>
    <n v="3042"/>
    <n v="1946.8799999999997"/>
    <n v="0.6399999999999999"/>
    <x v="2"/>
  </r>
  <r>
    <x v="2"/>
    <n v="1197831"/>
    <x v="407"/>
    <x v="1"/>
    <s v="Alabama"/>
    <s v="Birmingham"/>
    <x v="1"/>
    <n v="19"/>
    <n v="169"/>
    <n v="3211"/>
    <n v="1958.71"/>
    <n v="0.61"/>
    <x v="2"/>
  </r>
  <r>
    <x v="2"/>
    <n v="1197831"/>
    <x v="408"/>
    <x v="1"/>
    <s v="Alabama"/>
    <s v="Birmingham"/>
    <x v="2"/>
    <n v="43"/>
    <n v="144"/>
    <n v="6192"/>
    <n v="3962.8799999999992"/>
    <n v="0.6399999999999999"/>
    <x v="2"/>
  </r>
  <r>
    <x v="2"/>
    <n v="1197831"/>
    <x v="409"/>
    <x v="1"/>
    <s v="Alabama"/>
    <s v="Birmingham"/>
    <x v="3"/>
    <n v="44"/>
    <n v="131"/>
    <n v="5764"/>
    <n v="4207.72"/>
    <n v="0.73000000000000009"/>
    <x v="2"/>
  </r>
  <r>
    <x v="2"/>
    <n v="1197831"/>
    <x v="410"/>
    <x v="1"/>
    <s v="Alabama"/>
    <s v="Birmingham"/>
    <x v="4"/>
    <n v="48"/>
    <n v="111"/>
    <n v="5328"/>
    <n v="3143.52"/>
    <n v="0.59"/>
    <x v="2"/>
  </r>
  <r>
    <x v="2"/>
    <n v="1197831"/>
    <x v="411"/>
    <x v="1"/>
    <s v="Alabama"/>
    <s v="Birmingham"/>
    <x v="5"/>
    <n v="56"/>
    <n v="188"/>
    <n v="10528"/>
    <n v="8317.1200000000008"/>
    <n v="0.79000000000000015"/>
    <x v="2"/>
  </r>
  <r>
    <x v="2"/>
    <n v="1197831"/>
    <x v="412"/>
    <x v="1"/>
    <s v="Alabama"/>
    <s v="Birmingham"/>
    <x v="0"/>
    <n v="56"/>
    <n v="233"/>
    <n v="13048"/>
    <n v="8220.239999999998"/>
    <n v="0.62999999999999989"/>
    <x v="2"/>
  </r>
  <r>
    <x v="2"/>
    <n v="1197831"/>
    <x v="413"/>
    <x v="1"/>
    <s v="Alabama"/>
    <s v="Birmingham"/>
    <x v="1"/>
    <n v="58"/>
    <n v="225"/>
    <n v="13050"/>
    <n v="8351.9999999999982"/>
    <n v="0.6399999999999999"/>
    <x v="2"/>
  </r>
  <r>
    <x v="2"/>
    <n v="1197831"/>
    <x v="414"/>
    <x v="1"/>
    <s v="Alabama"/>
    <s v="Birmingham"/>
    <x v="2"/>
    <n v="64"/>
    <n v="175"/>
    <n v="11200"/>
    <n v="6943.9999999999991"/>
    <n v="0.61999999999999988"/>
    <x v="2"/>
  </r>
  <r>
    <x v="2"/>
    <n v="1197831"/>
    <x v="415"/>
    <x v="1"/>
    <s v="Alabama"/>
    <s v="Birmingham"/>
    <x v="3"/>
    <n v="63"/>
    <n v="143"/>
    <n v="9009"/>
    <n v="6756.7500000000009"/>
    <n v="0.75000000000000011"/>
    <x v="2"/>
  </r>
  <r>
    <x v="2"/>
    <n v="1197831"/>
    <x v="416"/>
    <x v="1"/>
    <s v="Alabama"/>
    <s v="Birmingham"/>
    <x v="4"/>
    <n v="58"/>
    <n v="145"/>
    <n v="8410"/>
    <n v="4709.5999999999995"/>
    <n v="0.55999999999999994"/>
    <x v="2"/>
  </r>
  <r>
    <x v="2"/>
    <n v="1197831"/>
    <x v="417"/>
    <x v="1"/>
    <s v="Alabama"/>
    <s v="Birmingham"/>
    <x v="5"/>
    <n v="68"/>
    <n v="203"/>
    <n v="13804"/>
    <n v="11043.200000000003"/>
    <n v="0.80000000000000016"/>
    <x v="2"/>
  </r>
  <r>
    <x v="5"/>
    <n v="1185732"/>
    <x v="418"/>
    <x v="1"/>
    <s v="Alabama"/>
    <s v="Birmingham"/>
    <x v="0"/>
    <n v="38"/>
    <n v="117"/>
    <n v="4446"/>
    <n v="2223"/>
    <n v="0.5"/>
    <x v="2"/>
  </r>
  <r>
    <x v="5"/>
    <n v="1185732"/>
    <x v="419"/>
    <x v="1"/>
    <s v="Alabama"/>
    <s v="Birmingham"/>
    <x v="1"/>
    <n v="38"/>
    <n v="75"/>
    <n v="2850"/>
    <n v="1311"/>
    <n v="0.45999999999999996"/>
    <x v="2"/>
  </r>
  <r>
    <x v="5"/>
    <n v="1185732"/>
    <x v="420"/>
    <x v="1"/>
    <s v="Alabama"/>
    <s v="Birmingham"/>
    <x v="2"/>
    <n v="28"/>
    <n v="63"/>
    <n v="1764"/>
    <n v="917.28000000000009"/>
    <n v="0.52"/>
    <x v="2"/>
  </r>
  <r>
    <x v="5"/>
    <n v="1185732"/>
    <x v="421"/>
    <x v="1"/>
    <s v="Alabama"/>
    <s v="Birmingham"/>
    <x v="3"/>
    <n v="34"/>
    <n v="28"/>
    <n v="952"/>
    <n v="390.32"/>
    <n v="0.41"/>
    <x v="2"/>
  </r>
  <r>
    <x v="5"/>
    <n v="1185732"/>
    <x v="422"/>
    <x v="0"/>
    <s v="Maine"/>
    <s v="Portland"/>
    <x v="4"/>
    <n v="47"/>
    <n v="42"/>
    <n v="1974"/>
    <n v="769.86"/>
    <n v="0.39"/>
    <x v="2"/>
  </r>
  <r>
    <x v="5"/>
    <n v="1185732"/>
    <x v="423"/>
    <x v="0"/>
    <s v="Maine"/>
    <s v="Portland"/>
    <x v="5"/>
    <n v="38"/>
    <n v="68"/>
    <n v="2584"/>
    <n v="1343.68"/>
    <n v="0.52"/>
    <x v="2"/>
  </r>
  <r>
    <x v="5"/>
    <n v="1185732"/>
    <x v="424"/>
    <x v="0"/>
    <s v="Maine"/>
    <s v="Portland"/>
    <x v="0"/>
    <n v="38"/>
    <n v="140"/>
    <n v="5320"/>
    <n v="2606.7999999999997"/>
    <n v="0.49"/>
    <x v="2"/>
  </r>
  <r>
    <x v="5"/>
    <n v="1185732"/>
    <x v="425"/>
    <x v="0"/>
    <s v="Maine"/>
    <s v="Portland"/>
    <x v="1"/>
    <n v="38"/>
    <n v="45"/>
    <n v="1710"/>
    <n v="803.69999999999993"/>
    <n v="0.47"/>
    <x v="2"/>
  </r>
  <r>
    <x v="5"/>
    <n v="1185732"/>
    <x v="426"/>
    <x v="0"/>
    <s v="Maine"/>
    <s v="Portland"/>
    <x v="2"/>
    <n v="29"/>
    <n v="60"/>
    <n v="1740"/>
    <n v="922.2"/>
    <n v="0.53"/>
    <x v="2"/>
  </r>
  <r>
    <x v="5"/>
    <n v="1185732"/>
    <x v="427"/>
    <x v="0"/>
    <s v="Maine"/>
    <s v="Portland"/>
    <x v="3"/>
    <n v="34"/>
    <n v="19"/>
    <n v="646"/>
    <n v="271.32"/>
    <n v="0.42"/>
    <x v="2"/>
  </r>
  <r>
    <x v="5"/>
    <n v="1185732"/>
    <x v="428"/>
    <x v="0"/>
    <s v="Maine"/>
    <s v="Portland"/>
    <x v="4"/>
    <n v="46"/>
    <n v="45"/>
    <n v="2070"/>
    <n v="807.30000000000007"/>
    <n v="0.39"/>
    <x v="2"/>
  </r>
  <r>
    <x v="5"/>
    <n v="1185732"/>
    <x v="429"/>
    <x v="0"/>
    <s v="Maine"/>
    <s v="Portland"/>
    <x v="5"/>
    <n v="37"/>
    <n v="63"/>
    <n v="2331"/>
    <n v="1188.81"/>
    <n v="0.51"/>
    <x v="2"/>
  </r>
  <r>
    <x v="5"/>
    <n v="1185732"/>
    <x v="430"/>
    <x v="0"/>
    <s v="Maine"/>
    <s v="Portland"/>
    <x v="0"/>
    <n v="39"/>
    <n v="127"/>
    <n v="4953"/>
    <n v="2426.9699999999998"/>
    <n v="0.49"/>
    <x v="2"/>
  </r>
  <r>
    <x v="5"/>
    <n v="1185732"/>
    <x v="431"/>
    <x v="0"/>
    <s v="Maine"/>
    <s v="Portland"/>
    <x v="1"/>
    <n v="39"/>
    <n v="46"/>
    <n v="1794"/>
    <n v="879.06"/>
    <n v="0.49"/>
    <x v="2"/>
  </r>
  <r>
    <x v="5"/>
    <n v="1185732"/>
    <x v="432"/>
    <x v="0"/>
    <s v="Maine"/>
    <s v="Portland"/>
    <x v="2"/>
    <n v="27"/>
    <n v="52"/>
    <n v="1404"/>
    <n v="772.19999999999993"/>
    <n v="0.54999999999999993"/>
    <x v="2"/>
  </r>
  <r>
    <x v="5"/>
    <n v="1185732"/>
    <x v="433"/>
    <x v="0"/>
    <s v="Maine"/>
    <s v="Portland"/>
    <x v="3"/>
    <n v="32"/>
    <n v="13"/>
    <n v="416"/>
    <n v="166.4"/>
    <n v="0.4"/>
    <x v="2"/>
  </r>
  <r>
    <x v="5"/>
    <n v="1185732"/>
    <x v="434"/>
    <x v="0"/>
    <s v="Maine"/>
    <s v="Portland"/>
    <x v="4"/>
    <n v="49"/>
    <n v="29"/>
    <n v="1421"/>
    <n v="511.56"/>
    <n v="0.36"/>
    <x v="2"/>
  </r>
  <r>
    <x v="5"/>
    <n v="1185732"/>
    <x v="435"/>
    <x v="0"/>
    <s v="Maine"/>
    <s v="Portland"/>
    <x v="5"/>
    <n v="36"/>
    <n v="50"/>
    <n v="1800"/>
    <n v="990.00000000000011"/>
    <n v="0.55000000000000004"/>
    <x v="2"/>
  </r>
  <r>
    <x v="5"/>
    <n v="1185732"/>
    <x v="436"/>
    <x v="0"/>
    <s v="Maine"/>
    <s v="Portland"/>
    <x v="0"/>
    <n v="37"/>
    <n v="122"/>
    <n v="4514"/>
    <n v="2166.7199999999998"/>
    <n v="0.48"/>
    <x v="2"/>
  </r>
  <r>
    <x v="5"/>
    <n v="1185732"/>
    <x v="437"/>
    <x v="0"/>
    <s v="Maine"/>
    <s v="Portland"/>
    <x v="1"/>
    <n v="37"/>
    <n v="44"/>
    <n v="1628"/>
    <n v="765.16"/>
    <n v="0.47"/>
    <x v="2"/>
  </r>
  <r>
    <x v="5"/>
    <n v="1185732"/>
    <x v="438"/>
    <x v="0"/>
    <s v="Maine"/>
    <s v="Portland"/>
    <x v="2"/>
    <n v="27"/>
    <n v="44"/>
    <n v="1188"/>
    <n v="641.5200000000001"/>
    <n v="0.54"/>
    <x v="2"/>
  </r>
  <r>
    <x v="5"/>
    <n v="1185732"/>
    <x v="439"/>
    <x v="0"/>
    <s v="Maine"/>
    <s v="Portland"/>
    <x v="3"/>
    <n v="33"/>
    <n v="21"/>
    <n v="693"/>
    <n v="277.2"/>
    <n v="0.4"/>
    <x v="2"/>
  </r>
  <r>
    <x v="5"/>
    <n v="1185732"/>
    <x v="440"/>
    <x v="0"/>
    <s v="Maine"/>
    <s v="Portland"/>
    <x v="4"/>
    <n v="47"/>
    <n v="20"/>
    <n v="940"/>
    <n v="357.2"/>
    <n v="0.38"/>
    <x v="2"/>
  </r>
  <r>
    <x v="5"/>
    <n v="1185732"/>
    <x v="441"/>
    <x v="0"/>
    <s v="Maine"/>
    <s v="Portland"/>
    <x v="5"/>
    <n v="39"/>
    <n v="63"/>
    <n v="2457"/>
    <n v="1253.07"/>
    <n v="0.51"/>
    <x v="2"/>
  </r>
  <r>
    <x v="5"/>
    <n v="1185732"/>
    <x v="442"/>
    <x v="0"/>
    <s v="Maine"/>
    <s v="Portland"/>
    <x v="0"/>
    <n v="52"/>
    <n v="144"/>
    <n v="7488"/>
    <n v="3369.5999999999995"/>
    <n v="0.44999999999999996"/>
    <x v="2"/>
  </r>
  <r>
    <x v="5"/>
    <n v="1185732"/>
    <x v="443"/>
    <x v="0"/>
    <s v="Maine"/>
    <s v="Portland"/>
    <x v="1"/>
    <n v="48"/>
    <n v="60"/>
    <n v="2880"/>
    <n v="1440"/>
    <n v="0.5"/>
    <x v="2"/>
  </r>
  <r>
    <x v="5"/>
    <n v="1185732"/>
    <x v="444"/>
    <x v="0"/>
    <s v="Maine"/>
    <s v="Portland"/>
    <x v="2"/>
    <n v="42"/>
    <n v="47"/>
    <n v="1974"/>
    <n v="1065.96"/>
    <n v="0.54"/>
    <x v="2"/>
  </r>
  <r>
    <x v="5"/>
    <n v="1185732"/>
    <x v="445"/>
    <x v="0"/>
    <s v="Maine"/>
    <s v="Portland"/>
    <x v="3"/>
    <n v="41"/>
    <n v="34"/>
    <n v="1394"/>
    <n v="557.6"/>
    <n v="0.4"/>
    <x v="2"/>
  </r>
  <r>
    <x v="5"/>
    <n v="1185732"/>
    <x v="446"/>
    <x v="0"/>
    <s v="Maine"/>
    <s v="Portland"/>
    <x v="4"/>
    <n v="51"/>
    <n v="42"/>
    <n v="2142"/>
    <n v="792.54"/>
    <n v="0.37"/>
    <x v="2"/>
  </r>
  <r>
    <x v="5"/>
    <n v="1185732"/>
    <x v="447"/>
    <x v="0"/>
    <s v="Maine"/>
    <s v="Portland"/>
    <x v="5"/>
    <n v="56"/>
    <n v="72"/>
    <n v="4032"/>
    <n v="2136.96"/>
    <n v="0.53"/>
    <x v="2"/>
  </r>
  <r>
    <x v="5"/>
    <n v="1185732"/>
    <x v="448"/>
    <x v="0"/>
    <s v="Maine"/>
    <s v="Portland"/>
    <x v="0"/>
    <n v="54"/>
    <n v="158"/>
    <n v="8532"/>
    <n v="4010.04"/>
    <n v="0.47"/>
    <x v="2"/>
  </r>
  <r>
    <x v="5"/>
    <n v="1185732"/>
    <x v="449"/>
    <x v="0"/>
    <s v="Maine"/>
    <s v="Portland"/>
    <x v="1"/>
    <n v="48"/>
    <n v="77"/>
    <n v="3696"/>
    <n v="1811.04"/>
    <n v="0.49"/>
    <x v="2"/>
  </r>
  <r>
    <x v="5"/>
    <n v="1185732"/>
    <x v="450"/>
    <x v="0"/>
    <s v="Maine"/>
    <s v="Portland"/>
    <x v="2"/>
    <n v="42"/>
    <n v="58"/>
    <n v="2436"/>
    <n v="1242.3600000000001"/>
    <n v="0.51"/>
    <x v="2"/>
  </r>
  <r>
    <x v="5"/>
    <n v="1185732"/>
    <x v="451"/>
    <x v="0"/>
    <s v="Maine"/>
    <s v="Portland"/>
    <x v="3"/>
    <n v="41"/>
    <n v="51"/>
    <n v="2091"/>
    <n v="878.21999999999991"/>
    <n v="0.42"/>
    <x v="2"/>
  </r>
  <r>
    <x v="5"/>
    <n v="1185732"/>
    <x v="452"/>
    <x v="0"/>
    <s v="Maine"/>
    <s v="Portland"/>
    <x v="4"/>
    <n v="50"/>
    <n v="53"/>
    <n v="2650"/>
    <n v="954"/>
    <n v="0.36"/>
    <x v="2"/>
  </r>
  <r>
    <x v="5"/>
    <n v="1185732"/>
    <x v="453"/>
    <x v="0"/>
    <s v="Maine"/>
    <s v="Portland"/>
    <x v="5"/>
    <n v="56"/>
    <n v="85"/>
    <n v="4760"/>
    <n v="2427.6"/>
    <n v="0.51"/>
    <x v="2"/>
  </r>
  <r>
    <x v="5"/>
    <n v="1185732"/>
    <x v="454"/>
    <x v="0"/>
    <s v="Maine"/>
    <s v="Portland"/>
    <x v="0"/>
    <n v="51"/>
    <n v="143"/>
    <n v="7293"/>
    <n v="3573.5699999999997"/>
    <n v="0.49"/>
    <x v="2"/>
  </r>
  <r>
    <x v="5"/>
    <n v="1185732"/>
    <x v="455"/>
    <x v="0"/>
    <s v="Maine"/>
    <s v="Portland"/>
    <x v="1"/>
    <n v="46"/>
    <n v="84"/>
    <n v="3864"/>
    <n v="1854.72"/>
    <n v="0.48"/>
    <x v="2"/>
  </r>
  <r>
    <x v="5"/>
    <n v="1185732"/>
    <x v="456"/>
    <x v="0"/>
    <s v="Maine"/>
    <s v="Portland"/>
    <x v="2"/>
    <n v="43"/>
    <n v="63"/>
    <n v="2709"/>
    <n v="1489.9499999999998"/>
    <n v="0.54999999999999993"/>
    <x v="2"/>
  </r>
  <r>
    <x v="5"/>
    <n v="1185732"/>
    <x v="457"/>
    <x v="0"/>
    <s v="Maine"/>
    <s v="Portland"/>
    <x v="3"/>
    <n v="43"/>
    <n v="44"/>
    <n v="1892"/>
    <n v="775.71999999999991"/>
    <n v="0.41"/>
    <x v="2"/>
  </r>
  <r>
    <x v="5"/>
    <n v="1185732"/>
    <x v="458"/>
    <x v="0"/>
    <s v="Maine"/>
    <s v="Portland"/>
    <x v="4"/>
    <n v="53"/>
    <n v="60"/>
    <n v="3180"/>
    <n v="1208.4000000000001"/>
    <n v="0.38"/>
    <x v="2"/>
  </r>
  <r>
    <x v="5"/>
    <n v="1185732"/>
    <x v="487"/>
    <x v="0"/>
    <s v="Maine"/>
    <s v="Portland"/>
    <x v="5"/>
    <n v="58"/>
    <n v="113"/>
    <n v="6554"/>
    <n v="3539.1600000000003"/>
    <n v="0.54"/>
    <x v="2"/>
  </r>
  <r>
    <x v="5"/>
    <n v="1185732"/>
    <x v="488"/>
    <x v="0"/>
    <s v="Maine"/>
    <s v="Portland"/>
    <x v="0"/>
    <n v="50"/>
    <n v="147"/>
    <n v="7350"/>
    <n v="3380.9999999999995"/>
    <n v="0.45999999999999996"/>
    <x v="2"/>
  </r>
  <r>
    <x v="5"/>
    <n v="1185732"/>
    <x v="489"/>
    <x v="0"/>
    <s v="Maine"/>
    <s v="Portland"/>
    <x v="1"/>
    <n v="49"/>
    <n v="90"/>
    <n v="4410"/>
    <n v="2072.6999999999998"/>
    <n v="0.47"/>
    <x v="2"/>
  </r>
  <r>
    <x v="5"/>
    <n v="1185732"/>
    <x v="490"/>
    <x v="0"/>
    <s v="Maine"/>
    <s v="Portland"/>
    <x v="2"/>
    <n v="41"/>
    <n v="68"/>
    <n v="2788"/>
    <n v="1394"/>
    <n v="0.5"/>
    <x v="2"/>
  </r>
  <r>
    <x v="5"/>
    <n v="1185732"/>
    <x v="491"/>
    <x v="0"/>
    <s v="Maine"/>
    <s v="Portland"/>
    <x v="3"/>
    <n v="41"/>
    <n v="51"/>
    <n v="2091"/>
    <n v="857.31"/>
    <n v="0.41"/>
    <x v="2"/>
  </r>
  <r>
    <x v="5"/>
    <n v="1185732"/>
    <x v="492"/>
    <x v="0"/>
    <s v="Maine"/>
    <s v="Portland"/>
    <x v="4"/>
    <n v="54"/>
    <n v="41"/>
    <n v="2214"/>
    <n v="819.18"/>
    <n v="0.37"/>
    <x v="2"/>
  </r>
  <r>
    <x v="5"/>
    <n v="1185732"/>
    <x v="493"/>
    <x v="0"/>
    <s v="Maine"/>
    <s v="Portland"/>
    <x v="5"/>
    <n v="54"/>
    <n v="91"/>
    <n v="4914"/>
    <n v="2653.5600000000004"/>
    <n v="0.54"/>
    <x v="2"/>
  </r>
  <r>
    <x v="5"/>
    <n v="1185732"/>
    <x v="494"/>
    <x v="0"/>
    <s v="Maine"/>
    <s v="Portland"/>
    <x v="0"/>
    <n v="53"/>
    <n v="122"/>
    <n v="6466"/>
    <n v="3103.68"/>
    <n v="0.48"/>
    <x v="2"/>
  </r>
  <r>
    <x v="5"/>
    <n v="1185732"/>
    <x v="495"/>
    <x v="0"/>
    <s v="Maine"/>
    <s v="Portland"/>
    <x v="1"/>
    <n v="46"/>
    <n v="70"/>
    <n v="3220"/>
    <n v="1513.3999999999999"/>
    <n v="0.47"/>
    <x v="2"/>
  </r>
  <r>
    <x v="5"/>
    <n v="1185732"/>
    <x v="496"/>
    <x v="0"/>
    <s v="Maine"/>
    <s v="Portland"/>
    <x v="2"/>
    <n v="41"/>
    <n v="38"/>
    <n v="1558"/>
    <n v="856.89999999999986"/>
    <n v="0.54999999999999993"/>
    <x v="2"/>
  </r>
  <r>
    <x v="5"/>
    <n v="1185732"/>
    <x v="497"/>
    <x v="0"/>
    <s v="Maine"/>
    <s v="Portland"/>
    <x v="3"/>
    <n v="42"/>
    <n v="36"/>
    <n v="1512"/>
    <n v="680.4"/>
    <n v="0.44999999999999996"/>
    <x v="2"/>
  </r>
  <r>
    <x v="5"/>
    <n v="1185732"/>
    <x v="498"/>
    <x v="0"/>
    <s v="Maine"/>
    <s v="Portland"/>
    <x v="4"/>
    <n v="52"/>
    <n v="36"/>
    <n v="1872"/>
    <n v="692.64"/>
    <n v="0.37"/>
    <x v="2"/>
  </r>
  <r>
    <x v="5"/>
    <n v="1185732"/>
    <x v="393"/>
    <x v="0"/>
    <s v="Maine"/>
    <s v="Portland"/>
    <x v="5"/>
    <n v="57"/>
    <n v="59"/>
    <n v="3363"/>
    <n v="1748.76"/>
    <n v="0.52"/>
    <x v="2"/>
  </r>
  <r>
    <x v="5"/>
    <n v="1185732"/>
    <x v="425"/>
    <x v="0"/>
    <s v="Maine"/>
    <s v="Portland"/>
    <x v="0"/>
    <n v="55"/>
    <n v="120"/>
    <n v="6600"/>
    <n v="3300"/>
    <n v="0.5"/>
    <x v="2"/>
  </r>
  <r>
    <x v="5"/>
    <n v="1185732"/>
    <x v="425"/>
    <x v="0"/>
    <s v="Maine"/>
    <s v="Portland"/>
    <x v="1"/>
    <n v="54"/>
    <n v="59"/>
    <n v="3186"/>
    <n v="1561.1399999999999"/>
    <n v="0.49"/>
    <x v="2"/>
  </r>
  <r>
    <x v="5"/>
    <n v="1185732"/>
    <x v="425"/>
    <x v="0"/>
    <s v="Maine"/>
    <s v="Portland"/>
    <x v="2"/>
    <n v="52"/>
    <n v="31"/>
    <n v="1612"/>
    <n v="886.59999999999991"/>
    <n v="0.54999999999999993"/>
    <x v="2"/>
  </r>
  <r>
    <x v="5"/>
    <n v="1185732"/>
    <x v="425"/>
    <x v="0"/>
    <s v="Maine"/>
    <s v="Portland"/>
    <x v="3"/>
    <n v="50"/>
    <n v="26"/>
    <n v="1300"/>
    <n v="520"/>
    <n v="0.4"/>
    <x v="2"/>
  </r>
  <r>
    <x v="5"/>
    <n v="1185732"/>
    <x v="425"/>
    <x v="0"/>
    <s v="Maine"/>
    <s v="Portland"/>
    <x v="4"/>
    <n v="61"/>
    <n v="27"/>
    <n v="1647"/>
    <n v="625.86"/>
    <n v="0.38"/>
    <x v="2"/>
  </r>
  <r>
    <x v="5"/>
    <n v="1185732"/>
    <x v="425"/>
    <x v="0"/>
    <s v="Maine"/>
    <s v="Portland"/>
    <x v="5"/>
    <n v="68"/>
    <n v="56"/>
    <n v="3808"/>
    <n v="2018.24"/>
    <n v="0.53"/>
    <x v="2"/>
  </r>
  <r>
    <x v="5"/>
    <n v="1185732"/>
    <x v="455"/>
    <x v="0"/>
    <s v="Maine"/>
    <s v="Portland"/>
    <x v="0"/>
    <n v="62"/>
    <n v="98"/>
    <n v="6076"/>
    <n v="2977.24"/>
    <n v="0.49"/>
    <x v="2"/>
  </r>
  <r>
    <x v="5"/>
    <n v="1185732"/>
    <x v="455"/>
    <x v="0"/>
    <s v="Maine"/>
    <s v="Portland"/>
    <x v="1"/>
    <n v="52"/>
    <n v="52"/>
    <n v="2704"/>
    <n v="1352"/>
    <n v="0.5"/>
    <x v="2"/>
  </r>
  <r>
    <x v="5"/>
    <n v="1185732"/>
    <x v="455"/>
    <x v="0"/>
    <s v="Maine"/>
    <s v="Portland"/>
    <x v="2"/>
    <n v="52"/>
    <n v="55"/>
    <n v="2860"/>
    <n v="1487.2"/>
    <n v="0.52"/>
    <x v="2"/>
  </r>
  <r>
    <x v="5"/>
    <n v="1185732"/>
    <x v="455"/>
    <x v="0"/>
    <s v="Maine"/>
    <s v="Portland"/>
    <x v="3"/>
    <n v="54"/>
    <n v="46"/>
    <n v="2484"/>
    <n v="1068.1199999999999"/>
    <n v="0.43"/>
    <x v="2"/>
  </r>
  <r>
    <x v="5"/>
    <n v="1185732"/>
    <x v="455"/>
    <x v="0"/>
    <s v="Maine"/>
    <s v="Portland"/>
    <x v="4"/>
    <n v="60"/>
    <n v="41"/>
    <n v="2460"/>
    <n v="885.6"/>
    <n v="0.36"/>
    <x v="2"/>
  </r>
  <r>
    <x v="5"/>
    <n v="1185732"/>
    <x v="455"/>
    <x v="0"/>
    <s v="Maine"/>
    <s v="Portland"/>
    <x v="5"/>
    <n v="67"/>
    <n v="63"/>
    <n v="4221"/>
    <n v="2279.34"/>
    <n v="0.54"/>
    <x v="2"/>
  </r>
  <r>
    <x v="5"/>
    <n v="1185732"/>
    <x v="484"/>
    <x v="0"/>
    <s v="Maine"/>
    <s v="Portland"/>
    <x v="0"/>
    <n v="62"/>
    <n v="138"/>
    <n v="8556"/>
    <n v="4106.88"/>
    <n v="0.48"/>
    <x v="2"/>
  </r>
  <r>
    <x v="5"/>
    <n v="1185732"/>
    <x v="484"/>
    <x v="0"/>
    <s v="Maine"/>
    <s v="Portland"/>
    <x v="1"/>
    <n v="53"/>
    <n v="74"/>
    <n v="3922"/>
    <n v="1961"/>
    <n v="0.5"/>
    <x v="2"/>
  </r>
  <r>
    <x v="5"/>
    <n v="1185732"/>
    <x v="484"/>
    <x v="0"/>
    <s v="Maine"/>
    <s v="Portland"/>
    <x v="2"/>
    <n v="52"/>
    <n v="68"/>
    <n v="3536"/>
    <n v="1768"/>
    <n v="0.5"/>
    <x v="2"/>
  </r>
  <r>
    <x v="5"/>
    <n v="1185732"/>
    <x v="484"/>
    <x v="0"/>
    <s v="Maine"/>
    <s v="Portland"/>
    <x v="3"/>
    <n v="52"/>
    <n v="50"/>
    <n v="2600"/>
    <n v="1118"/>
    <n v="0.43"/>
    <x v="2"/>
  </r>
  <r>
    <x v="5"/>
    <n v="1185732"/>
    <x v="484"/>
    <x v="0"/>
    <s v="Maine"/>
    <s v="Portland"/>
    <x v="4"/>
    <n v="60"/>
    <n v="54"/>
    <n v="3240"/>
    <n v="1166.3999999999999"/>
    <n v="0.36"/>
    <x v="2"/>
  </r>
  <r>
    <x v="5"/>
    <n v="1185732"/>
    <x v="484"/>
    <x v="0"/>
    <s v="Maine"/>
    <s v="Portland"/>
    <x v="5"/>
    <n v="69"/>
    <n v="75"/>
    <n v="5175"/>
    <n v="2742.75"/>
    <n v="0.53"/>
    <x v="2"/>
  </r>
  <r>
    <x v="3"/>
    <n v="1128299"/>
    <x v="174"/>
    <x v="0"/>
    <s v="Maine"/>
    <s v="Portland"/>
    <x v="0"/>
    <n v="33"/>
    <n v="98"/>
    <n v="3234"/>
    <n v="1131.8999999999999"/>
    <n v="0.35"/>
    <x v="2"/>
  </r>
  <r>
    <x v="3"/>
    <n v="1128299"/>
    <x v="174"/>
    <x v="0"/>
    <s v="Maine"/>
    <s v="Portland"/>
    <x v="1"/>
    <n v="41"/>
    <n v="109"/>
    <n v="4469"/>
    <n v="1474.77"/>
    <n v="0.33"/>
    <x v="2"/>
  </r>
  <r>
    <x v="3"/>
    <n v="1128299"/>
    <x v="174"/>
    <x v="0"/>
    <s v="Maine"/>
    <s v="Portland"/>
    <x v="2"/>
    <n v="43"/>
    <n v="101"/>
    <n v="4343"/>
    <n v="1737.2"/>
    <n v="0.4"/>
    <x v="2"/>
  </r>
  <r>
    <x v="3"/>
    <n v="1128299"/>
    <x v="174"/>
    <x v="0"/>
    <s v="Maine"/>
    <s v="Portland"/>
    <x v="3"/>
    <n v="43"/>
    <n v="59"/>
    <n v="2537"/>
    <n v="989.43000000000006"/>
    <n v="0.39"/>
    <x v="2"/>
  </r>
  <r>
    <x v="5"/>
    <n v="1185732"/>
    <x v="188"/>
    <x v="2"/>
    <s v="Alaska"/>
    <s v="Anchorage"/>
    <x v="5"/>
    <n v="52"/>
    <n v="84"/>
    <n v="4368"/>
    <n v="1790.8799999999999"/>
    <n v="0.41"/>
    <x v="2"/>
  </r>
  <r>
    <x v="5"/>
    <n v="1185732"/>
    <x v="696"/>
    <x v="2"/>
    <s v="Alaska"/>
    <s v="Anchorage"/>
    <x v="0"/>
    <n v="51"/>
    <n v="173"/>
    <n v="8823"/>
    <n v="4146.8100000000004"/>
    <n v="0.47000000000000003"/>
    <x v="2"/>
  </r>
  <r>
    <x v="5"/>
    <n v="1185732"/>
    <x v="696"/>
    <x v="2"/>
    <s v="Alaska"/>
    <s v="Anchorage"/>
    <x v="1"/>
    <n v="53"/>
    <n v="65"/>
    <n v="3445"/>
    <n v="1653.6000000000001"/>
    <n v="0.48000000000000004"/>
    <x v="2"/>
  </r>
  <r>
    <x v="5"/>
    <n v="1185732"/>
    <x v="696"/>
    <x v="2"/>
    <s v="Alaska"/>
    <s v="Anchorage"/>
    <x v="2"/>
    <n v="43"/>
    <n v="77"/>
    <n v="3311"/>
    <n v="1225.07"/>
    <n v="0.37"/>
    <x v="2"/>
  </r>
  <r>
    <x v="5"/>
    <n v="1185732"/>
    <x v="696"/>
    <x v="2"/>
    <s v="Alaska"/>
    <s v="Anchorage"/>
    <x v="3"/>
    <n v="49"/>
    <n v="46"/>
    <n v="2254"/>
    <n v="879.06000000000006"/>
    <n v="0.39"/>
    <x v="2"/>
  </r>
  <r>
    <x v="5"/>
    <n v="1185732"/>
    <x v="696"/>
    <x v="2"/>
    <s v="Alaska"/>
    <s v="Anchorage"/>
    <x v="4"/>
    <n v="60"/>
    <n v="75"/>
    <n v="4500"/>
    <n v="1710"/>
    <n v="0.38"/>
    <x v="2"/>
  </r>
  <r>
    <x v="5"/>
    <n v="1185732"/>
    <x v="696"/>
    <x v="2"/>
    <s v="Alaska"/>
    <s v="Anchorage"/>
    <x v="5"/>
    <n v="52"/>
    <n v="102"/>
    <n v="5304"/>
    <n v="2333.7600000000002"/>
    <n v="0.44"/>
    <x v="2"/>
  </r>
  <r>
    <x v="5"/>
    <n v="1185732"/>
    <x v="225"/>
    <x v="2"/>
    <s v="Alaska"/>
    <s v="Anchorage"/>
    <x v="0"/>
    <n v="53"/>
    <n v="153"/>
    <n v="8109"/>
    <n v="3973.4100000000003"/>
    <n v="0.49000000000000005"/>
    <x v="2"/>
  </r>
  <r>
    <x v="5"/>
    <n v="1185732"/>
    <x v="225"/>
    <x v="2"/>
    <s v="Alaska"/>
    <s v="Anchorage"/>
    <x v="1"/>
    <n v="52"/>
    <n v="65"/>
    <n v="3380"/>
    <n v="1690"/>
    <n v="0.5"/>
    <x v="2"/>
  </r>
  <r>
    <x v="5"/>
    <n v="1185732"/>
    <x v="225"/>
    <x v="2"/>
    <s v="Alaska"/>
    <s v="Anchorage"/>
    <x v="2"/>
    <n v="41"/>
    <n v="69"/>
    <n v="2829"/>
    <n v="1046.73"/>
    <n v="0.37"/>
    <x v="2"/>
  </r>
  <r>
    <x v="5"/>
    <n v="1185732"/>
    <x v="225"/>
    <x v="2"/>
    <s v="Alaska"/>
    <s v="Anchorage"/>
    <x v="3"/>
    <n v="49"/>
    <n v="36"/>
    <n v="1764"/>
    <n v="670.32"/>
    <n v="0.38"/>
    <x v="2"/>
  </r>
  <r>
    <x v="5"/>
    <n v="1185732"/>
    <x v="225"/>
    <x v="2"/>
    <s v="Alaska"/>
    <s v="Anchorage"/>
    <x v="4"/>
    <n v="64"/>
    <n v="53"/>
    <n v="3392"/>
    <n v="1322.88"/>
    <n v="0.39"/>
    <x v="2"/>
  </r>
  <r>
    <x v="5"/>
    <n v="1185732"/>
    <x v="225"/>
    <x v="2"/>
    <s v="Alaska"/>
    <s v="Anchorage"/>
    <x v="5"/>
    <n v="53"/>
    <n v="72"/>
    <n v="3816"/>
    <n v="1526.4"/>
    <n v="0.4"/>
    <x v="2"/>
  </r>
  <r>
    <x v="5"/>
    <n v="1185732"/>
    <x v="244"/>
    <x v="2"/>
    <s v="Alaska"/>
    <s v="Anchorage"/>
    <x v="0"/>
    <n v="54"/>
    <n v="131"/>
    <n v="7074"/>
    <n v="3254.04"/>
    <n v="0.46"/>
    <x v="2"/>
  </r>
  <r>
    <x v="5"/>
    <n v="1185732"/>
    <x v="244"/>
    <x v="2"/>
    <s v="Alaska"/>
    <s v="Anchorage"/>
    <x v="1"/>
    <n v="50"/>
    <n v="61"/>
    <n v="3050"/>
    <n v="1525"/>
    <n v="0.5"/>
    <x v="2"/>
  </r>
  <r>
    <x v="5"/>
    <n v="1185732"/>
    <x v="244"/>
    <x v="2"/>
    <s v="Alaska"/>
    <s v="Anchorage"/>
    <x v="2"/>
    <n v="44"/>
    <n v="61"/>
    <n v="2684"/>
    <n v="1073.6000000000001"/>
    <n v="0.4"/>
    <x v="2"/>
  </r>
  <r>
    <x v="5"/>
    <n v="1185732"/>
    <x v="244"/>
    <x v="2"/>
    <s v="Alaska"/>
    <s v="Anchorage"/>
    <x v="3"/>
    <n v="47"/>
    <n v="44"/>
    <n v="2068"/>
    <n v="765.16"/>
    <n v="0.37"/>
    <x v="2"/>
  </r>
  <r>
    <x v="5"/>
    <n v="1185732"/>
    <x v="244"/>
    <x v="2"/>
    <s v="Alaska"/>
    <s v="Anchorage"/>
    <x v="4"/>
    <n v="56"/>
    <n v="41"/>
    <n v="2296"/>
    <n v="849.52"/>
    <n v="0.37"/>
    <x v="2"/>
  </r>
  <r>
    <x v="5"/>
    <n v="1185732"/>
    <x v="244"/>
    <x v="2"/>
    <s v="Alaska"/>
    <s v="Anchorage"/>
    <x v="5"/>
    <n v="49"/>
    <n v="84"/>
    <n v="4116"/>
    <n v="1811.04"/>
    <n v="0.44"/>
    <x v="2"/>
  </r>
  <r>
    <x v="5"/>
    <n v="1185732"/>
    <x v="273"/>
    <x v="2"/>
    <s v="Alaska"/>
    <s v="Anchorage"/>
    <x v="0"/>
    <n v="59"/>
    <n v="160"/>
    <n v="9440"/>
    <n v="4720"/>
    <n v="0.5"/>
    <x v="2"/>
  </r>
  <r>
    <x v="5"/>
    <n v="1185732"/>
    <x v="273"/>
    <x v="2"/>
    <s v="Alaska"/>
    <s v="Anchorage"/>
    <x v="1"/>
    <n v="56"/>
    <n v="72"/>
    <n v="4032"/>
    <n v="1814.4000000000003"/>
    <n v="0.45000000000000007"/>
    <x v="2"/>
  </r>
  <r>
    <x v="5"/>
    <n v="1185732"/>
    <x v="273"/>
    <x v="2"/>
    <s v="Alaska"/>
    <s v="Anchorage"/>
    <x v="2"/>
    <n v="53"/>
    <n v="84"/>
    <n v="4452"/>
    <n v="1780.8000000000002"/>
    <n v="0.4"/>
    <x v="2"/>
  </r>
  <r>
    <x v="5"/>
    <n v="1185732"/>
    <x v="273"/>
    <x v="2"/>
    <s v="Alaska"/>
    <s v="Anchorage"/>
    <x v="3"/>
    <n v="51"/>
    <n v="63"/>
    <n v="3213"/>
    <n v="1220.94"/>
    <n v="0.38"/>
    <x v="2"/>
  </r>
  <r>
    <x v="5"/>
    <n v="1185732"/>
    <x v="273"/>
    <x v="2"/>
    <s v="Alaska"/>
    <s v="Anchorage"/>
    <x v="4"/>
    <n v="62"/>
    <n v="69"/>
    <n v="4278"/>
    <n v="1625.64"/>
    <n v="0.38"/>
    <x v="2"/>
  </r>
  <r>
    <x v="5"/>
    <n v="1185732"/>
    <x v="273"/>
    <x v="2"/>
    <s v="Alaska"/>
    <s v="Anchorage"/>
    <x v="5"/>
    <n v="67"/>
    <n v="100"/>
    <n v="6700"/>
    <n v="2747"/>
    <n v="0.41"/>
    <x v="2"/>
  </r>
  <r>
    <x v="5"/>
    <n v="1185732"/>
    <x v="306"/>
    <x v="2"/>
    <s v="Alaska"/>
    <s v="Anchorage"/>
    <x v="0"/>
    <n v="59"/>
    <n v="189"/>
    <n v="11151"/>
    <n v="5129.46"/>
    <n v="0.46"/>
    <x v="2"/>
  </r>
  <r>
    <x v="5"/>
    <n v="1185732"/>
    <x v="306"/>
    <x v="2"/>
    <s v="Alaska"/>
    <s v="Anchorage"/>
    <x v="1"/>
    <n v="55"/>
    <n v="112"/>
    <n v="6160"/>
    <n v="3080"/>
    <n v="0.5"/>
    <x v="2"/>
  </r>
  <r>
    <x v="5"/>
    <n v="1185732"/>
    <x v="306"/>
    <x v="2"/>
    <s v="Alaska"/>
    <s v="Anchorage"/>
    <x v="2"/>
    <n v="53"/>
    <n v="81"/>
    <n v="4293"/>
    <n v="1545.48"/>
    <n v="0.36"/>
    <x v="2"/>
  </r>
  <r>
    <x v="5"/>
    <n v="1185732"/>
    <x v="306"/>
    <x v="2"/>
    <s v="Alaska"/>
    <s v="Anchorage"/>
    <x v="3"/>
    <n v="53"/>
    <n v="90"/>
    <n v="4770"/>
    <n v="1717.2"/>
    <n v="0.36"/>
    <x v="2"/>
  </r>
  <r>
    <x v="5"/>
    <n v="1185732"/>
    <x v="306"/>
    <x v="2"/>
    <s v="Alaska"/>
    <s v="Anchorage"/>
    <x v="4"/>
    <n v="60"/>
    <n v="84"/>
    <n v="5040"/>
    <n v="1814.3999999999999"/>
    <n v="0.36"/>
    <x v="2"/>
  </r>
  <r>
    <x v="5"/>
    <n v="1185732"/>
    <x v="306"/>
    <x v="2"/>
    <s v="Alaska"/>
    <s v="Anchorage"/>
    <x v="5"/>
    <n v="67"/>
    <n v="126"/>
    <n v="8442"/>
    <n v="3545.64"/>
    <n v="0.42"/>
    <x v="2"/>
  </r>
  <r>
    <x v="5"/>
    <n v="1185732"/>
    <x v="334"/>
    <x v="2"/>
    <s v="Alaska"/>
    <s v="Anchorage"/>
    <x v="0"/>
    <n v="63"/>
    <n v="182"/>
    <n v="11466"/>
    <n v="5274.3600000000006"/>
    <n v="0.46"/>
    <x v="2"/>
  </r>
  <r>
    <x v="5"/>
    <n v="1185732"/>
    <x v="334"/>
    <x v="2"/>
    <s v="Alaska"/>
    <s v="Anchorage"/>
    <x v="1"/>
    <n v="59"/>
    <n v="111"/>
    <n v="6549"/>
    <n v="3078.03"/>
    <n v="0.47000000000000003"/>
    <x v="2"/>
  </r>
  <r>
    <x v="5"/>
    <n v="1185732"/>
    <x v="334"/>
    <x v="2"/>
    <s v="Alaska"/>
    <s v="Anchorage"/>
    <x v="2"/>
    <n v="53"/>
    <n v="102"/>
    <n v="5406"/>
    <n v="1946.1599999999999"/>
    <n v="0.36"/>
    <x v="2"/>
  </r>
  <r>
    <x v="5"/>
    <n v="1185732"/>
    <x v="334"/>
    <x v="2"/>
    <s v="Alaska"/>
    <s v="Anchorage"/>
    <x v="3"/>
    <n v="51"/>
    <n v="75"/>
    <n v="3825"/>
    <n v="1453.5"/>
    <n v="0.38"/>
    <x v="2"/>
  </r>
  <r>
    <x v="5"/>
    <n v="1185732"/>
    <x v="334"/>
    <x v="2"/>
    <s v="Alaska"/>
    <s v="Anchorage"/>
    <x v="4"/>
    <n v="61"/>
    <n v="91"/>
    <n v="5551"/>
    <n v="2164.89"/>
    <n v="0.39"/>
    <x v="2"/>
  </r>
  <r>
    <x v="5"/>
    <n v="1185732"/>
    <x v="334"/>
    <x v="2"/>
    <s v="Alaska"/>
    <s v="Anchorage"/>
    <x v="5"/>
    <n v="67"/>
    <n v="130"/>
    <n v="8710"/>
    <n v="3919.4999999999995"/>
    <n v="0.44999999999999996"/>
    <x v="2"/>
  </r>
  <r>
    <x v="5"/>
    <n v="1185732"/>
    <x v="366"/>
    <x v="2"/>
    <s v="Alaska"/>
    <s v="Anchorage"/>
    <x v="0"/>
    <n v="59"/>
    <n v="163"/>
    <n v="9617"/>
    <n v="4327.6500000000005"/>
    <n v="0.45000000000000007"/>
    <x v="2"/>
  </r>
  <r>
    <x v="5"/>
    <n v="1185732"/>
    <x v="366"/>
    <x v="2"/>
    <s v="Alaska"/>
    <s v="Anchorage"/>
    <x v="1"/>
    <n v="56"/>
    <n v="106"/>
    <n v="5936"/>
    <n v="2671.2000000000003"/>
    <n v="0.45000000000000007"/>
    <x v="2"/>
  </r>
  <r>
    <x v="5"/>
    <n v="1185732"/>
    <x v="366"/>
    <x v="2"/>
    <s v="Alaska"/>
    <s v="Anchorage"/>
    <x v="2"/>
    <n v="54"/>
    <n v="102"/>
    <n v="5508"/>
    <n v="1982.8799999999999"/>
    <n v="0.36"/>
    <x v="2"/>
  </r>
  <r>
    <x v="5"/>
    <n v="1185732"/>
    <x v="366"/>
    <x v="2"/>
    <s v="Alaska"/>
    <s v="Anchorage"/>
    <x v="3"/>
    <n v="53"/>
    <n v="68"/>
    <n v="3604"/>
    <n v="1441.6000000000001"/>
    <n v="0.4"/>
    <x v="2"/>
  </r>
  <r>
    <x v="5"/>
    <n v="1185732"/>
    <x v="366"/>
    <x v="2"/>
    <s v="Alaska"/>
    <s v="Anchorage"/>
    <x v="4"/>
    <n v="62"/>
    <n v="65"/>
    <n v="4030"/>
    <n v="1531.4"/>
    <n v="0.38"/>
    <x v="2"/>
  </r>
  <r>
    <x v="5"/>
    <n v="1185732"/>
    <x v="366"/>
    <x v="2"/>
    <s v="Alaska"/>
    <s v="Anchorage"/>
    <x v="5"/>
    <n v="67"/>
    <n v="104"/>
    <n v="6968"/>
    <n v="2926.56"/>
    <n v="0.42"/>
    <x v="2"/>
  </r>
  <r>
    <x v="5"/>
    <n v="1185732"/>
    <x v="396"/>
    <x v="2"/>
    <s v="Alaska"/>
    <s v="Anchorage"/>
    <x v="0"/>
    <n v="64"/>
    <n v="131"/>
    <n v="8384"/>
    <n v="4024.32"/>
    <n v="0.48000000000000004"/>
    <x v="2"/>
  </r>
  <r>
    <x v="5"/>
    <n v="1185732"/>
    <x v="396"/>
    <x v="2"/>
    <s v="Alaska"/>
    <s v="Anchorage"/>
    <x v="1"/>
    <n v="55"/>
    <n v="91"/>
    <n v="5005"/>
    <n v="2402.4"/>
    <n v="0.48000000000000004"/>
    <x v="2"/>
  </r>
  <r>
    <x v="5"/>
    <n v="1185732"/>
    <x v="396"/>
    <x v="2"/>
    <s v="Alaska"/>
    <s v="Anchorage"/>
    <x v="2"/>
    <n v="50"/>
    <n v="59"/>
    <n v="2950"/>
    <n v="1121"/>
    <n v="0.38"/>
    <x v="2"/>
  </r>
  <r>
    <x v="5"/>
    <n v="1185732"/>
    <x v="396"/>
    <x v="2"/>
    <s v="Alaska"/>
    <s v="Anchorage"/>
    <x v="3"/>
    <n v="50"/>
    <n v="56"/>
    <n v="2800"/>
    <n v="1092"/>
    <n v="0.39"/>
    <x v="2"/>
  </r>
  <r>
    <x v="5"/>
    <n v="1185732"/>
    <x v="396"/>
    <x v="2"/>
    <s v="Alaska"/>
    <s v="Anchorage"/>
    <x v="4"/>
    <n v="62"/>
    <n v="60"/>
    <n v="3720"/>
    <n v="1488"/>
    <n v="0.4"/>
    <x v="2"/>
  </r>
  <r>
    <x v="5"/>
    <n v="1185732"/>
    <x v="396"/>
    <x v="2"/>
    <s v="Alaska"/>
    <s v="Anchorage"/>
    <x v="5"/>
    <n v="64"/>
    <n v="84"/>
    <n v="5376"/>
    <n v="2204.16"/>
    <n v="0.41"/>
    <x v="2"/>
  </r>
  <r>
    <x v="5"/>
    <n v="1185732"/>
    <x v="428"/>
    <x v="2"/>
    <s v="Alaska"/>
    <s v="Anchorage"/>
    <x v="0"/>
    <n v="68"/>
    <n v="113"/>
    <n v="7684"/>
    <n v="3611.48"/>
    <n v="0.47000000000000003"/>
    <x v="2"/>
  </r>
  <r>
    <x v="5"/>
    <n v="1185732"/>
    <x v="428"/>
    <x v="2"/>
    <s v="Alaska"/>
    <s v="Anchorage"/>
    <x v="1"/>
    <n v="60"/>
    <n v="77"/>
    <n v="4620"/>
    <n v="2217.6000000000004"/>
    <n v="0.48000000000000004"/>
    <x v="2"/>
  </r>
  <r>
    <x v="5"/>
    <n v="1185732"/>
    <x v="428"/>
    <x v="2"/>
    <s v="Alaska"/>
    <s v="Anchorage"/>
    <x v="2"/>
    <n v="59"/>
    <n v="46"/>
    <n v="2714"/>
    <n v="1085.6000000000001"/>
    <n v="0.4"/>
    <x v="2"/>
  </r>
  <r>
    <x v="5"/>
    <n v="1185732"/>
    <x v="428"/>
    <x v="2"/>
    <s v="Alaska"/>
    <s v="Anchorage"/>
    <x v="3"/>
    <n v="59"/>
    <n v="42"/>
    <n v="2478"/>
    <n v="892.07999999999993"/>
    <n v="0.36"/>
    <x v="2"/>
  </r>
  <r>
    <x v="5"/>
    <n v="1185732"/>
    <x v="428"/>
    <x v="2"/>
    <s v="Alaska"/>
    <s v="Anchorage"/>
    <x v="4"/>
    <n v="71"/>
    <n v="44"/>
    <n v="3124"/>
    <n v="1093.3999999999999"/>
    <n v="0.35"/>
    <x v="2"/>
  </r>
  <r>
    <x v="5"/>
    <n v="1185732"/>
    <x v="428"/>
    <x v="2"/>
    <s v="Alaska"/>
    <s v="Anchorage"/>
    <x v="5"/>
    <n v="73"/>
    <n v="83"/>
    <n v="6059"/>
    <n v="2423.6"/>
    <n v="0.4"/>
    <x v="2"/>
  </r>
  <r>
    <x v="5"/>
    <n v="1185732"/>
    <x v="458"/>
    <x v="2"/>
    <s v="Alaska"/>
    <s v="Anchorage"/>
    <x v="0"/>
    <n v="68"/>
    <n v="123"/>
    <n v="8364"/>
    <n v="4014.7200000000003"/>
    <n v="0.48000000000000004"/>
    <x v="2"/>
  </r>
  <r>
    <x v="5"/>
    <n v="1185732"/>
    <x v="458"/>
    <x v="2"/>
    <s v="Alaska"/>
    <s v="Anchorage"/>
    <x v="1"/>
    <n v="59"/>
    <n v="81"/>
    <n v="4779"/>
    <n v="2198.34"/>
    <n v="0.46"/>
    <x v="2"/>
  </r>
  <r>
    <x v="5"/>
    <n v="1185732"/>
    <x v="458"/>
    <x v="2"/>
    <s v="Alaska"/>
    <s v="Anchorage"/>
    <x v="2"/>
    <n v="59"/>
    <n v="93"/>
    <n v="5487"/>
    <n v="2139.9300000000003"/>
    <n v="0.39"/>
    <x v="2"/>
  </r>
  <r>
    <x v="5"/>
    <n v="1185732"/>
    <x v="458"/>
    <x v="2"/>
    <s v="Alaska"/>
    <s v="Anchorage"/>
    <x v="3"/>
    <n v="62"/>
    <n v="90"/>
    <n v="5580"/>
    <n v="2120.4"/>
    <n v="0.38"/>
    <x v="2"/>
  </r>
  <r>
    <x v="5"/>
    <n v="1185732"/>
    <x v="458"/>
    <x v="2"/>
    <s v="Alaska"/>
    <s v="Anchorage"/>
    <x v="4"/>
    <n v="69"/>
    <n v="83"/>
    <n v="5727"/>
    <n v="2004.4499999999998"/>
    <n v="0.35"/>
    <x v="2"/>
  </r>
  <r>
    <x v="5"/>
    <n v="1185732"/>
    <x v="458"/>
    <x v="2"/>
    <s v="Alaska"/>
    <s v="Anchorage"/>
    <x v="5"/>
    <n v="74"/>
    <n v="101"/>
    <n v="7474"/>
    <n v="3139.08"/>
    <n v="0.42"/>
    <x v="2"/>
  </r>
  <r>
    <x v="5"/>
    <n v="1185732"/>
    <x v="487"/>
    <x v="2"/>
    <s v="Alaska"/>
    <s v="Anchorage"/>
    <x v="0"/>
    <n v="69"/>
    <n v="174"/>
    <n v="12006"/>
    <n v="5642.8200000000006"/>
    <n v="0.47000000000000003"/>
    <x v="2"/>
  </r>
  <r>
    <x v="5"/>
    <n v="1185732"/>
    <x v="487"/>
    <x v="2"/>
    <s v="Alaska"/>
    <s v="Anchorage"/>
    <x v="1"/>
    <n v="60"/>
    <n v="112"/>
    <n v="6720"/>
    <n v="3158.4"/>
    <n v="0.47000000000000003"/>
    <x v="2"/>
  </r>
  <r>
    <x v="0"/>
    <n v="1128299"/>
    <x v="174"/>
    <x v="2"/>
    <s v="Alaska"/>
    <s v="Anchorage"/>
    <x v="0"/>
    <n v="33"/>
    <n v="109"/>
    <n v="3597"/>
    <n v="1366.8600000000001"/>
    <n v="0.38"/>
    <x v="2"/>
  </r>
  <r>
    <x v="0"/>
    <n v="1128299"/>
    <x v="174"/>
    <x v="2"/>
    <s v="Alaska"/>
    <s v="Anchorage"/>
    <x v="1"/>
    <n v="43"/>
    <n v="109"/>
    <n v="4687"/>
    <n v="1546.71"/>
    <n v="0.33"/>
    <x v="2"/>
  </r>
  <r>
    <x v="0"/>
    <n v="1128299"/>
    <x v="174"/>
    <x v="2"/>
    <s v="Alaska"/>
    <s v="Anchorage"/>
    <x v="2"/>
    <n v="41"/>
    <n v="113"/>
    <n v="4633"/>
    <n v="1667.8799999999999"/>
    <n v="0.36"/>
    <x v="2"/>
  </r>
  <r>
    <x v="0"/>
    <n v="1128299"/>
    <x v="174"/>
    <x v="2"/>
    <s v="Alaska"/>
    <s v="Anchorage"/>
    <x v="3"/>
    <n v="43"/>
    <n v="56"/>
    <n v="2408"/>
    <n v="842.8"/>
    <n v="0.35"/>
    <x v="2"/>
  </r>
  <r>
    <x v="0"/>
    <n v="1128299"/>
    <x v="174"/>
    <x v="2"/>
    <s v="Alaska"/>
    <s v="Anchorage"/>
    <x v="4"/>
    <n v="46"/>
    <n v="46"/>
    <n v="2116"/>
    <n v="634.79999999999995"/>
    <n v="0.3"/>
    <x v="2"/>
  </r>
  <r>
    <x v="0"/>
    <n v="1128299"/>
    <x v="174"/>
    <x v="2"/>
    <s v="Alaska"/>
    <s v="Anchorage"/>
    <x v="5"/>
    <n v="42"/>
    <n v="123"/>
    <n v="5166"/>
    <n v="2789.6400000000003"/>
    <n v="0.54"/>
    <x v="2"/>
  </r>
  <r>
    <x v="0"/>
    <n v="1128299"/>
    <x v="205"/>
    <x v="2"/>
    <s v="Alaska"/>
    <s v="Anchorage"/>
    <x v="0"/>
    <n v="33"/>
    <n v="143"/>
    <n v="4719"/>
    <n v="1698.84"/>
    <n v="0.36"/>
    <x v="2"/>
  </r>
  <r>
    <x v="0"/>
    <n v="1128299"/>
    <x v="205"/>
    <x v="2"/>
    <s v="Alaska"/>
    <s v="Anchorage"/>
    <x v="1"/>
    <n v="42"/>
    <n v="98"/>
    <n v="4116"/>
    <n v="1317.1200000000001"/>
    <n v="0.32"/>
    <x v="2"/>
  </r>
  <r>
    <x v="0"/>
    <n v="1128299"/>
    <x v="205"/>
    <x v="2"/>
    <s v="Alaska"/>
    <s v="Anchorage"/>
    <x v="2"/>
    <n v="44"/>
    <n v="94"/>
    <n v="4136"/>
    <n v="1488.96"/>
    <n v="0.36"/>
    <x v="2"/>
  </r>
  <r>
    <x v="0"/>
    <n v="1128299"/>
    <x v="205"/>
    <x v="2"/>
    <s v="Hawaii"/>
    <s v="Honolulu"/>
    <x v="3"/>
    <n v="41"/>
    <n v="56"/>
    <n v="2296"/>
    <n v="895.44"/>
    <n v="0.39"/>
    <x v="2"/>
  </r>
  <r>
    <x v="0"/>
    <n v="1128299"/>
    <x v="205"/>
    <x v="2"/>
    <s v="Hawaii"/>
    <s v="Honolulu"/>
    <x v="4"/>
    <n v="47"/>
    <n v="38"/>
    <n v="1786"/>
    <n v="535.79999999999995"/>
    <n v="0.3"/>
    <x v="2"/>
  </r>
  <r>
    <x v="0"/>
    <n v="1128299"/>
    <x v="205"/>
    <x v="2"/>
    <s v="Hawaii"/>
    <s v="Honolulu"/>
    <x v="5"/>
    <n v="44"/>
    <n v="102"/>
    <n v="4488"/>
    <n v="2468.4"/>
    <n v="0.55000000000000004"/>
    <x v="2"/>
  </r>
  <r>
    <x v="0"/>
    <n v="1128299"/>
    <x v="214"/>
    <x v="2"/>
    <s v="Hawaii"/>
    <s v="Honolulu"/>
    <x v="0"/>
    <n v="44"/>
    <n v="135"/>
    <n v="5940"/>
    <n v="2376"/>
    <n v="0.4"/>
    <x v="2"/>
  </r>
  <r>
    <x v="0"/>
    <n v="1128299"/>
    <x v="214"/>
    <x v="2"/>
    <s v="Hawaii"/>
    <s v="Honolulu"/>
    <x v="1"/>
    <n v="54"/>
    <n v="91"/>
    <n v="4914"/>
    <n v="1523.34"/>
    <n v="0.31"/>
    <x v="2"/>
  </r>
  <r>
    <x v="0"/>
    <n v="1128299"/>
    <x v="214"/>
    <x v="2"/>
    <s v="Hawaii"/>
    <s v="Honolulu"/>
    <x v="2"/>
    <n v="57"/>
    <n v="101"/>
    <n v="5757"/>
    <n v="2245.23"/>
    <n v="0.39"/>
    <x v="2"/>
  </r>
  <r>
    <x v="0"/>
    <n v="1128299"/>
    <x v="214"/>
    <x v="2"/>
    <s v="Hawaii"/>
    <s v="Honolulu"/>
    <x v="3"/>
    <n v="52"/>
    <n v="69"/>
    <n v="3588"/>
    <n v="1291.68"/>
    <n v="0.36"/>
    <x v="2"/>
  </r>
  <r>
    <x v="0"/>
    <n v="1128299"/>
    <x v="214"/>
    <x v="2"/>
    <s v="Hawaii"/>
    <s v="Honolulu"/>
    <x v="4"/>
    <n v="55"/>
    <n v="36"/>
    <n v="1980"/>
    <n v="514.80000000000007"/>
    <n v="0.26"/>
    <x v="2"/>
  </r>
  <r>
    <x v="0"/>
    <n v="1128299"/>
    <x v="214"/>
    <x v="2"/>
    <s v="Hawaii"/>
    <s v="Honolulu"/>
    <x v="5"/>
    <n v="50"/>
    <n v="85"/>
    <n v="4250"/>
    <n v="2337.5"/>
    <n v="0.55000000000000004"/>
    <x v="2"/>
  </r>
  <r>
    <x v="0"/>
    <n v="1128299"/>
    <x v="233"/>
    <x v="2"/>
    <s v="Hawaii"/>
    <s v="Honolulu"/>
    <x v="0"/>
    <n v="59"/>
    <n v="130"/>
    <n v="7670"/>
    <n v="2761.2"/>
    <n v="0.36"/>
    <x v="2"/>
  </r>
  <r>
    <x v="0"/>
    <n v="1128299"/>
    <x v="233"/>
    <x v="2"/>
    <s v="Hawaii"/>
    <s v="Honolulu"/>
    <x v="1"/>
    <n v="61"/>
    <n v="81"/>
    <n v="4941"/>
    <n v="1729.35"/>
    <n v="0.35"/>
    <x v="2"/>
  </r>
  <r>
    <x v="0"/>
    <n v="1128299"/>
    <x v="233"/>
    <x v="2"/>
    <s v="Hawaii"/>
    <s v="Honolulu"/>
    <x v="2"/>
    <n v="60"/>
    <n v="91"/>
    <n v="5460"/>
    <n v="2074.8000000000002"/>
    <n v="0.38"/>
    <x v="2"/>
  </r>
  <r>
    <x v="0"/>
    <n v="1128299"/>
    <x v="233"/>
    <x v="2"/>
    <s v="Hawaii"/>
    <s v="Honolulu"/>
    <x v="3"/>
    <n v="48"/>
    <n v="73"/>
    <n v="3504"/>
    <n v="1226.3999999999999"/>
    <n v="0.35"/>
    <x v="2"/>
  </r>
  <r>
    <x v="0"/>
    <n v="1128299"/>
    <x v="233"/>
    <x v="2"/>
    <s v="Hawaii"/>
    <s v="Honolulu"/>
    <x v="4"/>
    <n v="52"/>
    <n v="42"/>
    <n v="2184"/>
    <n v="589.68000000000006"/>
    <n v="0.27"/>
    <x v="2"/>
  </r>
  <r>
    <x v="0"/>
    <n v="1128299"/>
    <x v="233"/>
    <x v="2"/>
    <s v="Hawaii"/>
    <s v="Honolulu"/>
    <x v="5"/>
    <n v="66"/>
    <n v="94"/>
    <n v="6204"/>
    <n v="3102"/>
    <n v="0.5"/>
    <x v="2"/>
  </r>
  <r>
    <x v="0"/>
    <n v="1128299"/>
    <x v="264"/>
    <x v="2"/>
    <s v="Hawaii"/>
    <s v="Honolulu"/>
    <x v="0"/>
    <n v="51"/>
    <n v="158"/>
    <n v="8058"/>
    <n v="2981.46"/>
    <n v="0.37"/>
    <x v="2"/>
  </r>
  <r>
    <x v="0"/>
    <n v="1128299"/>
    <x v="264"/>
    <x v="2"/>
    <s v="Hawaii"/>
    <s v="Honolulu"/>
    <x v="1"/>
    <n v="58"/>
    <n v="98"/>
    <n v="5684"/>
    <n v="1875.72"/>
    <n v="0.33"/>
    <x v="2"/>
  </r>
  <r>
    <x v="0"/>
    <n v="1128299"/>
    <x v="264"/>
    <x v="2"/>
    <s v="Hawaii"/>
    <s v="Honolulu"/>
    <x v="2"/>
    <n v="56"/>
    <n v="98"/>
    <n v="5488"/>
    <n v="2195.2000000000003"/>
    <n v="0.4"/>
    <x v="2"/>
  </r>
  <r>
    <x v="0"/>
    <n v="1128299"/>
    <x v="264"/>
    <x v="2"/>
    <s v="Hawaii"/>
    <s v="Honolulu"/>
    <x v="3"/>
    <n v="52"/>
    <n v="80"/>
    <n v="4160"/>
    <n v="1664"/>
    <n v="0.4"/>
    <x v="2"/>
  </r>
  <r>
    <x v="0"/>
    <n v="1128299"/>
    <x v="264"/>
    <x v="2"/>
    <s v="Hawaii"/>
    <s v="Honolulu"/>
    <x v="4"/>
    <n v="55"/>
    <n v="46"/>
    <n v="2530"/>
    <n v="708.40000000000009"/>
    <n v="0.28000000000000003"/>
    <x v="2"/>
  </r>
  <r>
    <x v="0"/>
    <n v="1128299"/>
    <x v="264"/>
    <x v="2"/>
    <s v="Hawaii"/>
    <s v="Honolulu"/>
    <x v="5"/>
    <n v="69"/>
    <n v="143"/>
    <n v="9867"/>
    <n v="5426.85"/>
    <n v="0.55000000000000004"/>
    <x v="2"/>
  </r>
  <r>
    <x v="0"/>
    <n v="1128299"/>
    <x v="294"/>
    <x v="2"/>
    <s v="Hawaii"/>
    <s v="Honolulu"/>
    <x v="0"/>
    <n v="67"/>
    <n v="210"/>
    <n v="14070"/>
    <n v="5628"/>
    <n v="0.4"/>
    <x v="2"/>
  </r>
  <r>
    <x v="0"/>
    <n v="1128299"/>
    <x v="294"/>
    <x v="2"/>
    <s v="Hawaii"/>
    <s v="Honolulu"/>
    <x v="1"/>
    <n v="72"/>
    <n v="156"/>
    <n v="11232"/>
    <n v="3481.92"/>
    <n v="0.31"/>
    <x v="2"/>
  </r>
  <r>
    <x v="0"/>
    <n v="1128299"/>
    <x v="294"/>
    <x v="2"/>
    <s v="Hawaii"/>
    <s v="Honolulu"/>
    <x v="2"/>
    <n v="71"/>
    <n v="180"/>
    <n v="12780"/>
    <n v="4600.8"/>
    <n v="0.36"/>
    <x v="2"/>
  </r>
  <r>
    <x v="0"/>
    <n v="1128299"/>
    <x v="294"/>
    <x v="2"/>
    <s v="Hawaii"/>
    <s v="Honolulu"/>
    <x v="3"/>
    <n v="74"/>
    <n v="133"/>
    <n v="9842"/>
    <n v="3739.96"/>
    <n v="0.38"/>
    <x v="2"/>
  </r>
  <r>
    <x v="0"/>
    <n v="1128299"/>
    <x v="294"/>
    <x v="2"/>
    <s v="Hawaii"/>
    <s v="Honolulu"/>
    <x v="4"/>
    <n v="83"/>
    <n v="88"/>
    <n v="7304"/>
    <n v="2191.1999999999998"/>
    <n v="0.3"/>
    <x v="2"/>
  </r>
  <r>
    <x v="0"/>
    <n v="1128299"/>
    <x v="294"/>
    <x v="2"/>
    <s v="Hawaii"/>
    <s v="Honolulu"/>
    <x v="5"/>
    <n v="97"/>
    <n v="169"/>
    <n v="16393"/>
    <n v="8524.36"/>
    <n v="0.52"/>
    <x v="2"/>
  </r>
  <r>
    <x v="0"/>
    <n v="1128299"/>
    <x v="323"/>
    <x v="2"/>
    <s v="Hawaii"/>
    <s v="Honolulu"/>
    <x v="0"/>
    <n v="74"/>
    <n v="208"/>
    <n v="15392"/>
    <n v="5695.04"/>
    <n v="0.37"/>
    <x v="2"/>
  </r>
  <r>
    <x v="0"/>
    <n v="1128299"/>
    <x v="323"/>
    <x v="2"/>
    <s v="Hawaii"/>
    <s v="Honolulu"/>
    <x v="1"/>
    <n v="81"/>
    <n v="182"/>
    <n v="14742"/>
    <n v="5012.2800000000007"/>
    <n v="0.34"/>
    <x v="2"/>
  </r>
  <r>
    <x v="0"/>
    <n v="1128299"/>
    <x v="323"/>
    <x v="2"/>
    <s v="Hawaii"/>
    <s v="Honolulu"/>
    <x v="2"/>
    <n v="79"/>
    <n v="150"/>
    <n v="11850"/>
    <n v="4266"/>
    <n v="0.36"/>
    <x v="2"/>
  </r>
  <r>
    <x v="0"/>
    <n v="1128299"/>
    <x v="323"/>
    <x v="2"/>
    <s v="Hawaii"/>
    <s v="Honolulu"/>
    <x v="3"/>
    <n v="73"/>
    <n v="130"/>
    <n v="9490"/>
    <n v="3796"/>
    <n v="0.4"/>
    <x v="2"/>
  </r>
  <r>
    <x v="0"/>
    <n v="1128299"/>
    <x v="323"/>
    <x v="2"/>
    <s v="Hawaii"/>
    <s v="Honolulu"/>
    <x v="4"/>
    <n v="80"/>
    <n v="149"/>
    <n v="11920"/>
    <n v="3576"/>
    <n v="0.3"/>
    <x v="2"/>
  </r>
  <r>
    <x v="0"/>
    <n v="1128299"/>
    <x v="323"/>
    <x v="2"/>
    <s v="Hawaii"/>
    <s v="Honolulu"/>
    <x v="5"/>
    <n v="96"/>
    <n v="154"/>
    <n v="14784"/>
    <n v="7687.68"/>
    <n v="0.52"/>
    <x v="2"/>
  </r>
  <r>
    <x v="0"/>
    <n v="1128299"/>
    <x v="355"/>
    <x v="2"/>
    <s v="Hawaii"/>
    <s v="Honolulu"/>
    <x v="0"/>
    <n v="79"/>
    <n v="210"/>
    <n v="16590"/>
    <n v="6138.3"/>
    <n v="0.37"/>
    <x v="2"/>
  </r>
  <r>
    <x v="0"/>
    <n v="1128299"/>
    <x v="355"/>
    <x v="2"/>
    <s v="Hawaii"/>
    <s v="Honolulu"/>
    <x v="1"/>
    <n v="71"/>
    <n v="218"/>
    <n v="15478"/>
    <n v="5262.52"/>
    <n v="0.34"/>
    <x v="2"/>
  </r>
  <r>
    <x v="0"/>
    <n v="1128299"/>
    <x v="355"/>
    <x v="2"/>
    <s v="Hawaii"/>
    <s v="Honolulu"/>
    <x v="2"/>
    <n v="64"/>
    <n v="162"/>
    <n v="10368"/>
    <n v="4043.52"/>
    <n v="0.39"/>
    <x v="2"/>
  </r>
  <r>
    <x v="0"/>
    <n v="1128299"/>
    <x v="355"/>
    <x v="2"/>
    <s v="Hawaii"/>
    <s v="Honolulu"/>
    <x v="3"/>
    <n v="67"/>
    <n v="142"/>
    <n v="9514"/>
    <n v="3615.32"/>
    <n v="0.38"/>
    <x v="2"/>
  </r>
  <r>
    <x v="1"/>
    <n v="1128299"/>
    <x v="355"/>
    <x v="2"/>
    <s v="Hawaii"/>
    <s v="Honolulu"/>
    <x v="4"/>
    <n v="69"/>
    <n v="147"/>
    <n v="10143"/>
    <n v="2738.61"/>
    <n v="0.27"/>
    <x v="2"/>
  </r>
  <r>
    <x v="1"/>
    <n v="1128299"/>
    <x v="355"/>
    <x v="2"/>
    <s v="Hawaii"/>
    <s v="Honolulu"/>
    <x v="5"/>
    <n v="72"/>
    <n v="88"/>
    <n v="6336"/>
    <n v="3358.0800000000004"/>
    <n v="0.53"/>
    <x v="2"/>
  </r>
  <r>
    <x v="1"/>
    <n v="1128299"/>
    <x v="387"/>
    <x v="2"/>
    <s v="Hawaii"/>
    <s v="Honolulu"/>
    <x v="0"/>
    <n v="62"/>
    <n v="149"/>
    <n v="9238"/>
    <n v="3325.68"/>
    <n v="0.36"/>
    <x v="2"/>
  </r>
  <r>
    <x v="1"/>
    <n v="1128299"/>
    <x v="387"/>
    <x v="2"/>
    <s v="Hawaii"/>
    <s v="Honolulu"/>
    <x v="1"/>
    <n v="69"/>
    <n v="149"/>
    <n v="10281"/>
    <n v="3392.73"/>
    <n v="0.33"/>
    <x v="2"/>
  </r>
  <r>
    <x v="1"/>
    <n v="1128299"/>
    <x v="387"/>
    <x v="2"/>
    <s v="Hawaii"/>
    <s v="Honolulu"/>
    <x v="2"/>
    <n v="64"/>
    <n v="105"/>
    <n v="6720"/>
    <n v="2620.8000000000002"/>
    <n v="0.39"/>
    <x v="2"/>
  </r>
  <r>
    <x v="1"/>
    <n v="1128299"/>
    <x v="387"/>
    <x v="2"/>
    <s v="Hawaii"/>
    <s v="Honolulu"/>
    <x v="3"/>
    <n v="62"/>
    <n v="85"/>
    <n v="5270"/>
    <n v="2108"/>
    <n v="0.4"/>
    <x v="2"/>
  </r>
  <r>
    <x v="1"/>
    <n v="1128299"/>
    <x v="387"/>
    <x v="2"/>
    <s v="Hawaii"/>
    <s v="Honolulu"/>
    <x v="4"/>
    <n v="71"/>
    <n v="91"/>
    <n v="6461"/>
    <n v="1938.3"/>
    <n v="0.3"/>
    <x v="2"/>
  </r>
  <r>
    <x v="1"/>
    <n v="1128299"/>
    <x v="387"/>
    <x v="2"/>
    <s v="Hawaii"/>
    <s v="Honolulu"/>
    <x v="5"/>
    <n v="56"/>
    <n v="105"/>
    <n v="5880"/>
    <n v="3116.4"/>
    <n v="0.53"/>
    <x v="2"/>
  </r>
  <r>
    <x v="1"/>
    <n v="1128299"/>
    <x v="416"/>
    <x v="2"/>
    <s v="Hawaii"/>
    <s v="Honolulu"/>
    <x v="0"/>
    <n v="52"/>
    <n v="124"/>
    <n v="6448"/>
    <n v="2579.2000000000003"/>
    <n v="0.4"/>
    <x v="2"/>
  </r>
  <r>
    <x v="1"/>
    <n v="1128299"/>
    <x v="416"/>
    <x v="2"/>
    <s v="Hawaii"/>
    <s v="Honolulu"/>
    <x v="1"/>
    <n v="61"/>
    <n v="138"/>
    <n v="8418"/>
    <n v="2525.4000000000005"/>
    <n v="0.30000000000000004"/>
    <x v="2"/>
  </r>
  <r>
    <x v="1"/>
    <n v="1128299"/>
    <x v="416"/>
    <x v="2"/>
    <s v="Hawaii"/>
    <s v="Honolulu"/>
    <x v="2"/>
    <n v="56"/>
    <n v="87"/>
    <n v="4872"/>
    <n v="1705.1999999999998"/>
    <n v="0.35"/>
    <x v="2"/>
  </r>
  <r>
    <x v="1"/>
    <n v="1128299"/>
    <x v="416"/>
    <x v="2"/>
    <s v="Hawaii"/>
    <s v="Honolulu"/>
    <x v="3"/>
    <n v="50"/>
    <n v="83"/>
    <n v="4150"/>
    <n v="1535.5"/>
    <n v="0.37"/>
    <x v="2"/>
  </r>
  <r>
    <x v="1"/>
    <n v="1128299"/>
    <x v="416"/>
    <x v="2"/>
    <s v="Hawaii"/>
    <s v="Honolulu"/>
    <x v="4"/>
    <n v="63"/>
    <n v="70"/>
    <n v="4410"/>
    <n v="1234.8000000000002"/>
    <n v="0.28000000000000003"/>
    <x v="2"/>
  </r>
  <r>
    <x v="1"/>
    <n v="1128299"/>
    <x v="416"/>
    <x v="2"/>
    <s v="Hawaii"/>
    <s v="Honolulu"/>
    <x v="5"/>
    <n v="64"/>
    <n v="75"/>
    <n v="4800"/>
    <n v="2448"/>
    <n v="0.51"/>
    <x v="2"/>
  </r>
  <r>
    <x v="1"/>
    <n v="1128299"/>
    <x v="447"/>
    <x v="2"/>
    <s v="Hawaii"/>
    <s v="Honolulu"/>
    <x v="0"/>
    <n v="51"/>
    <n v="158"/>
    <n v="8058"/>
    <n v="2981.46"/>
    <n v="0.37"/>
    <x v="2"/>
  </r>
  <r>
    <x v="1"/>
    <n v="1128299"/>
    <x v="447"/>
    <x v="2"/>
    <s v="Hawaii"/>
    <s v="Honolulu"/>
    <x v="1"/>
    <n v="56"/>
    <n v="168"/>
    <n v="9408"/>
    <n v="3010.56"/>
    <n v="0.32"/>
    <x v="2"/>
  </r>
  <r>
    <x v="1"/>
    <n v="1128299"/>
    <x v="447"/>
    <x v="2"/>
    <s v="Hawaii"/>
    <s v="Honolulu"/>
    <x v="2"/>
    <n v="50"/>
    <n v="123"/>
    <n v="6150"/>
    <n v="2460"/>
    <n v="0.4"/>
    <x v="2"/>
  </r>
  <r>
    <x v="1"/>
    <n v="1128299"/>
    <x v="447"/>
    <x v="2"/>
    <s v="Hawaii"/>
    <s v="Honolulu"/>
    <x v="3"/>
    <n v="60"/>
    <n v="104"/>
    <n v="6240"/>
    <n v="2433.6"/>
    <n v="0.39"/>
    <x v="2"/>
  </r>
  <r>
    <x v="1"/>
    <n v="1128299"/>
    <x v="447"/>
    <x v="2"/>
    <s v="Hawaii"/>
    <s v="Honolulu"/>
    <x v="4"/>
    <n v="83"/>
    <n v="113"/>
    <n v="9379"/>
    <n v="2813.7"/>
    <n v="0.3"/>
    <x v="2"/>
  </r>
  <r>
    <x v="1"/>
    <n v="1128299"/>
    <x v="447"/>
    <x v="2"/>
    <s v="Hawaii"/>
    <s v="Honolulu"/>
    <x v="5"/>
    <n v="82"/>
    <n v="140"/>
    <n v="11480"/>
    <n v="5969.6"/>
    <n v="0.52"/>
    <x v="2"/>
  </r>
  <r>
    <x v="1"/>
    <n v="1128299"/>
    <x v="476"/>
    <x v="2"/>
    <s v="Hawaii"/>
    <s v="Honolulu"/>
    <x v="0"/>
    <n v="68"/>
    <n v="189"/>
    <n v="12852"/>
    <n v="5140.8"/>
    <n v="0.4"/>
    <x v="2"/>
  </r>
  <r>
    <x v="1"/>
    <n v="1128299"/>
    <x v="476"/>
    <x v="2"/>
    <s v="Hawaii"/>
    <s v="Honolulu"/>
    <x v="1"/>
    <n v="77"/>
    <n v="182"/>
    <n v="14014"/>
    <n v="4204.2000000000007"/>
    <n v="0.30000000000000004"/>
    <x v="2"/>
  </r>
  <r>
    <x v="2"/>
    <n v="1128299"/>
    <x v="476"/>
    <x v="2"/>
    <s v="Hawaii"/>
    <s v="Honolulu"/>
    <x v="2"/>
    <n v="74"/>
    <n v="135"/>
    <n v="9990"/>
    <n v="3496.5"/>
    <n v="0.35"/>
    <x v="2"/>
  </r>
  <r>
    <x v="2"/>
    <n v="1128299"/>
    <x v="476"/>
    <x v="2"/>
    <s v="Hawaii"/>
    <s v="Honolulu"/>
    <x v="3"/>
    <n v="73"/>
    <n v="145"/>
    <n v="10585"/>
    <n v="3704.7499999999995"/>
    <n v="0.35"/>
    <x v="2"/>
  </r>
  <r>
    <x v="2"/>
    <n v="1128299"/>
    <x v="476"/>
    <x v="2"/>
    <s v="Hawaii"/>
    <s v="Honolulu"/>
    <x v="4"/>
    <n v="84"/>
    <n v="128"/>
    <n v="10752"/>
    <n v="2795.52"/>
    <n v="0.26"/>
    <x v="2"/>
  </r>
  <r>
    <x v="2"/>
    <n v="1128299"/>
    <x v="476"/>
    <x v="2"/>
    <s v="Hawaii"/>
    <s v="Honolulu"/>
    <x v="5"/>
    <n v="89"/>
    <n v="142"/>
    <n v="12638"/>
    <n v="6319"/>
    <n v="0.5"/>
    <x v="2"/>
  </r>
  <r>
    <x v="2"/>
    <n v="1128299"/>
    <x v="181"/>
    <x v="2"/>
    <s v="Hawaii"/>
    <s v="Honolulu"/>
    <x v="0"/>
    <n v="38"/>
    <n v="115"/>
    <n v="4370"/>
    <n v="1879.1"/>
    <n v="0.43"/>
    <x v="2"/>
  </r>
  <r>
    <x v="2"/>
    <n v="1128299"/>
    <x v="181"/>
    <x v="2"/>
    <s v="Hawaii"/>
    <s v="Honolulu"/>
    <x v="1"/>
    <n v="48"/>
    <n v="123"/>
    <n v="5904"/>
    <n v="2066.4"/>
    <n v="0.35"/>
    <x v="2"/>
  </r>
  <r>
    <x v="2"/>
    <n v="1128299"/>
    <x v="181"/>
    <x v="2"/>
    <s v="Hawaii"/>
    <s v="Honolulu"/>
    <x v="2"/>
    <n v="45"/>
    <n v="123"/>
    <n v="5535"/>
    <n v="2269.35"/>
    <n v="0.41"/>
    <x v="2"/>
  </r>
  <r>
    <x v="2"/>
    <n v="1128299"/>
    <x v="181"/>
    <x v="2"/>
    <s v="Hawaii"/>
    <s v="Honolulu"/>
    <x v="3"/>
    <n v="47"/>
    <n v="77"/>
    <n v="3619"/>
    <n v="1628.5499999999997"/>
    <n v="0.44999999999999996"/>
    <x v="2"/>
  </r>
  <r>
    <x v="2"/>
    <n v="1128299"/>
    <x v="181"/>
    <x v="2"/>
    <s v="Hawaii"/>
    <s v="Honolulu"/>
    <x v="4"/>
    <n v="54"/>
    <n v="68"/>
    <n v="3672"/>
    <n v="1101.6000000000001"/>
    <n v="0.30000000000000004"/>
    <x v="2"/>
  </r>
  <r>
    <x v="2"/>
    <n v="1128299"/>
    <x v="181"/>
    <x v="2"/>
    <s v="Hawaii"/>
    <s v="Honolulu"/>
    <x v="5"/>
    <n v="49"/>
    <n v="124"/>
    <n v="6076"/>
    <n v="3584.8400000000006"/>
    <n v="0.59000000000000008"/>
    <x v="2"/>
  </r>
  <r>
    <x v="2"/>
    <n v="1128299"/>
    <x v="212"/>
    <x v="2"/>
    <s v="Hawaii"/>
    <s v="Honolulu"/>
    <x v="0"/>
    <n v="36"/>
    <n v="137"/>
    <n v="4932"/>
    <n v="2071.44"/>
    <n v="0.42"/>
    <x v="2"/>
  </r>
  <r>
    <x v="2"/>
    <n v="1128299"/>
    <x v="212"/>
    <x v="2"/>
    <s v="Hawaii"/>
    <s v="Honolulu"/>
    <x v="1"/>
    <n v="49"/>
    <n v="111"/>
    <n v="5439"/>
    <n v="1903.6499999999999"/>
    <n v="0.35"/>
    <x v="2"/>
  </r>
  <r>
    <x v="2"/>
    <n v="1128299"/>
    <x v="212"/>
    <x v="2"/>
    <s v="Hawaii"/>
    <s v="Honolulu"/>
    <x v="2"/>
    <n v="49"/>
    <n v="111"/>
    <n v="5439"/>
    <n v="2175.6"/>
    <n v="0.4"/>
    <x v="2"/>
  </r>
  <r>
    <x v="2"/>
    <n v="1128299"/>
    <x v="212"/>
    <x v="4"/>
    <s v="Florida"/>
    <s v="Orlando"/>
    <x v="3"/>
    <n v="45"/>
    <n v="74"/>
    <n v="3330"/>
    <n v="1465.2"/>
    <n v="0.44"/>
    <x v="2"/>
  </r>
  <r>
    <x v="2"/>
    <n v="1128299"/>
    <x v="212"/>
    <x v="4"/>
    <s v="Florida"/>
    <s v="Orlando"/>
    <x v="4"/>
    <n v="52"/>
    <n v="60"/>
    <n v="3120"/>
    <n v="998.4"/>
    <n v="0.32"/>
    <x v="2"/>
  </r>
  <r>
    <x v="2"/>
    <n v="1128299"/>
    <x v="212"/>
    <x v="4"/>
    <s v="Florida"/>
    <s v="Orlando"/>
    <x v="5"/>
    <n v="47"/>
    <n v="108"/>
    <n v="5076"/>
    <n v="2944.0800000000004"/>
    <n v="0.58000000000000007"/>
    <x v="2"/>
  </r>
  <r>
    <x v="2"/>
    <n v="1128299"/>
    <x v="221"/>
    <x v="4"/>
    <s v="Florida"/>
    <s v="Orlando"/>
    <x v="0"/>
    <n v="46"/>
    <n v="160"/>
    <n v="7360"/>
    <n v="3017.6"/>
    <n v="0.41"/>
    <x v="2"/>
  </r>
  <r>
    <x v="2"/>
    <n v="1128299"/>
    <x v="221"/>
    <x v="4"/>
    <s v="Florida"/>
    <s v="Orlando"/>
    <x v="1"/>
    <n v="58"/>
    <n v="100"/>
    <n v="5800"/>
    <n v="2204"/>
    <n v="0.38"/>
    <x v="2"/>
  </r>
  <r>
    <x v="2"/>
    <n v="1128299"/>
    <x v="221"/>
    <x v="4"/>
    <s v="Florida"/>
    <s v="Orlando"/>
    <x v="2"/>
    <n v="59"/>
    <n v="115"/>
    <n v="6785"/>
    <n v="2917.55"/>
    <n v="0.43"/>
    <x v="2"/>
  </r>
  <r>
    <x v="2"/>
    <n v="1128299"/>
    <x v="221"/>
    <x v="4"/>
    <s v="Florida"/>
    <s v="Orlando"/>
    <x v="3"/>
    <n v="58"/>
    <n v="91"/>
    <n v="5278"/>
    <n v="2216.7599999999998"/>
    <n v="0.42"/>
    <x v="2"/>
  </r>
  <r>
    <x v="2"/>
    <n v="1128299"/>
    <x v="221"/>
    <x v="4"/>
    <s v="Florida"/>
    <s v="Orlando"/>
    <x v="4"/>
    <n v="61"/>
    <n v="44"/>
    <n v="2684"/>
    <n v="885.72"/>
    <n v="0.33"/>
    <x v="2"/>
  </r>
  <r>
    <x v="2"/>
    <n v="1128299"/>
    <x v="221"/>
    <x v="4"/>
    <s v="Florida"/>
    <s v="Orlando"/>
    <x v="5"/>
    <n v="54"/>
    <n v="101"/>
    <n v="5454"/>
    <n v="3272.4"/>
    <n v="0.6"/>
    <x v="2"/>
  </r>
  <r>
    <x v="1"/>
    <n v="1128299"/>
    <x v="240"/>
    <x v="4"/>
    <s v="Florida"/>
    <s v="Orlando"/>
    <x v="0"/>
    <n v="62"/>
    <n v="138"/>
    <n v="8556"/>
    <n v="3593.52"/>
    <n v="0.42"/>
    <x v="2"/>
  </r>
  <r>
    <x v="1"/>
    <n v="1128299"/>
    <x v="240"/>
    <x v="4"/>
    <s v="Florida"/>
    <s v="Orlando"/>
    <x v="1"/>
    <n v="66"/>
    <n v="98"/>
    <n v="6468"/>
    <n v="2263.7999999999997"/>
    <n v="0.35"/>
    <x v="2"/>
  </r>
  <r>
    <x v="1"/>
    <n v="1128299"/>
    <x v="240"/>
    <x v="4"/>
    <s v="Florida"/>
    <s v="Orlando"/>
    <x v="2"/>
    <n v="66"/>
    <n v="120"/>
    <n v="7920"/>
    <n v="3247.2"/>
    <n v="0.41"/>
    <x v="2"/>
  </r>
  <r>
    <x v="1"/>
    <n v="1128299"/>
    <x v="240"/>
    <x v="4"/>
    <s v="Florida"/>
    <s v="Orlando"/>
    <x v="3"/>
    <n v="52"/>
    <n v="84"/>
    <n v="4368"/>
    <n v="1965.6"/>
    <n v="0.44999999999999996"/>
    <x v="2"/>
  </r>
  <r>
    <x v="1"/>
    <n v="1128299"/>
    <x v="240"/>
    <x v="4"/>
    <s v="Florida"/>
    <s v="Orlando"/>
    <x v="4"/>
    <n v="59"/>
    <n v="58"/>
    <n v="3422"/>
    <n v="1197.6999999999998"/>
    <n v="0.35"/>
    <x v="2"/>
  </r>
  <r>
    <x v="1"/>
    <n v="1128299"/>
    <x v="240"/>
    <x v="4"/>
    <s v="Florida"/>
    <s v="Orlando"/>
    <x v="5"/>
    <n v="72"/>
    <n v="109"/>
    <n v="7848"/>
    <n v="4708.8"/>
    <n v="0.6"/>
    <x v="2"/>
  </r>
  <r>
    <x v="1"/>
    <n v="1128299"/>
    <x v="271"/>
    <x v="4"/>
    <s v="Florida"/>
    <s v="Orlando"/>
    <x v="0"/>
    <n v="58"/>
    <n v="155"/>
    <n v="8990"/>
    <n v="3865.7"/>
    <n v="0.43"/>
    <x v="2"/>
  </r>
  <r>
    <x v="1"/>
    <n v="1128299"/>
    <x v="271"/>
    <x v="4"/>
    <s v="Florida"/>
    <s v="Orlando"/>
    <x v="1"/>
    <n v="60"/>
    <n v="128"/>
    <n v="7680"/>
    <n v="3072"/>
    <n v="0.4"/>
    <x v="2"/>
  </r>
  <r>
    <x v="1"/>
    <n v="1128299"/>
    <x v="271"/>
    <x v="4"/>
    <s v="Florida"/>
    <s v="Orlando"/>
    <x v="2"/>
    <n v="59"/>
    <n v="119"/>
    <n v="7021"/>
    <n v="3159.45"/>
    <n v="0.44999999999999996"/>
    <x v="2"/>
  </r>
  <r>
    <x v="1"/>
    <n v="1128299"/>
    <x v="271"/>
    <x v="4"/>
    <s v="Florida"/>
    <s v="Orlando"/>
    <x v="3"/>
    <n v="59"/>
    <n v="88"/>
    <n v="5192"/>
    <n v="2232.56"/>
    <n v="0.43"/>
    <x v="2"/>
  </r>
  <r>
    <x v="1"/>
    <n v="1128299"/>
    <x v="271"/>
    <x v="4"/>
    <s v="Florida"/>
    <s v="Orlando"/>
    <x v="4"/>
    <n v="52"/>
    <n v="68"/>
    <n v="3536"/>
    <n v="1131.52"/>
    <n v="0.32"/>
    <x v="2"/>
  </r>
  <r>
    <x v="1"/>
    <n v="1128299"/>
    <x v="271"/>
    <x v="4"/>
    <s v="Florida"/>
    <s v="Orlando"/>
    <x v="5"/>
    <n v="67"/>
    <n v="173"/>
    <n v="11591"/>
    <n v="6722.7800000000007"/>
    <n v="0.58000000000000007"/>
    <x v="2"/>
  </r>
  <r>
    <x v="1"/>
    <n v="1128299"/>
    <x v="301"/>
    <x v="4"/>
    <s v="Florida"/>
    <s v="Orlando"/>
    <x v="0"/>
    <n v="61"/>
    <n v="223"/>
    <n v="13603"/>
    <n v="6121.3499999999995"/>
    <n v="0.44999999999999996"/>
    <x v="2"/>
  </r>
  <r>
    <x v="1"/>
    <n v="1128299"/>
    <x v="301"/>
    <x v="4"/>
    <s v="Florida"/>
    <s v="Orlando"/>
    <x v="1"/>
    <n v="64"/>
    <n v="203"/>
    <n v="12992"/>
    <n v="4547.2"/>
    <n v="0.35"/>
    <x v="2"/>
  </r>
  <r>
    <x v="1"/>
    <n v="1128299"/>
    <x v="301"/>
    <x v="4"/>
    <s v="Florida"/>
    <s v="Orlando"/>
    <x v="2"/>
    <n v="80"/>
    <n v="210"/>
    <n v="16800"/>
    <n v="7224"/>
    <n v="0.43"/>
    <x v="2"/>
  </r>
  <r>
    <x v="1"/>
    <n v="1128299"/>
    <x v="301"/>
    <x v="4"/>
    <s v="Florida"/>
    <s v="Orlando"/>
    <x v="3"/>
    <n v="77"/>
    <n v="155"/>
    <n v="11935"/>
    <n v="5012.7"/>
    <n v="0.42"/>
    <x v="2"/>
  </r>
  <r>
    <x v="1"/>
    <n v="1128299"/>
    <x v="301"/>
    <x v="4"/>
    <s v="Florida"/>
    <s v="Orlando"/>
    <x v="4"/>
    <n v="89"/>
    <n v="126"/>
    <n v="11214"/>
    <n v="3588.48"/>
    <n v="0.32"/>
    <x v="2"/>
  </r>
  <r>
    <x v="1"/>
    <n v="1128299"/>
    <x v="301"/>
    <x v="4"/>
    <s v="Florida"/>
    <s v="Orlando"/>
    <x v="5"/>
    <n v="103"/>
    <n v="218"/>
    <n v="22454"/>
    <n v="12574.240000000002"/>
    <n v="0.56000000000000005"/>
    <x v="2"/>
  </r>
  <r>
    <x v="1"/>
    <n v="1128299"/>
    <x v="330"/>
    <x v="4"/>
    <s v="Florida"/>
    <s v="Orlando"/>
    <x v="0"/>
    <n v="83"/>
    <n v="261"/>
    <n v="21663"/>
    <n v="9531.7199999999993"/>
    <n v="0.44"/>
    <x v="2"/>
  </r>
  <r>
    <x v="1"/>
    <n v="1128299"/>
    <x v="330"/>
    <x v="4"/>
    <s v="Florida"/>
    <s v="Orlando"/>
    <x v="1"/>
    <n v="88"/>
    <n v="225"/>
    <n v="19800"/>
    <n v="7920"/>
    <n v="0.4"/>
    <x v="2"/>
  </r>
  <r>
    <x v="1"/>
    <n v="1128299"/>
    <x v="330"/>
    <x v="4"/>
    <s v="Florida"/>
    <s v="Orlando"/>
    <x v="2"/>
    <n v="86"/>
    <n v="189"/>
    <n v="16254"/>
    <n v="7151.76"/>
    <n v="0.44"/>
    <x v="2"/>
  </r>
  <r>
    <x v="1"/>
    <n v="1128299"/>
    <x v="330"/>
    <x v="4"/>
    <s v="Florida"/>
    <s v="Orlando"/>
    <x v="3"/>
    <n v="82"/>
    <n v="180"/>
    <n v="14760"/>
    <n v="6346.8"/>
    <n v="0.43"/>
    <x v="2"/>
  </r>
  <r>
    <x v="1"/>
    <n v="1128299"/>
    <x v="330"/>
    <x v="4"/>
    <s v="Florida"/>
    <s v="Orlando"/>
    <x v="4"/>
    <n v="89"/>
    <n v="195"/>
    <n v="17355"/>
    <n v="5553.6"/>
    <n v="0.32"/>
    <x v="2"/>
  </r>
  <r>
    <x v="1"/>
    <n v="1128299"/>
    <x v="330"/>
    <x v="4"/>
    <s v="Florida"/>
    <s v="Orlando"/>
    <x v="5"/>
    <n v="101"/>
    <n v="163"/>
    <n v="16463"/>
    <n v="9383.9100000000017"/>
    <n v="0.57000000000000006"/>
    <x v="2"/>
  </r>
  <r>
    <x v="1"/>
    <n v="1128299"/>
    <x v="362"/>
    <x v="4"/>
    <s v="Florida"/>
    <s v="Orlando"/>
    <x v="0"/>
    <n v="87"/>
    <n v="213"/>
    <n v="18531"/>
    <n v="7597.7099999999991"/>
    <n v="0.41"/>
    <x v="2"/>
  </r>
  <r>
    <x v="1"/>
    <n v="1128299"/>
    <x v="362"/>
    <x v="4"/>
    <s v="Florida"/>
    <s v="Orlando"/>
    <x v="1"/>
    <n v="77"/>
    <n v="206"/>
    <n v="15862"/>
    <n v="5551.7"/>
    <n v="0.35"/>
    <x v="2"/>
  </r>
  <r>
    <x v="1"/>
    <n v="1128299"/>
    <x v="362"/>
    <x v="4"/>
    <s v="Florida"/>
    <s v="Orlando"/>
    <x v="2"/>
    <n v="78"/>
    <n v="189"/>
    <n v="14742"/>
    <n v="6339.0599999999995"/>
    <n v="0.43"/>
    <x v="2"/>
  </r>
  <r>
    <x v="1"/>
    <n v="1128299"/>
    <x v="362"/>
    <x v="4"/>
    <s v="Florida"/>
    <s v="Orlando"/>
    <x v="3"/>
    <n v="77"/>
    <n v="143"/>
    <n v="11011"/>
    <n v="4624.62"/>
    <n v="0.42"/>
    <x v="2"/>
  </r>
  <r>
    <x v="1"/>
    <n v="1128299"/>
    <x v="362"/>
    <x v="4"/>
    <s v="Florida"/>
    <s v="Orlando"/>
    <x v="4"/>
    <n v="74"/>
    <n v="143"/>
    <n v="10582"/>
    <n v="3280.42"/>
    <n v="0.31"/>
    <x v="2"/>
  </r>
  <r>
    <x v="1"/>
    <n v="1128299"/>
    <x v="362"/>
    <x v="4"/>
    <s v="Florida"/>
    <s v="Orlando"/>
    <x v="5"/>
    <n v="81"/>
    <n v="87"/>
    <n v="7047"/>
    <n v="4087.2600000000007"/>
    <n v="0.58000000000000007"/>
    <x v="2"/>
  </r>
  <r>
    <x v="1"/>
    <n v="1128299"/>
    <x v="394"/>
    <x v="4"/>
    <s v="Florida"/>
    <s v="Orlando"/>
    <x v="0"/>
    <n v="58"/>
    <n v="140"/>
    <n v="8120"/>
    <n v="3248"/>
    <n v="0.4"/>
    <x v="2"/>
  </r>
  <r>
    <x v="1"/>
    <n v="1128299"/>
    <x v="394"/>
    <x v="4"/>
    <s v="Florida"/>
    <s v="Orlando"/>
    <x v="1"/>
    <n v="60"/>
    <n v="135"/>
    <n v="8100"/>
    <n v="2997"/>
    <n v="0.37"/>
    <x v="2"/>
  </r>
  <r>
    <x v="1"/>
    <n v="1128299"/>
    <x v="394"/>
    <x v="4"/>
    <s v="Florida"/>
    <s v="Orlando"/>
    <x v="2"/>
    <n v="54"/>
    <n v="75"/>
    <n v="4050"/>
    <n v="1822.4999999999998"/>
    <n v="0.44999999999999996"/>
    <x v="2"/>
  </r>
  <r>
    <x v="1"/>
    <n v="1128299"/>
    <x v="394"/>
    <x v="4"/>
    <s v="Florida"/>
    <s v="Orlando"/>
    <x v="3"/>
    <n v="54"/>
    <n v="65"/>
    <n v="3510"/>
    <n v="1544.4"/>
    <n v="0.44"/>
    <x v="2"/>
  </r>
  <r>
    <x v="1"/>
    <n v="1128299"/>
    <x v="394"/>
    <x v="4"/>
    <s v="Florida"/>
    <s v="Orlando"/>
    <x v="4"/>
    <n v="64"/>
    <n v="74"/>
    <n v="4736"/>
    <n v="1468.16"/>
    <n v="0.31"/>
    <x v="2"/>
  </r>
  <r>
    <x v="1"/>
    <n v="1128299"/>
    <x v="394"/>
    <x v="4"/>
    <s v="Florida"/>
    <s v="Orlando"/>
    <x v="5"/>
    <n v="51"/>
    <n v="75"/>
    <n v="3825"/>
    <n v="2103.75"/>
    <n v="0.55000000000000004"/>
    <x v="2"/>
  </r>
  <r>
    <x v="1"/>
    <n v="1128299"/>
    <x v="423"/>
    <x v="4"/>
    <s v="Florida"/>
    <s v="Orlando"/>
    <x v="0"/>
    <n v="47"/>
    <n v="100"/>
    <n v="4700"/>
    <n v="2068"/>
    <n v="0.44"/>
    <x v="2"/>
  </r>
  <r>
    <x v="1"/>
    <n v="1128299"/>
    <x v="423"/>
    <x v="4"/>
    <s v="Florida"/>
    <s v="Orlando"/>
    <x v="1"/>
    <n v="59"/>
    <n v="144"/>
    <n v="8496"/>
    <n v="3228.48"/>
    <n v="0.38"/>
    <x v="2"/>
  </r>
  <r>
    <x v="1"/>
    <n v="1128299"/>
    <x v="423"/>
    <x v="4"/>
    <s v="Florida"/>
    <s v="Orlando"/>
    <x v="2"/>
    <n v="55"/>
    <n v="112"/>
    <n v="6160"/>
    <n v="2525.6"/>
    <n v="0.41"/>
    <x v="2"/>
  </r>
  <r>
    <x v="1"/>
    <n v="1128299"/>
    <x v="423"/>
    <x v="4"/>
    <s v="Florida"/>
    <s v="Orlando"/>
    <x v="3"/>
    <n v="51"/>
    <n v="113"/>
    <n v="5763"/>
    <n v="2362.83"/>
    <n v="0.41"/>
    <x v="2"/>
  </r>
  <r>
    <x v="1"/>
    <n v="1128299"/>
    <x v="423"/>
    <x v="4"/>
    <s v="Florida"/>
    <s v="Orlando"/>
    <x v="4"/>
    <n v="59"/>
    <n v="98"/>
    <n v="5782"/>
    <n v="1792.42"/>
    <n v="0.31"/>
    <x v="2"/>
  </r>
  <r>
    <x v="1"/>
    <n v="1128299"/>
    <x v="423"/>
    <x v="4"/>
    <s v="Florida"/>
    <s v="Orlando"/>
    <x v="5"/>
    <n v="65"/>
    <n v="104"/>
    <n v="6760"/>
    <n v="3920.8000000000006"/>
    <n v="0.58000000000000007"/>
    <x v="2"/>
  </r>
  <r>
    <x v="1"/>
    <n v="1128299"/>
    <x v="454"/>
    <x v="4"/>
    <s v="Florida"/>
    <s v="Orlando"/>
    <x v="0"/>
    <n v="52"/>
    <n v="169"/>
    <n v="8788"/>
    <n v="3515.2000000000003"/>
    <n v="0.4"/>
    <x v="2"/>
  </r>
  <r>
    <x v="1"/>
    <n v="1128299"/>
    <x v="454"/>
    <x v="4"/>
    <s v="Florida"/>
    <s v="Orlando"/>
    <x v="1"/>
    <n v="54"/>
    <n v="175"/>
    <n v="9450"/>
    <n v="3591"/>
    <n v="0.38"/>
    <x v="2"/>
  </r>
  <r>
    <x v="1"/>
    <n v="1128299"/>
    <x v="454"/>
    <x v="4"/>
    <s v="Florida"/>
    <s v="Orlando"/>
    <x v="2"/>
    <n v="53"/>
    <n v="147"/>
    <n v="7791"/>
    <n v="3194.31"/>
    <n v="0.41"/>
    <x v="2"/>
  </r>
  <r>
    <x v="1"/>
    <n v="1128299"/>
    <x v="454"/>
    <x v="4"/>
    <s v="Florida"/>
    <s v="Orlando"/>
    <x v="3"/>
    <n v="64"/>
    <n v="150"/>
    <n v="9600"/>
    <n v="4128"/>
    <n v="0.43"/>
    <x v="2"/>
  </r>
  <r>
    <x v="1"/>
    <n v="1128299"/>
    <x v="454"/>
    <x v="4"/>
    <s v="Florida"/>
    <s v="Orlando"/>
    <x v="4"/>
    <n v="77"/>
    <n v="124"/>
    <n v="9548"/>
    <n v="2864.4000000000005"/>
    <n v="0.30000000000000004"/>
    <x v="2"/>
  </r>
  <r>
    <x v="1"/>
    <n v="1128299"/>
    <x v="454"/>
    <x v="4"/>
    <s v="Florida"/>
    <s v="Orlando"/>
    <x v="5"/>
    <n v="86"/>
    <n v="162"/>
    <n v="13932"/>
    <n v="8219.880000000001"/>
    <n v="0.59000000000000008"/>
    <x v="2"/>
  </r>
  <r>
    <x v="1"/>
    <n v="1128299"/>
    <x v="483"/>
    <x v="4"/>
    <s v="Florida"/>
    <s v="Orlando"/>
    <x v="0"/>
    <n v="72"/>
    <n v="216"/>
    <n v="15552"/>
    <n v="6220.8"/>
    <n v="0.4"/>
    <x v="2"/>
  </r>
  <r>
    <x v="1"/>
    <n v="1128299"/>
    <x v="483"/>
    <x v="4"/>
    <s v="Florida"/>
    <s v="Orlando"/>
    <x v="1"/>
    <n v="82"/>
    <n v="200"/>
    <n v="16400"/>
    <n v="5740"/>
    <n v="0.35"/>
    <x v="2"/>
  </r>
  <r>
    <x v="3"/>
    <n v="1128299"/>
    <x v="483"/>
    <x v="4"/>
    <s v="Florida"/>
    <s v="Orlando"/>
    <x v="2"/>
    <n v="75"/>
    <n v="174"/>
    <n v="13050"/>
    <n v="5220"/>
    <n v="0.4"/>
    <x v="2"/>
  </r>
  <r>
    <x v="3"/>
    <n v="1128299"/>
    <x v="483"/>
    <x v="4"/>
    <s v="Florida"/>
    <s v="Orlando"/>
    <x v="3"/>
    <n v="78"/>
    <n v="180"/>
    <n v="14040"/>
    <n v="5756.4"/>
    <n v="0.41"/>
    <x v="2"/>
  </r>
  <r>
    <x v="3"/>
    <n v="1128299"/>
    <x v="483"/>
    <x v="4"/>
    <s v="Florida"/>
    <s v="Orlando"/>
    <x v="4"/>
    <n v="86"/>
    <n v="147"/>
    <n v="12642"/>
    <n v="4424.7"/>
    <n v="0.35"/>
    <x v="2"/>
  </r>
  <r>
    <x v="3"/>
    <n v="1128299"/>
    <x v="483"/>
    <x v="4"/>
    <s v="Florida"/>
    <s v="Orlando"/>
    <x v="5"/>
    <n v="87"/>
    <n v="156"/>
    <n v="13572"/>
    <n v="7464.6"/>
    <n v="0.55000000000000004"/>
    <x v="2"/>
  </r>
  <r>
    <x v="3"/>
    <n v="1185732"/>
    <x v="176"/>
    <x v="4"/>
    <s v="Florida"/>
    <s v="Orlando"/>
    <x v="0"/>
    <n v="41"/>
    <n v="255"/>
    <n v="10455"/>
    <n v="5750.2500000000009"/>
    <n v="0.55000000000000004"/>
    <x v="2"/>
  </r>
  <r>
    <x v="3"/>
    <n v="1185732"/>
    <x v="176"/>
    <x v="4"/>
    <s v="Florida"/>
    <s v="Orlando"/>
    <x v="1"/>
    <n v="44"/>
    <n v="189"/>
    <n v="8316"/>
    <n v="3908.52"/>
    <n v="0.47"/>
    <x v="2"/>
  </r>
  <r>
    <x v="3"/>
    <n v="1185732"/>
    <x v="176"/>
    <x v="4"/>
    <s v="Florida"/>
    <s v="Orlando"/>
    <x v="2"/>
    <n v="32"/>
    <n v="169"/>
    <n v="5408"/>
    <n v="2055.04"/>
    <n v="0.38"/>
    <x v="2"/>
  </r>
  <r>
    <x v="3"/>
    <n v="1185732"/>
    <x v="176"/>
    <x v="4"/>
    <s v="Florida"/>
    <s v="Orlando"/>
    <x v="3"/>
    <n v="37"/>
    <n v="145"/>
    <n v="5365"/>
    <n v="2199.65"/>
    <n v="0.41"/>
    <x v="2"/>
  </r>
  <r>
    <x v="3"/>
    <n v="1185732"/>
    <x v="176"/>
    <x v="4"/>
    <s v="Florida"/>
    <s v="Orlando"/>
    <x v="4"/>
    <n v="51"/>
    <n v="165"/>
    <n v="8415"/>
    <n v="3786.7499999999995"/>
    <n v="0.44999999999999996"/>
    <x v="2"/>
  </r>
  <r>
    <x v="3"/>
    <n v="1185732"/>
    <x v="176"/>
    <x v="4"/>
    <s v="Florida"/>
    <s v="Orlando"/>
    <x v="5"/>
    <n v="44"/>
    <n v="176"/>
    <n v="7744"/>
    <n v="5033.6000000000004"/>
    <n v="0.65"/>
    <x v="2"/>
  </r>
  <r>
    <x v="3"/>
    <n v="1185732"/>
    <x v="205"/>
    <x v="4"/>
    <s v="Florida"/>
    <s v="Orlando"/>
    <x v="0"/>
    <n v="44"/>
    <n v="234"/>
    <n v="10296"/>
    <n v="5662.8"/>
    <n v="0.55000000000000004"/>
    <x v="2"/>
  </r>
  <r>
    <x v="3"/>
    <n v="1185732"/>
    <x v="205"/>
    <x v="4"/>
    <s v="Florida"/>
    <s v="Orlando"/>
    <x v="1"/>
    <n v="42"/>
    <n v="138"/>
    <n v="5796"/>
    <n v="2840.04"/>
    <n v="0.49"/>
    <x v="2"/>
  </r>
  <r>
    <x v="3"/>
    <n v="1185732"/>
    <x v="205"/>
    <x v="4"/>
    <s v="Florida"/>
    <s v="Orlando"/>
    <x v="2"/>
    <n v="33"/>
    <n v="174"/>
    <n v="5742"/>
    <n v="2124.54"/>
    <n v="0.37"/>
    <x v="2"/>
  </r>
  <r>
    <x v="3"/>
    <n v="1185732"/>
    <x v="205"/>
    <x v="0"/>
    <s v="New York"/>
    <s v="Albany"/>
    <x v="3"/>
    <n v="37"/>
    <n v="133"/>
    <n v="4921"/>
    <n v="2066.8199999999997"/>
    <n v="0.42"/>
    <x v="2"/>
  </r>
  <r>
    <x v="3"/>
    <n v="1185732"/>
    <x v="205"/>
    <x v="0"/>
    <s v="New York"/>
    <s v="Albany"/>
    <x v="4"/>
    <n v="50"/>
    <n v="154"/>
    <n v="7700"/>
    <n v="3541.9999999999995"/>
    <n v="0.45999999999999996"/>
    <x v="2"/>
  </r>
  <r>
    <x v="3"/>
    <n v="1185732"/>
    <x v="205"/>
    <x v="0"/>
    <s v="New York"/>
    <s v="Albany"/>
    <x v="5"/>
    <n v="42"/>
    <n v="182"/>
    <n v="7644"/>
    <n v="4892.16"/>
    <n v="0.64"/>
    <x v="2"/>
  </r>
  <r>
    <x v="3"/>
    <n v="1185732"/>
    <x v="710"/>
    <x v="0"/>
    <s v="New York"/>
    <s v="Albany"/>
    <x v="0"/>
    <n v="44"/>
    <n v="252"/>
    <n v="11088"/>
    <n v="6541.920000000001"/>
    <n v="0.59000000000000008"/>
    <x v="2"/>
  </r>
  <r>
    <x v="3"/>
    <n v="1185732"/>
    <x v="710"/>
    <x v="0"/>
    <s v="New York"/>
    <s v="Albany"/>
    <x v="1"/>
    <n v="44"/>
    <n v="165"/>
    <n v="7260"/>
    <n v="3339.6"/>
    <n v="0.45999999999999996"/>
    <x v="2"/>
  </r>
  <r>
    <x v="3"/>
    <n v="1185732"/>
    <x v="710"/>
    <x v="0"/>
    <s v="New York"/>
    <s v="Albany"/>
    <x v="2"/>
    <n v="33"/>
    <n v="161"/>
    <n v="5313"/>
    <n v="1912.6799999999998"/>
    <n v="0.36"/>
    <x v="2"/>
  </r>
  <r>
    <x v="3"/>
    <n v="1185732"/>
    <x v="710"/>
    <x v="0"/>
    <s v="New York"/>
    <s v="Albany"/>
    <x v="3"/>
    <n v="39"/>
    <n v="106"/>
    <n v="4134"/>
    <n v="1694.9399999999998"/>
    <n v="0.41"/>
    <x v="2"/>
  </r>
  <r>
    <x v="3"/>
    <n v="1185732"/>
    <x v="710"/>
    <x v="0"/>
    <s v="New York"/>
    <s v="Albany"/>
    <x v="4"/>
    <n v="51"/>
    <n v="133"/>
    <n v="6783"/>
    <n v="3323.67"/>
    <n v="0.49"/>
    <x v="2"/>
  </r>
  <r>
    <x v="3"/>
    <n v="1185732"/>
    <x v="710"/>
    <x v="0"/>
    <s v="New York"/>
    <s v="Albany"/>
    <x v="5"/>
    <n v="43"/>
    <n v="161"/>
    <n v="6923"/>
    <n v="4153.8"/>
    <n v="0.6"/>
    <x v="2"/>
  </r>
  <r>
    <x v="3"/>
    <n v="1185732"/>
    <x v="232"/>
    <x v="0"/>
    <s v="New York"/>
    <s v="Albany"/>
    <x v="0"/>
    <n v="42"/>
    <n v="248"/>
    <n v="10416"/>
    <n v="5832.9600000000009"/>
    <n v="0.56000000000000005"/>
    <x v="2"/>
  </r>
  <r>
    <x v="3"/>
    <n v="1185732"/>
    <x v="232"/>
    <x v="0"/>
    <s v="New York"/>
    <s v="Albany"/>
    <x v="1"/>
    <n v="43"/>
    <n v="147"/>
    <n v="6321"/>
    <n v="2844.45"/>
    <n v="0.44999999999999996"/>
    <x v="2"/>
  </r>
  <r>
    <x v="3"/>
    <n v="1185732"/>
    <x v="232"/>
    <x v="0"/>
    <s v="New York"/>
    <s v="Albany"/>
    <x v="2"/>
    <n v="34"/>
    <n v="152"/>
    <n v="5168"/>
    <n v="1860.48"/>
    <n v="0.36"/>
    <x v="2"/>
  </r>
  <r>
    <x v="3"/>
    <n v="1185732"/>
    <x v="232"/>
    <x v="0"/>
    <s v="New York"/>
    <s v="Albany"/>
    <x v="3"/>
    <n v="37"/>
    <n v="135"/>
    <n v="4995"/>
    <n v="2047.9499999999998"/>
    <n v="0.41"/>
    <x v="2"/>
  </r>
  <r>
    <x v="3"/>
    <n v="1185732"/>
    <x v="232"/>
    <x v="0"/>
    <s v="New York"/>
    <s v="Albany"/>
    <x v="4"/>
    <n v="50"/>
    <n v="124"/>
    <n v="6200"/>
    <n v="2914"/>
    <n v="0.47"/>
    <x v="2"/>
  </r>
  <r>
    <x v="3"/>
    <n v="1185732"/>
    <x v="232"/>
    <x v="0"/>
    <s v="New York"/>
    <s v="Albany"/>
    <x v="5"/>
    <n v="41"/>
    <n v="156"/>
    <n v="6396"/>
    <n v="4157.4000000000005"/>
    <n v="0.65"/>
    <x v="2"/>
  </r>
  <r>
    <x v="3"/>
    <n v="1185732"/>
    <x v="261"/>
    <x v="0"/>
    <s v="New York"/>
    <s v="Albany"/>
    <x v="0"/>
    <n v="50"/>
    <n v="261"/>
    <n v="13050"/>
    <n v="7830"/>
    <n v="0.6"/>
    <x v="2"/>
  </r>
  <r>
    <x v="3"/>
    <n v="1185732"/>
    <x v="261"/>
    <x v="0"/>
    <s v="New York"/>
    <s v="Albany"/>
    <x v="1"/>
    <n v="53"/>
    <n v="161"/>
    <n v="8533"/>
    <n v="4010.5099999999998"/>
    <n v="0.47"/>
    <x v="2"/>
  </r>
  <r>
    <x v="3"/>
    <n v="1185732"/>
    <x v="261"/>
    <x v="0"/>
    <s v="New York"/>
    <s v="Albany"/>
    <x v="2"/>
    <n v="49"/>
    <n v="160"/>
    <n v="7840"/>
    <n v="2822.4"/>
    <n v="0.36"/>
    <x v="2"/>
  </r>
  <r>
    <x v="3"/>
    <n v="1185732"/>
    <x v="261"/>
    <x v="0"/>
    <s v="New York"/>
    <s v="Albany"/>
    <x v="3"/>
    <n v="47"/>
    <n v="130"/>
    <n v="6110"/>
    <n v="2444"/>
    <n v="0.4"/>
    <x v="2"/>
  </r>
  <r>
    <x v="3"/>
    <n v="1185732"/>
    <x v="261"/>
    <x v="0"/>
    <s v="New York"/>
    <s v="Albany"/>
    <x v="4"/>
    <n v="56"/>
    <n v="137"/>
    <n v="7672"/>
    <n v="3759.2799999999997"/>
    <n v="0.49"/>
    <x v="2"/>
  </r>
  <r>
    <x v="3"/>
    <n v="1185732"/>
    <x v="261"/>
    <x v="0"/>
    <s v="New York"/>
    <s v="Albany"/>
    <x v="5"/>
    <n v="59"/>
    <n v="169"/>
    <n v="9971"/>
    <n v="6281.7300000000005"/>
    <n v="0.63"/>
    <x v="2"/>
  </r>
  <r>
    <x v="3"/>
    <n v="1185732"/>
    <x v="294"/>
    <x v="0"/>
    <s v="New York"/>
    <s v="Albany"/>
    <x v="0"/>
    <n v="59"/>
    <n v="263"/>
    <n v="15517"/>
    <n v="8689.52"/>
    <n v="0.56000000000000005"/>
    <x v="2"/>
  </r>
  <r>
    <x v="3"/>
    <n v="1185732"/>
    <x v="294"/>
    <x v="0"/>
    <s v="New York"/>
    <s v="Albany"/>
    <x v="1"/>
    <n v="54"/>
    <n v="175"/>
    <n v="9450"/>
    <n v="4536"/>
    <n v="0.48"/>
    <x v="2"/>
  </r>
  <r>
    <x v="3"/>
    <n v="1185732"/>
    <x v="294"/>
    <x v="0"/>
    <s v="New York"/>
    <s v="Albany"/>
    <x v="2"/>
    <n v="48"/>
    <n v="150"/>
    <n v="7200"/>
    <n v="2736"/>
    <n v="0.38"/>
    <x v="2"/>
  </r>
  <r>
    <x v="3"/>
    <n v="1185732"/>
    <x v="294"/>
    <x v="0"/>
    <s v="New York"/>
    <s v="Albany"/>
    <x v="3"/>
    <n v="49"/>
    <n v="144"/>
    <n v="7056"/>
    <n v="2892.96"/>
    <n v="0.41"/>
    <x v="2"/>
  </r>
  <r>
    <x v="3"/>
    <n v="1185732"/>
    <x v="294"/>
    <x v="0"/>
    <s v="New York"/>
    <s v="Albany"/>
    <x v="4"/>
    <n v="62"/>
    <n v="150"/>
    <n v="9300"/>
    <n v="4557"/>
    <n v="0.49"/>
    <x v="2"/>
  </r>
  <r>
    <x v="3"/>
    <n v="1185732"/>
    <x v="294"/>
    <x v="0"/>
    <s v="New York"/>
    <s v="Albany"/>
    <x v="5"/>
    <n v="69"/>
    <n v="181"/>
    <n v="12489"/>
    <n v="7743.18"/>
    <n v="0.62"/>
    <x v="2"/>
  </r>
  <r>
    <x v="3"/>
    <n v="1185732"/>
    <x v="322"/>
    <x v="0"/>
    <s v="New York"/>
    <s v="Albany"/>
    <x v="0"/>
    <n v="59"/>
    <n v="247"/>
    <n v="14573"/>
    <n v="8015.1500000000005"/>
    <n v="0.55000000000000004"/>
    <x v="2"/>
  </r>
  <r>
    <x v="3"/>
    <n v="1185732"/>
    <x v="322"/>
    <x v="0"/>
    <s v="New York"/>
    <s v="Albany"/>
    <x v="1"/>
    <n v="56"/>
    <n v="196"/>
    <n v="10976"/>
    <n v="4939.2"/>
    <n v="0.44999999999999996"/>
    <x v="2"/>
  </r>
  <r>
    <x v="3"/>
    <n v="1185732"/>
    <x v="322"/>
    <x v="0"/>
    <s v="New York"/>
    <s v="Albany"/>
    <x v="2"/>
    <n v="51"/>
    <n v="169"/>
    <n v="8619"/>
    <n v="3016.6499999999996"/>
    <n v="0.35"/>
    <x v="2"/>
  </r>
  <r>
    <x v="3"/>
    <n v="1185732"/>
    <x v="322"/>
    <x v="0"/>
    <s v="New York"/>
    <s v="Albany"/>
    <x v="3"/>
    <n v="53"/>
    <n v="150"/>
    <n v="7950"/>
    <n v="3418.5"/>
    <n v="0.43"/>
    <x v="2"/>
  </r>
  <r>
    <x v="3"/>
    <n v="1185732"/>
    <x v="322"/>
    <x v="0"/>
    <s v="New York"/>
    <s v="Albany"/>
    <x v="4"/>
    <n v="62"/>
    <n v="168"/>
    <n v="10416"/>
    <n v="4791.3599999999997"/>
    <n v="0.45999999999999996"/>
    <x v="2"/>
  </r>
  <r>
    <x v="3"/>
    <n v="1185732"/>
    <x v="322"/>
    <x v="0"/>
    <s v="New York"/>
    <s v="Albany"/>
    <x v="5"/>
    <n v="66"/>
    <n v="194"/>
    <n v="12804"/>
    <n v="8322.6"/>
    <n v="0.65"/>
    <x v="2"/>
  </r>
  <r>
    <x v="3"/>
    <n v="1185732"/>
    <x v="354"/>
    <x v="0"/>
    <s v="New York"/>
    <s v="Albany"/>
    <x v="0"/>
    <n v="62"/>
    <n v="250"/>
    <n v="15500"/>
    <n v="8680"/>
    <n v="0.56000000000000005"/>
    <x v="2"/>
  </r>
  <r>
    <x v="3"/>
    <n v="1185732"/>
    <x v="354"/>
    <x v="0"/>
    <s v="New York"/>
    <s v="Albany"/>
    <x v="1"/>
    <n v="55"/>
    <n v="210"/>
    <n v="11550"/>
    <n v="5197.4999999999991"/>
    <n v="0.44999999999999996"/>
    <x v="2"/>
  </r>
  <r>
    <x v="3"/>
    <n v="1185732"/>
    <x v="354"/>
    <x v="0"/>
    <s v="New York"/>
    <s v="Albany"/>
    <x v="2"/>
    <n v="51"/>
    <n v="188"/>
    <n v="9588"/>
    <n v="3451.68"/>
    <n v="0.36"/>
    <x v="2"/>
  </r>
  <r>
    <x v="3"/>
    <n v="1185732"/>
    <x v="354"/>
    <x v="0"/>
    <s v="New York"/>
    <s v="Albany"/>
    <x v="3"/>
    <n v="41"/>
    <n v="150"/>
    <n v="6150"/>
    <n v="2460"/>
    <n v="0.4"/>
    <x v="2"/>
  </r>
  <r>
    <x v="3"/>
    <n v="1185732"/>
    <x v="354"/>
    <x v="0"/>
    <s v="New York"/>
    <s v="Albany"/>
    <x v="4"/>
    <n v="52"/>
    <n v="149"/>
    <n v="7748"/>
    <n v="3719.04"/>
    <n v="0.48"/>
    <x v="2"/>
  </r>
  <r>
    <x v="3"/>
    <n v="1185732"/>
    <x v="354"/>
    <x v="0"/>
    <s v="New York"/>
    <s v="Albany"/>
    <x v="5"/>
    <n v="55"/>
    <n v="218"/>
    <n v="11990"/>
    <n v="7194"/>
    <n v="0.6"/>
    <x v="2"/>
  </r>
  <r>
    <x v="3"/>
    <n v="1185732"/>
    <x v="384"/>
    <x v="0"/>
    <s v="New York"/>
    <s v="Albany"/>
    <x v="0"/>
    <n v="50"/>
    <n v="238"/>
    <n v="11900"/>
    <n v="7021.0000000000009"/>
    <n v="0.59000000000000008"/>
    <x v="2"/>
  </r>
  <r>
    <x v="3"/>
    <n v="1185732"/>
    <x v="384"/>
    <x v="0"/>
    <s v="New York"/>
    <s v="Albany"/>
    <x v="1"/>
    <n v="48"/>
    <n v="163"/>
    <n v="7824"/>
    <n v="3520.7999999999997"/>
    <n v="0.44999999999999996"/>
    <x v="2"/>
  </r>
  <r>
    <x v="3"/>
    <n v="1185732"/>
    <x v="384"/>
    <x v="0"/>
    <s v="New York"/>
    <s v="Albany"/>
    <x v="2"/>
    <n v="41"/>
    <n v="138"/>
    <n v="5658"/>
    <n v="1980.3"/>
    <n v="0.35"/>
    <x v="2"/>
  </r>
  <r>
    <x v="3"/>
    <n v="1185732"/>
    <x v="384"/>
    <x v="0"/>
    <s v="New York"/>
    <s v="Albany"/>
    <x v="3"/>
    <n v="44"/>
    <n v="137"/>
    <n v="6028"/>
    <n v="2471.48"/>
    <n v="0.41"/>
    <x v="2"/>
  </r>
  <r>
    <x v="3"/>
    <n v="1185732"/>
    <x v="384"/>
    <x v="0"/>
    <s v="New York"/>
    <s v="Albany"/>
    <x v="4"/>
    <n v="51"/>
    <n v="131"/>
    <n v="6681"/>
    <n v="3206.8799999999997"/>
    <n v="0.48"/>
    <x v="2"/>
  </r>
  <r>
    <x v="3"/>
    <n v="1185732"/>
    <x v="384"/>
    <x v="0"/>
    <s v="New York"/>
    <s v="Albany"/>
    <x v="5"/>
    <n v="59"/>
    <n v="156"/>
    <n v="9204"/>
    <n v="5522.4"/>
    <n v="0.6"/>
    <x v="2"/>
  </r>
  <r>
    <x v="3"/>
    <n v="1185732"/>
    <x v="416"/>
    <x v="0"/>
    <s v="New York"/>
    <s v="Albany"/>
    <x v="0"/>
    <n v="57"/>
    <n v="208"/>
    <n v="11856"/>
    <n v="6757.920000000001"/>
    <n v="0.57000000000000006"/>
    <x v="2"/>
  </r>
  <r>
    <x v="3"/>
    <n v="1185732"/>
    <x v="416"/>
    <x v="0"/>
    <s v="New York"/>
    <s v="Albany"/>
    <x v="1"/>
    <n v="46"/>
    <n v="156"/>
    <n v="7176"/>
    <n v="3300.9599999999996"/>
    <n v="0.45999999999999996"/>
    <x v="2"/>
  </r>
  <r>
    <x v="3"/>
    <n v="1185732"/>
    <x v="416"/>
    <x v="0"/>
    <s v="New York"/>
    <s v="Albany"/>
    <x v="2"/>
    <n v="46"/>
    <n v="137"/>
    <n v="6302"/>
    <n v="2520.8000000000002"/>
    <n v="0.4"/>
    <x v="2"/>
  </r>
  <r>
    <x v="3"/>
    <n v="1185732"/>
    <x v="416"/>
    <x v="0"/>
    <s v="New York"/>
    <s v="Albany"/>
    <x v="3"/>
    <n v="45"/>
    <n v="135"/>
    <n v="6075"/>
    <n v="2490.75"/>
    <n v="0.41"/>
    <x v="2"/>
  </r>
  <r>
    <x v="3"/>
    <n v="1185732"/>
    <x v="416"/>
    <x v="0"/>
    <s v="New York"/>
    <s v="Albany"/>
    <x v="4"/>
    <n v="59"/>
    <n v="150"/>
    <n v="8850"/>
    <n v="4159.5"/>
    <n v="0.47"/>
    <x v="2"/>
  </r>
  <r>
    <x v="3"/>
    <n v="1185732"/>
    <x v="416"/>
    <x v="0"/>
    <s v="New York"/>
    <s v="Albany"/>
    <x v="5"/>
    <n v="64"/>
    <n v="156"/>
    <n v="9984"/>
    <n v="6190.08"/>
    <n v="0.62"/>
    <x v="2"/>
  </r>
  <r>
    <x v="3"/>
    <n v="1185732"/>
    <x v="446"/>
    <x v="0"/>
    <s v="New York"/>
    <s v="Albany"/>
    <x v="0"/>
    <n v="56"/>
    <n v="217"/>
    <n v="12152"/>
    <n v="6683.6"/>
    <n v="0.55000000000000004"/>
    <x v="2"/>
  </r>
  <r>
    <x v="3"/>
    <n v="1185732"/>
    <x v="446"/>
    <x v="0"/>
    <s v="New York"/>
    <s v="Albany"/>
    <x v="1"/>
    <n v="49"/>
    <n v="162"/>
    <n v="7938"/>
    <n v="3889.62"/>
    <n v="0.49"/>
    <x v="2"/>
  </r>
  <r>
    <x v="3"/>
    <n v="1185732"/>
    <x v="446"/>
    <x v="0"/>
    <s v="New York"/>
    <s v="Albany"/>
    <x v="2"/>
    <n v="45"/>
    <n v="147"/>
    <n v="6615"/>
    <n v="2381.4"/>
    <n v="0.36"/>
    <x v="2"/>
  </r>
  <r>
    <x v="3"/>
    <n v="1185732"/>
    <x v="446"/>
    <x v="0"/>
    <s v="New York"/>
    <s v="Albany"/>
    <x v="3"/>
    <n v="47"/>
    <n v="144"/>
    <n v="6768"/>
    <n v="2707.2000000000003"/>
    <n v="0.4"/>
    <x v="2"/>
  </r>
  <r>
    <x v="3"/>
    <n v="1185732"/>
    <x v="446"/>
    <x v="0"/>
    <s v="New York"/>
    <s v="Albany"/>
    <x v="4"/>
    <n v="62"/>
    <n v="154"/>
    <n v="9548"/>
    <n v="4296.5999999999995"/>
    <n v="0.44999999999999996"/>
    <x v="2"/>
  </r>
  <r>
    <x v="3"/>
    <n v="1185732"/>
    <x v="446"/>
    <x v="0"/>
    <s v="New York"/>
    <s v="Albany"/>
    <x v="5"/>
    <n v="68"/>
    <n v="176"/>
    <n v="11968"/>
    <n v="7659.52"/>
    <n v="0.64"/>
    <x v="2"/>
  </r>
  <r>
    <x v="3"/>
    <n v="1185732"/>
    <x v="475"/>
    <x v="0"/>
    <s v="New York"/>
    <s v="Albany"/>
    <x v="0"/>
    <n v="59"/>
    <n v="245"/>
    <n v="14455"/>
    <n v="8383.9000000000015"/>
    <n v="0.58000000000000007"/>
    <x v="2"/>
  </r>
  <r>
    <x v="3"/>
    <n v="1185732"/>
    <x v="475"/>
    <x v="0"/>
    <s v="New York"/>
    <s v="Albany"/>
    <x v="1"/>
    <n v="51"/>
    <n v="169"/>
    <n v="8619"/>
    <n v="4309.5"/>
    <n v="0.5"/>
    <x v="2"/>
  </r>
  <r>
    <x v="4"/>
    <n v="1185732"/>
    <x v="475"/>
    <x v="0"/>
    <s v="New York"/>
    <s v="Albany"/>
    <x v="2"/>
    <n v="52"/>
    <n v="163"/>
    <n v="8476"/>
    <n v="3305.6400000000003"/>
    <n v="0.39"/>
    <x v="2"/>
  </r>
  <r>
    <x v="4"/>
    <n v="1185732"/>
    <x v="475"/>
    <x v="0"/>
    <s v="New York"/>
    <s v="Albany"/>
    <x v="3"/>
    <n v="54"/>
    <n v="155"/>
    <n v="8370"/>
    <n v="3431.7"/>
    <n v="0.41"/>
    <x v="2"/>
  </r>
  <r>
    <x v="4"/>
    <n v="1185732"/>
    <x v="475"/>
    <x v="0"/>
    <s v="New York"/>
    <s v="Albany"/>
    <x v="4"/>
    <n v="60"/>
    <n v="155"/>
    <n v="9300"/>
    <n v="4278"/>
    <n v="0.45999999999999996"/>
    <x v="2"/>
  </r>
  <r>
    <x v="4"/>
    <n v="1185732"/>
    <x v="475"/>
    <x v="0"/>
    <s v="New York"/>
    <s v="Albany"/>
    <x v="5"/>
    <n v="69"/>
    <n v="182"/>
    <n v="12558"/>
    <n v="8037.12"/>
    <n v="0.64"/>
    <x v="2"/>
  </r>
  <r>
    <x v="4"/>
    <n v="1185732"/>
    <x v="178"/>
    <x v="0"/>
    <s v="New York"/>
    <s v="Albany"/>
    <x v="0"/>
    <n v="39"/>
    <n v="216"/>
    <n v="8424"/>
    <n v="5307.12"/>
    <n v="0.63"/>
    <x v="2"/>
  </r>
  <r>
    <x v="4"/>
    <n v="1185732"/>
    <x v="178"/>
    <x v="0"/>
    <s v="New York"/>
    <s v="Albany"/>
    <x v="1"/>
    <n v="39"/>
    <n v="156"/>
    <n v="6084"/>
    <n v="2737.7999999999997"/>
    <n v="0.44999999999999996"/>
    <x v="2"/>
  </r>
  <r>
    <x v="4"/>
    <n v="1185732"/>
    <x v="178"/>
    <x v="0"/>
    <s v="New York"/>
    <s v="Albany"/>
    <x v="2"/>
    <n v="29"/>
    <n v="168"/>
    <n v="4872"/>
    <n v="2338.56"/>
    <n v="0.48"/>
    <x v="2"/>
  </r>
  <r>
    <x v="4"/>
    <n v="1185732"/>
    <x v="178"/>
    <x v="0"/>
    <s v="New York"/>
    <s v="Albany"/>
    <x v="3"/>
    <n v="34"/>
    <n v="131"/>
    <n v="4454"/>
    <n v="2093.3799999999997"/>
    <n v="0.47"/>
    <x v="2"/>
  </r>
  <r>
    <x v="4"/>
    <n v="1185732"/>
    <x v="178"/>
    <x v="0"/>
    <s v="New York"/>
    <s v="Albany"/>
    <x v="4"/>
    <n v="49"/>
    <n v="145"/>
    <n v="7105"/>
    <n v="3197.2499999999995"/>
    <n v="0.44999999999999996"/>
    <x v="2"/>
  </r>
  <r>
    <x v="4"/>
    <n v="1185732"/>
    <x v="178"/>
    <x v="0"/>
    <s v="New York"/>
    <s v="Albany"/>
    <x v="5"/>
    <n v="38"/>
    <n v="156"/>
    <n v="5928"/>
    <n v="2371.2000000000003"/>
    <n v="0.4"/>
    <x v="2"/>
  </r>
  <r>
    <x v="4"/>
    <n v="1185732"/>
    <x v="207"/>
    <x v="0"/>
    <s v="New York"/>
    <s v="Albany"/>
    <x v="0"/>
    <n v="37"/>
    <n v="238"/>
    <n v="8806"/>
    <n v="5371.66"/>
    <n v="0.61"/>
    <x v="2"/>
  </r>
  <r>
    <x v="4"/>
    <n v="1185732"/>
    <x v="207"/>
    <x v="0"/>
    <s v="New York"/>
    <s v="Albany"/>
    <x v="1"/>
    <n v="37"/>
    <n v="145"/>
    <n v="5365"/>
    <n v="2199.65"/>
    <n v="0.41"/>
    <x v="2"/>
  </r>
  <r>
    <x v="4"/>
    <n v="1185732"/>
    <x v="207"/>
    <x v="0"/>
    <s v="New York"/>
    <s v="Albany"/>
    <x v="2"/>
    <n v="29"/>
    <n v="143"/>
    <n v="4147"/>
    <n v="2032.03"/>
    <n v="0.49"/>
    <x v="2"/>
  </r>
  <r>
    <x v="4"/>
    <n v="1185732"/>
    <x v="207"/>
    <x v="2"/>
    <s v="Wyoming"/>
    <s v="Cheyenne"/>
    <x v="3"/>
    <n v="32"/>
    <n v="123"/>
    <n v="3936"/>
    <n v="1889.28"/>
    <n v="0.48"/>
    <x v="2"/>
  </r>
  <r>
    <x v="4"/>
    <n v="1185732"/>
    <x v="207"/>
    <x v="2"/>
    <s v="Wyoming"/>
    <s v="Cheyenne"/>
    <x v="4"/>
    <n v="47"/>
    <n v="145"/>
    <n v="6815"/>
    <n v="2794.1499999999996"/>
    <n v="0.41"/>
    <x v="2"/>
  </r>
  <r>
    <x v="4"/>
    <n v="1185732"/>
    <x v="207"/>
    <x v="2"/>
    <s v="Wyoming"/>
    <s v="Cheyenne"/>
    <x v="5"/>
    <n v="38"/>
    <n v="174"/>
    <n v="6612"/>
    <n v="2578.6800000000003"/>
    <n v="0.39"/>
    <x v="2"/>
  </r>
  <r>
    <x v="4"/>
    <n v="1185732"/>
    <x v="215"/>
    <x v="2"/>
    <s v="Wyoming"/>
    <s v="Cheyenne"/>
    <x v="0"/>
    <n v="38"/>
    <n v="246"/>
    <n v="9348"/>
    <n v="5608.8"/>
    <n v="0.6"/>
    <x v="2"/>
  </r>
  <r>
    <x v="4"/>
    <n v="1185732"/>
    <x v="215"/>
    <x v="2"/>
    <s v="Wyoming"/>
    <s v="Cheyenne"/>
    <x v="1"/>
    <n v="37"/>
    <n v="131"/>
    <n v="4847"/>
    <n v="2132.6799999999998"/>
    <n v="0.44"/>
    <x v="2"/>
  </r>
  <r>
    <x v="4"/>
    <n v="1185732"/>
    <x v="215"/>
    <x v="2"/>
    <s v="Wyoming"/>
    <s v="Cheyenne"/>
    <x v="2"/>
    <n v="27"/>
    <n v="149"/>
    <n v="4023"/>
    <n v="1810.35"/>
    <n v="0.44999999999999996"/>
    <x v="2"/>
  </r>
  <r>
    <x v="4"/>
    <n v="1185732"/>
    <x v="215"/>
    <x v="2"/>
    <s v="Wyoming"/>
    <s v="Cheyenne"/>
    <x v="3"/>
    <n v="33"/>
    <n v="112"/>
    <n v="3696"/>
    <n v="1737.12"/>
    <n v="0.47"/>
    <x v="2"/>
  </r>
  <r>
    <x v="4"/>
    <n v="1185732"/>
    <x v="215"/>
    <x v="2"/>
    <s v="Wyoming"/>
    <s v="Cheyenne"/>
    <x v="4"/>
    <n v="47"/>
    <n v="126"/>
    <n v="5922"/>
    <n v="2664.8999999999996"/>
    <n v="0.44999999999999996"/>
    <x v="2"/>
  </r>
  <r>
    <x v="4"/>
    <n v="1185732"/>
    <x v="215"/>
    <x v="2"/>
    <s v="Wyoming"/>
    <s v="Cheyenne"/>
    <x v="5"/>
    <n v="37"/>
    <n v="165"/>
    <n v="6105"/>
    <n v="2258.85"/>
    <n v="0.37"/>
    <x v="2"/>
  </r>
  <r>
    <x v="4"/>
    <n v="1185732"/>
    <x v="234"/>
    <x v="2"/>
    <s v="Wyoming"/>
    <s v="Cheyenne"/>
    <x v="0"/>
    <n v="39"/>
    <n v="208"/>
    <n v="8112"/>
    <n v="5029.4399999999996"/>
    <n v="0.62"/>
    <x v="2"/>
  </r>
  <r>
    <x v="4"/>
    <n v="1185732"/>
    <x v="234"/>
    <x v="2"/>
    <s v="Wyoming"/>
    <s v="Cheyenne"/>
    <x v="1"/>
    <n v="39"/>
    <n v="140"/>
    <n v="5460"/>
    <n v="2456.9999999999995"/>
    <n v="0.44999999999999996"/>
    <x v="2"/>
  </r>
  <r>
    <x v="4"/>
    <n v="1185732"/>
    <x v="234"/>
    <x v="2"/>
    <s v="Wyoming"/>
    <s v="Cheyenne"/>
    <x v="2"/>
    <n v="28"/>
    <n v="145"/>
    <n v="4060"/>
    <n v="1867.6"/>
    <n v="0.45999999999999996"/>
    <x v="2"/>
  </r>
  <r>
    <x v="4"/>
    <n v="1185732"/>
    <x v="234"/>
    <x v="2"/>
    <s v="Wyoming"/>
    <s v="Cheyenne"/>
    <x v="3"/>
    <n v="33"/>
    <n v="119"/>
    <n v="3927"/>
    <n v="1845.6899999999998"/>
    <n v="0.47"/>
    <x v="2"/>
  </r>
  <r>
    <x v="4"/>
    <n v="1185732"/>
    <x v="234"/>
    <x v="2"/>
    <s v="Wyoming"/>
    <s v="Cheyenne"/>
    <x v="4"/>
    <n v="47"/>
    <n v="106"/>
    <n v="4982"/>
    <n v="2092.44"/>
    <n v="0.42"/>
    <x v="2"/>
  </r>
  <r>
    <x v="4"/>
    <n v="1185732"/>
    <x v="234"/>
    <x v="2"/>
    <s v="Wyoming"/>
    <s v="Cheyenne"/>
    <x v="5"/>
    <n v="36"/>
    <n v="149"/>
    <n v="5364"/>
    <n v="1877.3999999999999"/>
    <n v="0.35"/>
    <x v="2"/>
  </r>
  <r>
    <x v="4"/>
    <n v="1185732"/>
    <x v="263"/>
    <x v="2"/>
    <s v="Wyoming"/>
    <s v="Cheyenne"/>
    <x v="0"/>
    <n v="45"/>
    <n v="246"/>
    <n v="11070"/>
    <n v="7195.5"/>
    <n v="0.65"/>
    <x v="2"/>
  </r>
  <r>
    <x v="4"/>
    <n v="1185732"/>
    <x v="263"/>
    <x v="2"/>
    <s v="Wyoming"/>
    <s v="Cheyenne"/>
    <x v="1"/>
    <n v="41"/>
    <n v="152"/>
    <n v="6232"/>
    <n v="2492.8000000000002"/>
    <n v="0.4"/>
    <x v="2"/>
  </r>
  <r>
    <x v="4"/>
    <n v="1185732"/>
    <x v="263"/>
    <x v="2"/>
    <s v="Wyoming"/>
    <s v="Cheyenne"/>
    <x v="2"/>
    <n v="39"/>
    <n v="145"/>
    <n v="5655"/>
    <n v="2770.95"/>
    <n v="0.49"/>
    <x v="2"/>
  </r>
  <r>
    <x v="4"/>
    <n v="1185732"/>
    <x v="263"/>
    <x v="2"/>
    <s v="Wyoming"/>
    <s v="Cheyenne"/>
    <x v="3"/>
    <n v="39"/>
    <n v="131"/>
    <n v="5109"/>
    <n v="2554.5"/>
    <n v="0.5"/>
    <x v="2"/>
  </r>
  <r>
    <x v="4"/>
    <n v="1185732"/>
    <x v="263"/>
    <x v="2"/>
    <s v="Wyoming"/>
    <s v="Cheyenne"/>
    <x v="4"/>
    <n v="45"/>
    <n v="133"/>
    <n v="5985"/>
    <n v="2513.6999999999998"/>
    <n v="0.42"/>
    <x v="2"/>
  </r>
  <r>
    <x v="4"/>
    <n v="1185732"/>
    <x v="263"/>
    <x v="2"/>
    <s v="Wyoming"/>
    <s v="Cheyenne"/>
    <x v="5"/>
    <n v="52"/>
    <n v="156"/>
    <n v="8112"/>
    <n v="3244.8"/>
    <n v="0.4"/>
    <x v="2"/>
  </r>
  <r>
    <x v="4"/>
    <n v="1185732"/>
    <x v="296"/>
    <x v="2"/>
    <s v="Wyoming"/>
    <s v="Cheyenne"/>
    <x v="0"/>
    <n v="46"/>
    <n v="247"/>
    <n v="11362"/>
    <n v="7158.06"/>
    <n v="0.63"/>
    <x v="2"/>
  </r>
  <r>
    <x v="4"/>
    <n v="1185732"/>
    <x v="296"/>
    <x v="2"/>
    <s v="Wyoming"/>
    <s v="Cheyenne"/>
    <x v="1"/>
    <n v="42"/>
    <n v="168"/>
    <n v="7056"/>
    <n v="2892.96"/>
    <n v="0.41"/>
    <x v="2"/>
  </r>
  <r>
    <x v="4"/>
    <n v="1185732"/>
    <x v="296"/>
    <x v="2"/>
    <s v="Wyoming"/>
    <s v="Cheyenne"/>
    <x v="2"/>
    <n v="38"/>
    <n v="131"/>
    <n v="4978"/>
    <n v="2240.1"/>
    <n v="0.44999999999999996"/>
    <x v="2"/>
  </r>
  <r>
    <x v="4"/>
    <n v="1185732"/>
    <x v="296"/>
    <x v="2"/>
    <s v="Wyoming"/>
    <s v="Cheyenne"/>
    <x v="3"/>
    <n v="38"/>
    <n v="140"/>
    <n v="5320"/>
    <n v="2500.3999999999996"/>
    <n v="0.47"/>
    <x v="2"/>
  </r>
  <r>
    <x v="4"/>
    <n v="1185732"/>
    <x v="296"/>
    <x v="2"/>
    <s v="Wyoming"/>
    <s v="Cheyenne"/>
    <x v="4"/>
    <n v="49"/>
    <n v="135"/>
    <n v="6615"/>
    <n v="2910.6"/>
    <n v="0.44"/>
    <x v="2"/>
  </r>
  <r>
    <x v="4"/>
    <n v="1185732"/>
    <x v="296"/>
    <x v="2"/>
    <s v="Wyoming"/>
    <s v="Cheyenne"/>
    <x v="5"/>
    <n v="50"/>
    <n v="163"/>
    <n v="8150"/>
    <n v="3015.5"/>
    <n v="0.37"/>
    <x v="2"/>
  </r>
  <r>
    <x v="4"/>
    <n v="1185732"/>
    <x v="324"/>
    <x v="2"/>
    <s v="Wyoming"/>
    <s v="Cheyenne"/>
    <x v="0"/>
    <n v="48"/>
    <n v="228"/>
    <n v="10944"/>
    <n v="7004.16"/>
    <n v="0.64"/>
    <x v="2"/>
  </r>
  <r>
    <x v="4"/>
    <n v="1185732"/>
    <x v="324"/>
    <x v="2"/>
    <s v="Wyoming"/>
    <s v="Cheyenne"/>
    <x v="1"/>
    <n v="44"/>
    <n v="163"/>
    <n v="7172"/>
    <n v="3083.96"/>
    <n v="0.43"/>
    <x v="2"/>
  </r>
  <r>
    <x v="4"/>
    <n v="1185732"/>
    <x v="324"/>
    <x v="2"/>
    <s v="Wyoming"/>
    <s v="Cheyenne"/>
    <x v="2"/>
    <n v="38"/>
    <n v="149"/>
    <n v="5662"/>
    <n v="2717.7599999999998"/>
    <n v="0.48"/>
    <x v="2"/>
  </r>
  <r>
    <x v="4"/>
    <n v="1185732"/>
    <x v="324"/>
    <x v="2"/>
    <s v="Wyoming"/>
    <s v="Cheyenne"/>
    <x v="3"/>
    <n v="39"/>
    <n v="150"/>
    <n v="5850"/>
    <n v="2749.5"/>
    <n v="0.47"/>
    <x v="2"/>
  </r>
  <r>
    <x v="4"/>
    <n v="1185732"/>
    <x v="324"/>
    <x v="2"/>
    <s v="Wyoming"/>
    <s v="Cheyenne"/>
    <x v="4"/>
    <n v="48"/>
    <n v="137"/>
    <n v="6576"/>
    <n v="2761.92"/>
    <n v="0.42"/>
    <x v="2"/>
  </r>
  <r>
    <x v="4"/>
    <n v="1185732"/>
    <x v="324"/>
    <x v="2"/>
    <s v="Wyoming"/>
    <s v="Cheyenne"/>
    <x v="5"/>
    <n v="51"/>
    <n v="196"/>
    <n v="9996"/>
    <n v="3598.56"/>
    <n v="0.36"/>
    <x v="2"/>
  </r>
  <r>
    <x v="4"/>
    <n v="1185732"/>
    <x v="356"/>
    <x v="2"/>
    <s v="Wyoming"/>
    <s v="Cheyenne"/>
    <x v="0"/>
    <n v="47"/>
    <n v="255"/>
    <n v="11985"/>
    <n v="7670.4000000000005"/>
    <n v="0.64"/>
    <x v="2"/>
  </r>
  <r>
    <x v="4"/>
    <n v="1185732"/>
    <x v="356"/>
    <x v="2"/>
    <s v="Wyoming"/>
    <s v="Cheyenne"/>
    <x v="1"/>
    <n v="43"/>
    <n v="163"/>
    <n v="7009"/>
    <n v="2873.69"/>
    <n v="0.41"/>
    <x v="2"/>
  </r>
  <r>
    <x v="4"/>
    <n v="1185732"/>
    <x v="356"/>
    <x v="2"/>
    <s v="Wyoming"/>
    <s v="Cheyenne"/>
    <x v="2"/>
    <n v="38"/>
    <n v="143"/>
    <n v="5434"/>
    <n v="2445.2999999999997"/>
    <n v="0.44999999999999996"/>
    <x v="2"/>
  </r>
  <r>
    <x v="4"/>
    <n v="1185732"/>
    <x v="356"/>
    <x v="2"/>
    <s v="Wyoming"/>
    <s v="Cheyenne"/>
    <x v="3"/>
    <n v="38"/>
    <n v="147"/>
    <n v="5586"/>
    <n v="2737.14"/>
    <n v="0.49"/>
    <x v="2"/>
  </r>
  <r>
    <x v="4"/>
    <n v="1185732"/>
    <x v="356"/>
    <x v="2"/>
    <s v="Wyoming"/>
    <s v="Cheyenne"/>
    <x v="4"/>
    <n v="47"/>
    <n v="140"/>
    <n v="6580"/>
    <n v="2697.7999999999997"/>
    <n v="0.41"/>
    <x v="2"/>
  </r>
  <r>
    <x v="4"/>
    <n v="1185732"/>
    <x v="356"/>
    <x v="2"/>
    <s v="Wyoming"/>
    <s v="Cheyenne"/>
    <x v="5"/>
    <n v="52"/>
    <n v="196"/>
    <n v="10192"/>
    <n v="4076.8"/>
    <n v="0.4"/>
    <x v="2"/>
  </r>
  <r>
    <x v="4"/>
    <n v="1185732"/>
    <x v="386"/>
    <x v="2"/>
    <s v="Wyoming"/>
    <s v="Cheyenne"/>
    <x v="0"/>
    <n v="48"/>
    <n v="208"/>
    <n v="9984"/>
    <n v="6389.76"/>
    <n v="0.64"/>
    <x v="2"/>
  </r>
  <r>
    <x v="4"/>
    <n v="1185732"/>
    <x v="386"/>
    <x v="2"/>
    <s v="Wyoming"/>
    <s v="Cheyenne"/>
    <x v="1"/>
    <n v="44"/>
    <n v="150"/>
    <n v="6600"/>
    <n v="2838"/>
    <n v="0.43"/>
    <x v="2"/>
  </r>
  <r>
    <x v="4"/>
    <n v="1185732"/>
    <x v="386"/>
    <x v="2"/>
    <s v="Wyoming"/>
    <s v="Cheyenne"/>
    <x v="2"/>
    <n v="38"/>
    <n v="137"/>
    <n v="5206"/>
    <n v="2394.7599999999998"/>
    <n v="0.45999999999999996"/>
    <x v="2"/>
  </r>
  <r>
    <x v="4"/>
    <n v="1185732"/>
    <x v="386"/>
    <x v="2"/>
    <s v="Wyoming"/>
    <s v="Cheyenne"/>
    <x v="3"/>
    <n v="38"/>
    <n v="135"/>
    <n v="5130"/>
    <n v="2513.6999999999998"/>
    <n v="0.49"/>
    <x v="2"/>
  </r>
  <r>
    <x v="4"/>
    <n v="1185732"/>
    <x v="386"/>
    <x v="2"/>
    <s v="Wyoming"/>
    <s v="Cheyenne"/>
    <x v="4"/>
    <n v="48"/>
    <n v="125"/>
    <n v="6000"/>
    <n v="2580"/>
    <n v="0.43"/>
    <x v="2"/>
  </r>
  <r>
    <x v="4"/>
    <n v="1185732"/>
    <x v="386"/>
    <x v="2"/>
    <s v="Wyoming"/>
    <s v="Cheyenne"/>
    <x v="5"/>
    <n v="52"/>
    <n v="174"/>
    <n v="9048"/>
    <n v="3619.2000000000003"/>
    <n v="0.4"/>
    <x v="2"/>
  </r>
  <r>
    <x v="4"/>
    <n v="1185732"/>
    <x v="418"/>
    <x v="2"/>
    <s v="Wyoming"/>
    <s v="Cheyenne"/>
    <x v="0"/>
    <n v="50"/>
    <n v="202"/>
    <n v="10100"/>
    <n v="6464"/>
    <n v="0.64"/>
    <x v="2"/>
  </r>
  <r>
    <x v="4"/>
    <n v="1185732"/>
    <x v="418"/>
    <x v="2"/>
    <s v="Wyoming"/>
    <s v="Cheyenne"/>
    <x v="1"/>
    <n v="44"/>
    <n v="174"/>
    <n v="7656"/>
    <n v="3062.4"/>
    <n v="0.4"/>
    <x v="2"/>
  </r>
  <r>
    <x v="4"/>
    <n v="1185732"/>
    <x v="418"/>
    <x v="2"/>
    <s v="Wyoming"/>
    <s v="Cheyenne"/>
    <x v="2"/>
    <n v="42"/>
    <n v="125"/>
    <n v="5250"/>
    <n v="2415"/>
    <n v="0.45999999999999996"/>
    <x v="2"/>
  </r>
  <r>
    <x v="4"/>
    <n v="1185732"/>
    <x v="418"/>
    <x v="2"/>
    <s v="Wyoming"/>
    <s v="Cheyenne"/>
    <x v="3"/>
    <n v="41"/>
    <n v="119"/>
    <n v="4879"/>
    <n v="2244.3399999999997"/>
    <n v="0.45999999999999996"/>
    <x v="2"/>
  </r>
  <r>
    <x v="4"/>
    <n v="1185732"/>
    <x v="418"/>
    <x v="2"/>
    <s v="Wyoming"/>
    <s v="Cheyenne"/>
    <x v="4"/>
    <n v="54"/>
    <n v="128"/>
    <n v="6912"/>
    <n v="3041.28"/>
    <n v="0.44"/>
    <x v="2"/>
  </r>
  <r>
    <x v="4"/>
    <n v="1185732"/>
    <x v="418"/>
    <x v="2"/>
    <s v="Wyoming"/>
    <s v="Cheyenne"/>
    <x v="5"/>
    <n v="55"/>
    <n v="150"/>
    <n v="8250"/>
    <n v="3052.5"/>
    <n v="0.37"/>
    <x v="2"/>
  </r>
  <r>
    <x v="4"/>
    <n v="1185732"/>
    <x v="448"/>
    <x v="2"/>
    <s v="Wyoming"/>
    <s v="Cheyenne"/>
    <x v="0"/>
    <n v="53"/>
    <n v="218"/>
    <n v="11554"/>
    <n v="7047.94"/>
    <n v="0.61"/>
    <x v="2"/>
  </r>
  <r>
    <x v="4"/>
    <n v="1185732"/>
    <x v="448"/>
    <x v="2"/>
    <s v="Wyoming"/>
    <s v="Cheyenne"/>
    <x v="1"/>
    <n v="42"/>
    <n v="167"/>
    <n v="7014"/>
    <n v="3016.02"/>
    <n v="0.43"/>
    <x v="2"/>
  </r>
  <r>
    <x v="4"/>
    <n v="1185732"/>
    <x v="448"/>
    <x v="2"/>
    <s v="Wyoming"/>
    <s v="Cheyenne"/>
    <x v="2"/>
    <n v="42"/>
    <n v="146"/>
    <n v="6132"/>
    <n v="3066"/>
    <n v="0.5"/>
    <x v="2"/>
  </r>
  <r>
    <x v="4"/>
    <n v="1185732"/>
    <x v="448"/>
    <x v="2"/>
    <s v="Wyoming"/>
    <s v="Cheyenne"/>
    <x v="3"/>
    <n v="42"/>
    <n v="135"/>
    <n v="5670"/>
    <n v="2778.2999999999997"/>
    <n v="0.49"/>
    <x v="2"/>
  </r>
  <r>
    <x v="4"/>
    <n v="1185732"/>
    <x v="448"/>
    <x v="2"/>
    <s v="Wyoming"/>
    <s v="Cheyenne"/>
    <x v="4"/>
    <n v="51"/>
    <n v="143"/>
    <n v="7293"/>
    <n v="2990.1299999999997"/>
    <n v="0.41"/>
    <x v="2"/>
  </r>
  <r>
    <x v="4"/>
    <n v="1185732"/>
    <x v="448"/>
    <x v="2"/>
    <s v="Wyoming"/>
    <s v="Cheyenne"/>
    <x v="5"/>
    <n v="55"/>
    <n v="161"/>
    <n v="8855"/>
    <n v="3453.4500000000003"/>
    <n v="0.39"/>
    <x v="2"/>
  </r>
  <r>
    <x v="4"/>
    <n v="1185732"/>
    <x v="477"/>
    <x v="2"/>
    <s v="Wyoming"/>
    <s v="Cheyenne"/>
    <x v="0"/>
    <n v="52"/>
    <n v="224"/>
    <n v="11648"/>
    <n v="7105.28"/>
    <n v="0.61"/>
    <x v="2"/>
  </r>
  <r>
    <x v="4"/>
    <n v="1185732"/>
    <x v="477"/>
    <x v="2"/>
    <s v="Wyoming"/>
    <s v="Cheyenne"/>
    <x v="1"/>
    <n v="44"/>
    <n v="168"/>
    <n v="7392"/>
    <n v="3030.72"/>
    <n v="0.41"/>
    <x v="2"/>
  </r>
  <r>
    <x v="0"/>
    <n v="1185732"/>
    <x v="477"/>
    <x v="2"/>
    <s v="Wyoming"/>
    <s v="Cheyenne"/>
    <x v="2"/>
    <n v="44"/>
    <n v="165"/>
    <n v="7260"/>
    <n v="3339.6"/>
    <n v="0.45999999999999996"/>
    <x v="2"/>
  </r>
  <r>
    <x v="0"/>
    <n v="1185732"/>
    <x v="477"/>
    <x v="2"/>
    <s v="Wyoming"/>
    <s v="Cheyenne"/>
    <x v="3"/>
    <n v="44"/>
    <n v="135"/>
    <n v="5940"/>
    <n v="2910.6"/>
    <n v="0.49"/>
    <x v="2"/>
  </r>
  <r>
    <x v="0"/>
    <n v="1185732"/>
    <x v="477"/>
    <x v="2"/>
    <s v="Wyoming"/>
    <s v="Cheyenne"/>
    <x v="4"/>
    <n v="54"/>
    <n v="145"/>
    <n v="7830"/>
    <n v="3523.4999999999995"/>
    <n v="0.44999999999999996"/>
    <x v="2"/>
  </r>
  <r>
    <x v="0"/>
    <n v="1185732"/>
    <x v="477"/>
    <x v="2"/>
    <s v="Wyoming"/>
    <s v="Cheyenne"/>
    <x v="5"/>
    <n v="56"/>
    <n v="174"/>
    <n v="9744"/>
    <n v="3507.8399999999997"/>
    <n v="0.36"/>
    <x v="2"/>
  </r>
  <r>
    <x v="0"/>
    <n v="1128299"/>
    <x v="188"/>
    <x v="2"/>
    <s v="Wyoming"/>
    <s v="Cheyenne"/>
    <x v="0"/>
    <n v="29"/>
    <n v="91"/>
    <n v="2639"/>
    <n v="1213.9399999999998"/>
    <n v="0.45999999999999996"/>
    <x v="2"/>
  </r>
  <r>
    <x v="0"/>
    <n v="1128299"/>
    <x v="188"/>
    <x v="2"/>
    <s v="Wyoming"/>
    <s v="Cheyenne"/>
    <x v="1"/>
    <n v="36"/>
    <n v="105"/>
    <n v="3780"/>
    <n v="1738.8"/>
    <n v="0.45999999999999996"/>
    <x v="2"/>
  </r>
  <r>
    <x v="0"/>
    <n v="1128299"/>
    <x v="188"/>
    <x v="2"/>
    <s v="Wyoming"/>
    <s v="Cheyenne"/>
    <x v="2"/>
    <n v="39"/>
    <n v="91"/>
    <n v="3549"/>
    <n v="1597.05"/>
    <n v="0.44999999999999996"/>
    <x v="2"/>
  </r>
  <r>
    <x v="0"/>
    <n v="1128299"/>
    <x v="188"/>
    <x v="2"/>
    <s v="Wyoming"/>
    <s v="Cheyenne"/>
    <x v="3"/>
    <n v="38"/>
    <n v="54"/>
    <n v="2052"/>
    <n v="964.43999999999994"/>
    <n v="0.47"/>
    <x v="2"/>
  </r>
  <r>
    <x v="0"/>
    <n v="1128299"/>
    <x v="188"/>
    <x v="2"/>
    <s v="Wyoming"/>
    <s v="Cheyenne"/>
    <x v="4"/>
    <n v="42"/>
    <n v="45"/>
    <n v="1890"/>
    <n v="963.9"/>
    <n v="0.51"/>
    <x v="2"/>
  </r>
  <r>
    <x v="0"/>
    <n v="1128299"/>
    <x v="188"/>
    <x v="2"/>
    <s v="Wyoming"/>
    <s v="Cheyenne"/>
    <x v="5"/>
    <n v="38"/>
    <n v="116"/>
    <n v="4408"/>
    <n v="1983.6"/>
    <n v="0.44999999999999996"/>
    <x v="2"/>
  </r>
  <r>
    <x v="0"/>
    <n v="1128299"/>
    <x v="698"/>
    <x v="2"/>
    <s v="Wyoming"/>
    <s v="Cheyenne"/>
    <x v="0"/>
    <n v="27"/>
    <n v="113"/>
    <n v="3051"/>
    <n v="1403.4599999999998"/>
    <n v="0.45999999999999996"/>
    <x v="2"/>
  </r>
  <r>
    <x v="0"/>
    <n v="1128299"/>
    <x v="698"/>
    <x v="2"/>
    <s v="Wyoming"/>
    <s v="Cheyenne"/>
    <x v="1"/>
    <n v="36"/>
    <n v="105"/>
    <n v="3780"/>
    <n v="1700.9999999999998"/>
    <n v="0.44999999999999996"/>
    <x v="2"/>
  </r>
  <r>
    <x v="0"/>
    <n v="1128299"/>
    <x v="698"/>
    <x v="2"/>
    <s v="Wyoming"/>
    <s v="Cheyenne"/>
    <x v="2"/>
    <n v="39"/>
    <n v="88"/>
    <n v="3432"/>
    <n v="1544.3999999999999"/>
    <n v="0.44999999999999996"/>
    <x v="2"/>
  </r>
  <r>
    <x v="0"/>
    <n v="1128299"/>
    <x v="698"/>
    <x v="4"/>
    <s v="Virginia"/>
    <s v="Richmond"/>
    <x v="3"/>
    <n v="38"/>
    <n v="58"/>
    <n v="2204"/>
    <n v="1102"/>
    <n v="0.5"/>
    <x v="2"/>
  </r>
  <r>
    <x v="0"/>
    <n v="1128299"/>
    <x v="698"/>
    <x v="4"/>
    <s v="Virginia"/>
    <s v="Richmond"/>
    <x v="4"/>
    <n v="42"/>
    <n v="38"/>
    <n v="1596"/>
    <n v="877.80000000000007"/>
    <n v="0.55000000000000004"/>
    <x v="2"/>
  </r>
  <r>
    <x v="0"/>
    <n v="1128299"/>
    <x v="698"/>
    <x v="4"/>
    <s v="Virginia"/>
    <s v="Richmond"/>
    <x v="5"/>
    <n v="38"/>
    <n v="81"/>
    <n v="3078"/>
    <n v="1323.54"/>
    <n v="0.43"/>
    <x v="2"/>
  </r>
  <r>
    <x v="0"/>
    <n v="1128299"/>
    <x v="228"/>
    <x v="4"/>
    <s v="Virginia"/>
    <s v="Richmond"/>
    <x v="0"/>
    <n v="38"/>
    <n v="143"/>
    <n v="5434"/>
    <n v="2553.98"/>
    <n v="0.47"/>
    <x v="2"/>
  </r>
  <r>
    <x v="0"/>
    <n v="1128299"/>
    <x v="228"/>
    <x v="4"/>
    <s v="Virginia"/>
    <s v="Richmond"/>
    <x v="1"/>
    <n v="45"/>
    <n v="85"/>
    <n v="3825"/>
    <n v="1797.75"/>
    <n v="0.47"/>
    <x v="2"/>
  </r>
  <r>
    <x v="0"/>
    <n v="1128299"/>
    <x v="228"/>
    <x v="4"/>
    <s v="Virginia"/>
    <s v="Richmond"/>
    <x v="2"/>
    <n v="52"/>
    <n v="91"/>
    <n v="4732"/>
    <n v="2271.36"/>
    <n v="0.48"/>
    <x v="2"/>
  </r>
  <r>
    <x v="0"/>
    <n v="1128299"/>
    <x v="228"/>
    <x v="4"/>
    <s v="Virginia"/>
    <s v="Richmond"/>
    <x v="3"/>
    <n v="48"/>
    <n v="65"/>
    <n v="3120"/>
    <n v="1435.1999999999998"/>
    <n v="0.45999999999999996"/>
    <x v="2"/>
  </r>
  <r>
    <x v="0"/>
    <n v="1128299"/>
    <x v="228"/>
    <x v="4"/>
    <s v="Virginia"/>
    <s v="Richmond"/>
    <x v="4"/>
    <n v="51"/>
    <n v="30"/>
    <n v="1530"/>
    <n v="795.6"/>
    <n v="0.52"/>
    <x v="2"/>
  </r>
  <r>
    <x v="0"/>
    <n v="1128299"/>
    <x v="228"/>
    <x v="4"/>
    <s v="Virginia"/>
    <s v="Richmond"/>
    <x v="5"/>
    <n v="49"/>
    <n v="78"/>
    <n v="3822"/>
    <n v="1605.24"/>
    <n v="0.42"/>
    <x v="2"/>
  </r>
  <r>
    <x v="0"/>
    <n v="1128299"/>
    <x v="247"/>
    <x v="4"/>
    <s v="Virginia"/>
    <s v="Richmond"/>
    <x v="0"/>
    <n v="52"/>
    <n v="124"/>
    <n v="6448"/>
    <n v="3095.04"/>
    <n v="0.48"/>
    <x v="2"/>
  </r>
  <r>
    <x v="0"/>
    <n v="1128299"/>
    <x v="247"/>
    <x v="4"/>
    <s v="Virginia"/>
    <s v="Richmond"/>
    <x v="1"/>
    <n v="59"/>
    <n v="69"/>
    <n v="4071"/>
    <n v="1954.08"/>
    <n v="0.48"/>
    <x v="2"/>
  </r>
  <r>
    <x v="0"/>
    <n v="1128299"/>
    <x v="247"/>
    <x v="4"/>
    <s v="Virginia"/>
    <s v="Richmond"/>
    <x v="2"/>
    <n v="57"/>
    <n v="85"/>
    <n v="4845"/>
    <n v="2374.0500000000002"/>
    <n v="0.49"/>
    <x v="2"/>
  </r>
  <r>
    <x v="0"/>
    <n v="1128299"/>
    <x v="247"/>
    <x v="4"/>
    <s v="Virginia"/>
    <s v="Richmond"/>
    <x v="3"/>
    <n v="42"/>
    <n v="56"/>
    <n v="2352"/>
    <n v="1105.4399999999998"/>
    <n v="0.47"/>
    <x v="2"/>
  </r>
  <r>
    <x v="0"/>
    <n v="1128299"/>
    <x v="247"/>
    <x v="4"/>
    <s v="Virginia"/>
    <s v="Richmond"/>
    <x v="4"/>
    <n v="49"/>
    <n v="35"/>
    <n v="1715"/>
    <n v="874.65"/>
    <n v="0.51"/>
    <x v="2"/>
  </r>
  <r>
    <x v="0"/>
    <n v="1128299"/>
    <x v="247"/>
    <x v="4"/>
    <s v="Virginia"/>
    <s v="Richmond"/>
    <x v="5"/>
    <n v="64"/>
    <n v="78"/>
    <n v="4992"/>
    <n v="2196.48"/>
    <n v="0.44"/>
    <x v="2"/>
  </r>
  <r>
    <x v="0"/>
    <n v="1128299"/>
    <x v="278"/>
    <x v="4"/>
    <s v="Virginia"/>
    <s v="Richmond"/>
    <x v="0"/>
    <n v="46"/>
    <n v="125"/>
    <n v="5750"/>
    <n v="2645"/>
    <n v="0.45999999999999996"/>
    <x v="2"/>
  </r>
  <r>
    <x v="0"/>
    <n v="1128299"/>
    <x v="278"/>
    <x v="4"/>
    <s v="Virginia"/>
    <s v="Richmond"/>
    <x v="1"/>
    <n v="51"/>
    <n v="98"/>
    <n v="4998"/>
    <n v="2249.1"/>
    <n v="0.44999999999999996"/>
    <x v="2"/>
  </r>
  <r>
    <x v="0"/>
    <n v="1128299"/>
    <x v="278"/>
    <x v="4"/>
    <s v="Virginia"/>
    <s v="Richmond"/>
    <x v="2"/>
    <n v="50"/>
    <n v="88"/>
    <n v="4400"/>
    <n v="2200"/>
    <n v="0.5"/>
    <x v="2"/>
  </r>
  <r>
    <x v="0"/>
    <n v="1128299"/>
    <x v="278"/>
    <x v="4"/>
    <s v="Virginia"/>
    <s v="Richmond"/>
    <x v="3"/>
    <n v="47"/>
    <n v="69"/>
    <n v="3243"/>
    <n v="1621.5"/>
    <n v="0.5"/>
    <x v="2"/>
  </r>
  <r>
    <x v="0"/>
    <n v="1128299"/>
    <x v="278"/>
    <x v="4"/>
    <s v="Virginia"/>
    <s v="Richmond"/>
    <x v="4"/>
    <n v="44"/>
    <n v="49"/>
    <n v="2156"/>
    <n v="1164.24"/>
    <n v="0.54"/>
    <x v="2"/>
  </r>
  <r>
    <x v="0"/>
    <n v="1128299"/>
    <x v="278"/>
    <x v="4"/>
    <s v="Virginia"/>
    <s v="Richmond"/>
    <x v="5"/>
    <n v="56"/>
    <n v="152"/>
    <n v="8512"/>
    <n v="3660.16"/>
    <n v="0.43"/>
    <x v="2"/>
  </r>
  <r>
    <x v="0"/>
    <n v="1128299"/>
    <x v="308"/>
    <x v="4"/>
    <s v="Virginia"/>
    <s v="Richmond"/>
    <x v="0"/>
    <n v="53"/>
    <n v="233"/>
    <n v="12349"/>
    <n v="5804.03"/>
    <n v="0.47"/>
    <x v="2"/>
  </r>
  <r>
    <x v="0"/>
    <n v="1128299"/>
    <x v="308"/>
    <x v="4"/>
    <s v="Virginia"/>
    <s v="Richmond"/>
    <x v="1"/>
    <n v="62"/>
    <n v="176"/>
    <n v="10912"/>
    <n v="5019.5199999999995"/>
    <n v="0.45999999999999996"/>
    <x v="2"/>
  </r>
  <r>
    <x v="0"/>
    <n v="1128299"/>
    <x v="308"/>
    <x v="4"/>
    <s v="Virginia"/>
    <s v="Richmond"/>
    <x v="2"/>
    <n v="73"/>
    <n v="195"/>
    <n v="14235"/>
    <n v="6832.8"/>
    <n v="0.48"/>
    <x v="2"/>
  </r>
  <r>
    <x v="0"/>
    <n v="1128299"/>
    <x v="308"/>
    <x v="4"/>
    <s v="Virginia"/>
    <s v="Richmond"/>
    <x v="3"/>
    <n v="72"/>
    <n v="142"/>
    <n v="10224"/>
    <n v="5009.76"/>
    <n v="0.49"/>
    <x v="2"/>
  </r>
  <r>
    <x v="0"/>
    <n v="1128299"/>
    <x v="308"/>
    <x v="4"/>
    <s v="Virginia"/>
    <s v="Richmond"/>
    <x v="4"/>
    <n v="81"/>
    <n v="104"/>
    <n v="8424"/>
    <n v="4296.24"/>
    <n v="0.51"/>
    <x v="2"/>
  </r>
  <r>
    <x v="0"/>
    <n v="1128299"/>
    <x v="308"/>
    <x v="4"/>
    <s v="Virginia"/>
    <s v="Richmond"/>
    <x v="5"/>
    <n v="96"/>
    <n v="182"/>
    <n v="17472"/>
    <n v="6988.8"/>
    <n v="0.4"/>
    <x v="2"/>
  </r>
  <r>
    <x v="0"/>
    <n v="1128299"/>
    <x v="337"/>
    <x v="4"/>
    <s v="Virginia"/>
    <s v="Richmond"/>
    <x v="0"/>
    <n v="79"/>
    <n v="255"/>
    <n v="20145"/>
    <n v="10072.5"/>
    <n v="0.5"/>
    <x v="2"/>
  </r>
  <r>
    <x v="0"/>
    <n v="1128299"/>
    <x v="337"/>
    <x v="4"/>
    <s v="Virginia"/>
    <s v="Richmond"/>
    <x v="1"/>
    <n v="81"/>
    <n v="203"/>
    <n v="16443"/>
    <n v="8221.5"/>
    <n v="0.5"/>
    <x v="2"/>
  </r>
  <r>
    <x v="0"/>
    <n v="1128299"/>
    <x v="337"/>
    <x v="4"/>
    <s v="Virginia"/>
    <s v="Richmond"/>
    <x v="2"/>
    <n v="86"/>
    <n v="182"/>
    <n v="15652"/>
    <n v="7043.4"/>
    <n v="0.44999999999999996"/>
    <x v="2"/>
  </r>
  <r>
    <x v="0"/>
    <n v="1128299"/>
    <x v="337"/>
    <x v="4"/>
    <s v="Virginia"/>
    <s v="Richmond"/>
    <x v="3"/>
    <n v="82"/>
    <n v="149"/>
    <n v="12218"/>
    <n v="5620.28"/>
    <n v="0.45999999999999996"/>
    <x v="2"/>
  </r>
  <r>
    <x v="0"/>
    <n v="1128299"/>
    <x v="337"/>
    <x v="4"/>
    <s v="Virginia"/>
    <s v="Richmond"/>
    <x v="4"/>
    <n v="85"/>
    <n v="162"/>
    <n v="13770"/>
    <n v="7573.5000000000009"/>
    <n v="0.55000000000000004"/>
    <x v="2"/>
  </r>
  <r>
    <x v="0"/>
    <n v="1128299"/>
    <x v="337"/>
    <x v="4"/>
    <s v="Virginia"/>
    <s v="Richmond"/>
    <x v="5"/>
    <n v="96"/>
    <n v="180"/>
    <n v="17280"/>
    <n v="6912"/>
    <n v="0.4"/>
    <x v="2"/>
  </r>
  <r>
    <x v="0"/>
    <n v="1128299"/>
    <x v="369"/>
    <x v="4"/>
    <s v="Virginia"/>
    <s v="Richmond"/>
    <x v="0"/>
    <n v="83"/>
    <n v="240"/>
    <n v="19920"/>
    <n v="8964"/>
    <n v="0.44999999999999996"/>
    <x v="2"/>
  </r>
  <r>
    <x v="0"/>
    <n v="1128299"/>
    <x v="369"/>
    <x v="4"/>
    <s v="Virginia"/>
    <s v="Richmond"/>
    <x v="1"/>
    <n v="76"/>
    <n v="202"/>
    <n v="15352"/>
    <n v="7368.96"/>
    <n v="0.48"/>
    <x v="2"/>
  </r>
  <r>
    <x v="0"/>
    <n v="1128299"/>
    <x v="369"/>
    <x v="4"/>
    <s v="Virginia"/>
    <s v="Richmond"/>
    <x v="2"/>
    <n v="69"/>
    <n v="189"/>
    <n v="13041"/>
    <n v="6259.6799999999994"/>
    <n v="0.48"/>
    <x v="2"/>
  </r>
  <r>
    <x v="0"/>
    <n v="1128299"/>
    <x v="369"/>
    <x v="4"/>
    <s v="Virginia"/>
    <s v="Richmond"/>
    <x v="3"/>
    <n v="66"/>
    <n v="111"/>
    <n v="7326"/>
    <n v="3589.74"/>
    <n v="0.49"/>
    <x v="2"/>
  </r>
  <r>
    <x v="0"/>
    <n v="1128299"/>
    <x v="369"/>
    <x v="4"/>
    <s v="Virginia"/>
    <s v="Richmond"/>
    <x v="4"/>
    <n v="64"/>
    <n v="106"/>
    <n v="6784"/>
    <n v="3459.84"/>
    <n v="0.51"/>
    <x v="2"/>
  </r>
  <r>
    <x v="0"/>
    <n v="1128299"/>
    <x v="369"/>
    <x v="4"/>
    <s v="Virginia"/>
    <s v="Richmond"/>
    <x v="5"/>
    <n v="73"/>
    <n v="75"/>
    <n v="5475"/>
    <n v="2299.5"/>
    <n v="0.42"/>
    <x v="2"/>
  </r>
  <r>
    <x v="0"/>
    <n v="1128299"/>
    <x v="401"/>
    <x v="4"/>
    <s v="Virginia"/>
    <s v="Richmond"/>
    <x v="0"/>
    <n v="46"/>
    <n v="113"/>
    <n v="5198"/>
    <n v="2599"/>
    <n v="0.5"/>
    <x v="2"/>
  </r>
  <r>
    <x v="0"/>
    <n v="1128299"/>
    <x v="401"/>
    <x v="4"/>
    <s v="Virginia"/>
    <s v="Richmond"/>
    <x v="1"/>
    <n v="52"/>
    <n v="113"/>
    <n v="5876"/>
    <n v="2702.9599999999996"/>
    <n v="0.45999999999999996"/>
    <x v="2"/>
  </r>
  <r>
    <x v="0"/>
    <n v="1128299"/>
    <x v="401"/>
    <x v="4"/>
    <s v="Virginia"/>
    <s v="Richmond"/>
    <x v="2"/>
    <n v="47"/>
    <n v="65"/>
    <n v="3055"/>
    <n v="1435.85"/>
    <n v="0.47"/>
    <x v="2"/>
  </r>
  <r>
    <x v="0"/>
    <n v="1128299"/>
    <x v="401"/>
    <x v="4"/>
    <s v="Virginia"/>
    <s v="Richmond"/>
    <x v="3"/>
    <n v="45"/>
    <n v="54"/>
    <n v="2430"/>
    <n v="1190.7"/>
    <n v="0.49"/>
    <x v="2"/>
  </r>
  <r>
    <x v="0"/>
    <n v="1128299"/>
    <x v="401"/>
    <x v="4"/>
    <s v="Virginia"/>
    <s v="Richmond"/>
    <x v="4"/>
    <n v="58"/>
    <n v="56"/>
    <n v="3248"/>
    <n v="1624"/>
    <n v="0.5"/>
    <x v="2"/>
  </r>
  <r>
    <x v="0"/>
    <n v="1128299"/>
    <x v="401"/>
    <x v="4"/>
    <s v="Virginia"/>
    <s v="Richmond"/>
    <x v="5"/>
    <n v="42"/>
    <n v="70"/>
    <n v="2940"/>
    <n v="1264.2"/>
    <n v="0.43"/>
    <x v="2"/>
  </r>
  <r>
    <x v="0"/>
    <n v="1128299"/>
    <x v="430"/>
    <x v="4"/>
    <s v="Virginia"/>
    <s v="Richmond"/>
    <x v="0"/>
    <n v="38"/>
    <n v="102"/>
    <n v="3876"/>
    <n v="1744.1999999999998"/>
    <n v="0.44999999999999996"/>
    <x v="2"/>
  </r>
  <r>
    <x v="0"/>
    <n v="1128299"/>
    <x v="430"/>
    <x v="4"/>
    <s v="Virginia"/>
    <s v="Richmond"/>
    <x v="1"/>
    <n v="51"/>
    <n v="142"/>
    <n v="7242"/>
    <n v="3548.58"/>
    <n v="0.49"/>
    <x v="2"/>
  </r>
  <r>
    <x v="0"/>
    <n v="1128299"/>
    <x v="430"/>
    <x v="4"/>
    <s v="Virginia"/>
    <s v="Richmond"/>
    <x v="2"/>
    <n v="46"/>
    <n v="95"/>
    <n v="4370"/>
    <n v="2010.1999999999998"/>
    <n v="0.45999999999999996"/>
    <x v="2"/>
  </r>
  <r>
    <x v="0"/>
    <n v="1128299"/>
    <x v="430"/>
    <x v="4"/>
    <s v="Virginia"/>
    <s v="Richmond"/>
    <x v="3"/>
    <n v="41"/>
    <n v="98"/>
    <n v="4018"/>
    <n v="1968.82"/>
    <n v="0.49"/>
    <x v="2"/>
  </r>
  <r>
    <x v="0"/>
    <n v="1128299"/>
    <x v="430"/>
    <x v="4"/>
    <s v="Virginia"/>
    <s v="Richmond"/>
    <x v="4"/>
    <n v="53"/>
    <n v="87"/>
    <n v="4611"/>
    <n v="2489.94"/>
    <n v="0.54"/>
    <x v="2"/>
  </r>
  <r>
    <x v="0"/>
    <n v="1128299"/>
    <x v="430"/>
    <x v="4"/>
    <s v="Virginia"/>
    <s v="Richmond"/>
    <x v="5"/>
    <n v="59"/>
    <n v="102"/>
    <n v="6018"/>
    <n v="2647.92"/>
    <n v="0.44"/>
    <x v="2"/>
  </r>
  <r>
    <x v="0"/>
    <n v="1128299"/>
    <x v="461"/>
    <x v="4"/>
    <s v="Virginia"/>
    <s v="Richmond"/>
    <x v="0"/>
    <n v="42"/>
    <n v="155"/>
    <n v="6510"/>
    <n v="3059.7"/>
    <n v="0.47"/>
    <x v="2"/>
  </r>
  <r>
    <x v="0"/>
    <n v="1128299"/>
    <x v="461"/>
    <x v="4"/>
    <s v="Virginia"/>
    <s v="Richmond"/>
    <x v="1"/>
    <n v="47"/>
    <n v="169"/>
    <n v="7943"/>
    <n v="3892.0699999999997"/>
    <n v="0.49"/>
    <x v="2"/>
  </r>
  <r>
    <x v="0"/>
    <n v="1128299"/>
    <x v="461"/>
    <x v="4"/>
    <s v="Virginia"/>
    <s v="Richmond"/>
    <x v="2"/>
    <n v="43"/>
    <n v="138"/>
    <n v="5934"/>
    <n v="2848.3199999999997"/>
    <n v="0.48"/>
    <x v="2"/>
  </r>
  <r>
    <x v="0"/>
    <n v="1128299"/>
    <x v="461"/>
    <x v="4"/>
    <s v="Virginia"/>
    <s v="Richmond"/>
    <x v="3"/>
    <n v="52"/>
    <n v="113"/>
    <n v="5876"/>
    <n v="2820.48"/>
    <n v="0.48"/>
    <x v="2"/>
  </r>
  <r>
    <x v="0"/>
    <n v="1128299"/>
    <x v="461"/>
    <x v="4"/>
    <s v="Virginia"/>
    <s v="Richmond"/>
    <x v="4"/>
    <n v="73"/>
    <n v="111"/>
    <n v="8103"/>
    <n v="4456.6500000000005"/>
    <n v="0.55000000000000004"/>
    <x v="2"/>
  </r>
  <r>
    <x v="0"/>
    <n v="1128299"/>
    <x v="461"/>
    <x v="4"/>
    <s v="Virginia"/>
    <s v="Richmond"/>
    <x v="5"/>
    <n v="74"/>
    <n v="149"/>
    <n v="11026"/>
    <n v="4410.4000000000005"/>
    <n v="0.4"/>
    <x v="2"/>
  </r>
  <r>
    <x v="0"/>
    <n v="1128299"/>
    <x v="490"/>
    <x v="4"/>
    <s v="Virginia"/>
    <s v="Richmond"/>
    <x v="0"/>
    <n v="60"/>
    <n v="225"/>
    <n v="13500"/>
    <n v="6345"/>
    <n v="0.47"/>
    <x v="2"/>
  </r>
  <r>
    <x v="0"/>
    <n v="1128299"/>
    <x v="490"/>
    <x v="4"/>
    <s v="Virginia"/>
    <s v="Richmond"/>
    <x v="1"/>
    <n v="74"/>
    <n v="225"/>
    <n v="16650"/>
    <n v="7492.4999999999991"/>
    <n v="0.44999999999999996"/>
    <x v="2"/>
  </r>
  <r>
    <x v="2"/>
    <n v="1128299"/>
    <x v="490"/>
    <x v="4"/>
    <s v="Virginia"/>
    <s v="Richmond"/>
    <x v="2"/>
    <n v="64"/>
    <n v="154"/>
    <n v="9856"/>
    <n v="4730.88"/>
    <n v="0.48"/>
    <x v="2"/>
  </r>
  <r>
    <x v="2"/>
    <n v="1128299"/>
    <x v="490"/>
    <x v="4"/>
    <s v="Virginia"/>
    <s v="Richmond"/>
    <x v="3"/>
    <n v="67"/>
    <n v="160"/>
    <n v="10720"/>
    <n v="5360"/>
    <n v="0.5"/>
    <x v="2"/>
  </r>
  <r>
    <x v="2"/>
    <n v="1128299"/>
    <x v="490"/>
    <x v="4"/>
    <s v="Virginia"/>
    <s v="Richmond"/>
    <x v="4"/>
    <n v="72"/>
    <n v="133"/>
    <n v="9576"/>
    <n v="4883.76"/>
    <n v="0.51"/>
    <x v="2"/>
  </r>
  <r>
    <x v="2"/>
    <n v="1128299"/>
    <x v="490"/>
    <x v="4"/>
    <s v="Virginia"/>
    <s v="Richmond"/>
    <x v="5"/>
    <n v="82"/>
    <n v="150"/>
    <n v="12300"/>
    <n v="5289"/>
    <n v="0.43"/>
    <x v="2"/>
  </r>
  <r>
    <x v="2"/>
    <n v="1185732"/>
    <x v="183"/>
    <x v="4"/>
    <s v="Virginia"/>
    <s v="Richmond"/>
    <x v="0"/>
    <n v="34"/>
    <n v="203"/>
    <n v="6902"/>
    <n v="4210.22"/>
    <n v="0.61"/>
    <x v="2"/>
  </r>
  <r>
    <x v="2"/>
    <n v="1185732"/>
    <x v="183"/>
    <x v="4"/>
    <s v="Virginia"/>
    <s v="Richmond"/>
    <x v="1"/>
    <n v="34"/>
    <n v="154"/>
    <n v="5236"/>
    <n v="2670.36"/>
    <n v="0.51"/>
    <x v="2"/>
  </r>
  <r>
    <x v="2"/>
    <n v="1185732"/>
    <x v="183"/>
    <x v="4"/>
    <s v="Virginia"/>
    <s v="Richmond"/>
    <x v="2"/>
    <n v="23"/>
    <n v="149"/>
    <n v="3427"/>
    <n v="1370.8000000000002"/>
    <n v="0.4"/>
    <x v="2"/>
  </r>
  <r>
    <x v="2"/>
    <n v="1185732"/>
    <x v="183"/>
    <x v="4"/>
    <s v="Virginia"/>
    <s v="Richmond"/>
    <x v="3"/>
    <n v="29"/>
    <n v="116"/>
    <n v="3364"/>
    <n v="1682"/>
    <n v="0.5"/>
    <x v="2"/>
  </r>
  <r>
    <x v="2"/>
    <n v="1185732"/>
    <x v="183"/>
    <x v="4"/>
    <s v="Virginia"/>
    <s v="Richmond"/>
    <x v="4"/>
    <n v="43"/>
    <n v="122"/>
    <n v="5246"/>
    <n v="2727.92"/>
    <n v="0.52"/>
    <x v="2"/>
  </r>
  <r>
    <x v="2"/>
    <n v="1185732"/>
    <x v="183"/>
    <x v="4"/>
    <s v="Virginia"/>
    <s v="Richmond"/>
    <x v="5"/>
    <n v="33"/>
    <n v="138"/>
    <n v="4554"/>
    <n v="3096.7200000000003"/>
    <n v="0.68"/>
    <x v="2"/>
  </r>
  <r>
    <x v="2"/>
    <n v="1185732"/>
    <x v="212"/>
    <x v="4"/>
    <s v="Virginia"/>
    <s v="Richmond"/>
    <x v="0"/>
    <n v="34"/>
    <n v="200"/>
    <n v="6800"/>
    <n v="4284"/>
    <n v="0.63"/>
    <x v="2"/>
  </r>
  <r>
    <x v="2"/>
    <n v="1185732"/>
    <x v="212"/>
    <x v="4"/>
    <s v="Virginia"/>
    <s v="Richmond"/>
    <x v="1"/>
    <n v="33"/>
    <n v="117"/>
    <n v="3861"/>
    <n v="2007.72"/>
    <n v="0.52"/>
    <x v="2"/>
  </r>
  <r>
    <x v="2"/>
    <n v="1185732"/>
    <x v="212"/>
    <x v="4"/>
    <s v="Virginia"/>
    <s v="Richmond"/>
    <x v="2"/>
    <n v="23"/>
    <n v="150"/>
    <n v="3450"/>
    <n v="1483.5"/>
    <n v="0.43"/>
    <x v="2"/>
  </r>
  <r>
    <x v="2"/>
    <n v="1185732"/>
    <x v="212"/>
    <x v="3"/>
    <s v="Michigan"/>
    <s v="Detroit"/>
    <x v="3"/>
    <n v="28"/>
    <n v="109"/>
    <n v="3052"/>
    <n v="1495.48"/>
    <n v="0.49"/>
    <x v="2"/>
  </r>
  <r>
    <x v="2"/>
    <n v="1185732"/>
    <x v="212"/>
    <x v="3"/>
    <s v="Michigan"/>
    <s v="Detroit"/>
    <x v="4"/>
    <n v="41"/>
    <n v="126"/>
    <n v="5166"/>
    <n v="2841.2999999999997"/>
    <n v="0.54999999999999993"/>
    <x v="2"/>
  </r>
  <r>
    <x v="2"/>
    <n v="1185732"/>
    <x v="212"/>
    <x v="3"/>
    <s v="Michigan"/>
    <s v="Detroit"/>
    <x v="5"/>
    <n v="33"/>
    <n v="138"/>
    <n v="4554"/>
    <n v="3051.1800000000003"/>
    <n v="0.67"/>
    <x v="2"/>
  </r>
  <r>
    <x v="2"/>
    <n v="1185732"/>
    <x v="220"/>
    <x v="3"/>
    <s v="Michigan"/>
    <s v="Detroit"/>
    <x v="0"/>
    <n v="34"/>
    <n v="216"/>
    <n v="7344"/>
    <n v="4479.84"/>
    <n v="0.61"/>
    <x v="2"/>
  </r>
  <r>
    <x v="2"/>
    <n v="1185732"/>
    <x v="220"/>
    <x v="3"/>
    <s v="Michigan"/>
    <s v="Detroit"/>
    <x v="1"/>
    <n v="32"/>
    <n v="126"/>
    <n v="4032"/>
    <n v="2177.2800000000002"/>
    <n v="0.54"/>
    <x v="2"/>
  </r>
  <r>
    <x v="2"/>
    <n v="1185732"/>
    <x v="220"/>
    <x v="3"/>
    <s v="Michigan"/>
    <s v="Detroit"/>
    <x v="2"/>
    <n v="25"/>
    <n v="124"/>
    <n v="3100"/>
    <n v="1240"/>
    <n v="0.4"/>
    <x v="2"/>
  </r>
  <r>
    <x v="2"/>
    <n v="1185732"/>
    <x v="220"/>
    <x v="3"/>
    <s v="Michigan"/>
    <s v="Detroit"/>
    <x v="3"/>
    <n v="29"/>
    <n v="91"/>
    <n v="2639"/>
    <n v="1266.72"/>
    <n v="0.48"/>
    <x v="2"/>
  </r>
  <r>
    <x v="2"/>
    <n v="1185732"/>
    <x v="220"/>
    <x v="3"/>
    <s v="Michigan"/>
    <s v="Detroit"/>
    <x v="4"/>
    <n v="43"/>
    <n v="94"/>
    <n v="4042"/>
    <n v="2101.84"/>
    <n v="0.52"/>
    <x v="2"/>
  </r>
  <r>
    <x v="2"/>
    <n v="1185732"/>
    <x v="220"/>
    <x v="3"/>
    <s v="Michigan"/>
    <s v="Detroit"/>
    <x v="5"/>
    <n v="33"/>
    <n v="143"/>
    <n v="4719"/>
    <n v="3256.11"/>
    <n v="0.69000000000000006"/>
    <x v="2"/>
  </r>
  <r>
    <x v="2"/>
    <n v="1185732"/>
    <x v="239"/>
    <x v="3"/>
    <s v="Michigan"/>
    <s v="Detroit"/>
    <x v="0"/>
    <n v="32"/>
    <n v="181"/>
    <n v="5792"/>
    <n v="3475.2"/>
    <n v="0.6"/>
    <x v="2"/>
  </r>
  <r>
    <x v="2"/>
    <n v="1185732"/>
    <x v="239"/>
    <x v="3"/>
    <s v="Michigan"/>
    <s v="Detroit"/>
    <x v="1"/>
    <n v="38"/>
    <n v="111"/>
    <n v="4218"/>
    <n v="2235.54"/>
    <n v="0.53"/>
    <x v="2"/>
  </r>
  <r>
    <x v="2"/>
    <n v="1185732"/>
    <x v="239"/>
    <x v="3"/>
    <s v="Michigan"/>
    <s v="Detroit"/>
    <x v="2"/>
    <n v="27"/>
    <n v="135"/>
    <n v="3645"/>
    <n v="1530.8999999999999"/>
    <n v="0.42"/>
    <x v="2"/>
  </r>
  <r>
    <x v="2"/>
    <n v="1185732"/>
    <x v="239"/>
    <x v="3"/>
    <s v="Michigan"/>
    <s v="Detroit"/>
    <x v="3"/>
    <n v="32"/>
    <n v="109"/>
    <n v="3488"/>
    <n v="1604.4799999999998"/>
    <n v="0.45999999999999996"/>
    <x v="2"/>
  </r>
  <r>
    <x v="2"/>
    <n v="1185732"/>
    <x v="239"/>
    <x v="3"/>
    <s v="Michigan"/>
    <s v="Detroit"/>
    <x v="4"/>
    <n v="45"/>
    <n v="120"/>
    <n v="5400"/>
    <n v="2700"/>
    <n v="0.5"/>
    <x v="2"/>
  </r>
  <r>
    <x v="2"/>
    <n v="1185732"/>
    <x v="239"/>
    <x v="3"/>
    <s v="Michigan"/>
    <s v="Detroit"/>
    <x v="5"/>
    <n v="37"/>
    <n v="152"/>
    <n v="5624"/>
    <n v="3880.5600000000004"/>
    <n v="0.69000000000000006"/>
    <x v="2"/>
  </r>
  <r>
    <x v="2"/>
    <n v="1185732"/>
    <x v="268"/>
    <x v="3"/>
    <s v="Michigan"/>
    <s v="Detroit"/>
    <x v="0"/>
    <n v="48"/>
    <n v="207"/>
    <n v="9936"/>
    <n v="6060.96"/>
    <n v="0.61"/>
    <x v="2"/>
  </r>
  <r>
    <x v="2"/>
    <n v="1185732"/>
    <x v="268"/>
    <x v="3"/>
    <s v="Michigan"/>
    <s v="Detroit"/>
    <x v="1"/>
    <n v="47"/>
    <n v="150"/>
    <n v="7050"/>
    <n v="3877.4999999999995"/>
    <n v="0.54999999999999993"/>
    <x v="2"/>
  </r>
  <r>
    <x v="2"/>
    <n v="1185732"/>
    <x v="268"/>
    <x v="3"/>
    <s v="Michigan"/>
    <s v="Detroit"/>
    <x v="2"/>
    <n v="44"/>
    <n v="133"/>
    <n v="5852"/>
    <n v="2340.8000000000002"/>
    <n v="0.4"/>
    <x v="2"/>
  </r>
  <r>
    <x v="2"/>
    <n v="1185732"/>
    <x v="268"/>
    <x v="3"/>
    <s v="Michigan"/>
    <s v="Detroit"/>
    <x v="3"/>
    <n v="42"/>
    <n v="126"/>
    <n v="5292"/>
    <n v="2646"/>
    <n v="0.5"/>
    <x v="2"/>
  </r>
  <r>
    <x v="2"/>
    <n v="1185732"/>
    <x v="268"/>
    <x v="3"/>
    <s v="Michigan"/>
    <s v="Detroit"/>
    <x v="4"/>
    <n v="52"/>
    <n v="124"/>
    <n v="6448"/>
    <n v="3417.44"/>
    <n v="0.53"/>
    <x v="2"/>
  </r>
  <r>
    <x v="2"/>
    <n v="1185732"/>
    <x v="268"/>
    <x v="3"/>
    <s v="Michigan"/>
    <s v="Detroit"/>
    <x v="5"/>
    <n v="55"/>
    <n v="150"/>
    <n v="8250"/>
    <n v="5775.0000000000009"/>
    <n v="0.70000000000000007"/>
    <x v="2"/>
  </r>
  <r>
    <x v="2"/>
    <n v="1185732"/>
    <x v="301"/>
    <x v="3"/>
    <s v="Michigan"/>
    <s v="Detroit"/>
    <x v="0"/>
    <n v="52"/>
    <n v="206"/>
    <n v="10712"/>
    <n v="6641.44"/>
    <n v="0.62"/>
    <x v="2"/>
  </r>
  <r>
    <x v="2"/>
    <n v="1185732"/>
    <x v="301"/>
    <x v="3"/>
    <s v="Michigan"/>
    <s v="Detroit"/>
    <x v="1"/>
    <n v="46"/>
    <n v="167"/>
    <n v="7682"/>
    <n v="4148.2800000000007"/>
    <n v="0.54"/>
    <x v="2"/>
  </r>
  <r>
    <x v="2"/>
    <n v="1185732"/>
    <x v="301"/>
    <x v="3"/>
    <s v="Michigan"/>
    <s v="Detroit"/>
    <x v="2"/>
    <n v="41"/>
    <n v="138"/>
    <n v="5658"/>
    <n v="2489.52"/>
    <n v="0.44"/>
    <x v="2"/>
  </r>
  <r>
    <x v="2"/>
    <n v="1185732"/>
    <x v="301"/>
    <x v="3"/>
    <s v="Michigan"/>
    <s v="Detroit"/>
    <x v="3"/>
    <n v="43"/>
    <n v="158"/>
    <n v="6794"/>
    <n v="3261.12"/>
    <n v="0.48"/>
    <x v="2"/>
  </r>
  <r>
    <x v="2"/>
    <n v="1185732"/>
    <x v="301"/>
    <x v="3"/>
    <s v="Michigan"/>
    <s v="Detroit"/>
    <x v="4"/>
    <n v="57"/>
    <n v="152"/>
    <n v="8664"/>
    <n v="4765.2"/>
    <n v="0.54999999999999993"/>
    <x v="2"/>
  </r>
  <r>
    <x v="2"/>
    <n v="1185732"/>
    <x v="301"/>
    <x v="3"/>
    <s v="Michigan"/>
    <s v="Detroit"/>
    <x v="5"/>
    <n v="60"/>
    <n v="169"/>
    <n v="10140"/>
    <n v="6591"/>
    <n v="0.65"/>
    <x v="2"/>
  </r>
  <r>
    <x v="2"/>
    <n v="1185732"/>
    <x v="329"/>
    <x v="3"/>
    <s v="Michigan"/>
    <s v="Detroit"/>
    <x v="0"/>
    <n v="57"/>
    <n v="225"/>
    <n v="12825"/>
    <n v="7695"/>
    <n v="0.6"/>
    <x v="2"/>
  </r>
  <r>
    <x v="2"/>
    <n v="1185732"/>
    <x v="329"/>
    <x v="3"/>
    <s v="Michigan"/>
    <s v="Detroit"/>
    <x v="1"/>
    <n v="53"/>
    <n v="189"/>
    <n v="10017"/>
    <n v="5108.67"/>
    <n v="0.51"/>
    <x v="2"/>
  </r>
  <r>
    <x v="2"/>
    <n v="1185732"/>
    <x v="329"/>
    <x v="3"/>
    <s v="Michigan"/>
    <s v="Detroit"/>
    <x v="2"/>
    <n v="46"/>
    <n v="173"/>
    <n v="7958"/>
    <n v="3581.0999999999995"/>
    <n v="0.44999999999999996"/>
    <x v="2"/>
  </r>
  <r>
    <x v="2"/>
    <n v="1185732"/>
    <x v="329"/>
    <x v="3"/>
    <s v="Michigan"/>
    <s v="Detroit"/>
    <x v="3"/>
    <n v="47"/>
    <n v="158"/>
    <n v="7426"/>
    <n v="3341.7"/>
    <n v="0.44999999999999996"/>
    <x v="2"/>
  </r>
  <r>
    <x v="2"/>
    <n v="1185732"/>
    <x v="329"/>
    <x v="3"/>
    <s v="Michigan"/>
    <s v="Detroit"/>
    <x v="4"/>
    <n v="54"/>
    <n v="143"/>
    <n v="7722"/>
    <n v="3938.2200000000003"/>
    <n v="0.51"/>
    <x v="2"/>
  </r>
  <r>
    <x v="2"/>
    <n v="1185732"/>
    <x v="329"/>
    <x v="3"/>
    <s v="Michigan"/>
    <s v="Detroit"/>
    <x v="5"/>
    <n v="62"/>
    <n v="210"/>
    <n v="13020"/>
    <n v="8983.8000000000011"/>
    <n v="0.69000000000000006"/>
    <x v="2"/>
  </r>
  <r>
    <x v="2"/>
    <n v="1185732"/>
    <x v="361"/>
    <x v="3"/>
    <s v="Michigan"/>
    <s v="Detroit"/>
    <x v="0"/>
    <n v="55"/>
    <n v="263"/>
    <n v="14465"/>
    <n v="9257.6"/>
    <n v="0.64"/>
    <x v="2"/>
  </r>
  <r>
    <x v="2"/>
    <n v="1185732"/>
    <x v="361"/>
    <x v="3"/>
    <s v="Michigan"/>
    <s v="Detroit"/>
    <x v="1"/>
    <n v="50"/>
    <n v="195"/>
    <n v="9750"/>
    <n v="4875"/>
    <n v="0.5"/>
    <x v="2"/>
  </r>
  <r>
    <x v="2"/>
    <n v="1185732"/>
    <x v="361"/>
    <x v="3"/>
    <s v="Michigan"/>
    <s v="Detroit"/>
    <x v="2"/>
    <n v="42"/>
    <n v="144"/>
    <n v="6048"/>
    <n v="2540.16"/>
    <n v="0.42"/>
    <x v="2"/>
  </r>
  <r>
    <x v="2"/>
    <n v="1185732"/>
    <x v="361"/>
    <x v="3"/>
    <s v="Michigan"/>
    <s v="Detroit"/>
    <x v="3"/>
    <n v="34"/>
    <n v="142"/>
    <n v="4828"/>
    <n v="2172.6"/>
    <n v="0.44999999999999996"/>
    <x v="2"/>
  </r>
  <r>
    <x v="2"/>
    <n v="1185732"/>
    <x v="361"/>
    <x v="3"/>
    <s v="Michigan"/>
    <s v="Detroit"/>
    <x v="4"/>
    <n v="42"/>
    <n v="135"/>
    <n v="5670"/>
    <n v="3005.1000000000004"/>
    <n v="0.53"/>
    <x v="2"/>
  </r>
  <r>
    <x v="2"/>
    <n v="1185732"/>
    <x v="361"/>
    <x v="3"/>
    <s v="Michigan"/>
    <s v="Detroit"/>
    <x v="5"/>
    <n v="45"/>
    <n v="176"/>
    <n v="7920"/>
    <n v="5385.6"/>
    <n v="0.68"/>
    <x v="2"/>
  </r>
  <r>
    <x v="2"/>
    <n v="1185732"/>
    <x v="391"/>
    <x v="3"/>
    <s v="Michigan"/>
    <s v="Detroit"/>
    <x v="0"/>
    <n v="42"/>
    <n v="232"/>
    <n v="9744"/>
    <n v="6138.72"/>
    <n v="0.63"/>
    <x v="2"/>
  </r>
  <r>
    <x v="2"/>
    <n v="1185732"/>
    <x v="391"/>
    <x v="3"/>
    <s v="Michigan"/>
    <s v="Detroit"/>
    <x v="1"/>
    <n v="37"/>
    <n v="174"/>
    <n v="6438"/>
    <n v="3283.38"/>
    <n v="0.51"/>
    <x v="2"/>
  </r>
  <r>
    <x v="2"/>
    <n v="1185732"/>
    <x v="391"/>
    <x v="3"/>
    <s v="Michigan"/>
    <s v="Detroit"/>
    <x v="2"/>
    <n v="34"/>
    <n v="145"/>
    <n v="4930"/>
    <n v="2070.6"/>
    <n v="0.42"/>
    <x v="2"/>
  </r>
  <r>
    <x v="2"/>
    <n v="1185732"/>
    <x v="391"/>
    <x v="3"/>
    <s v="Michigan"/>
    <s v="Detroit"/>
    <x v="3"/>
    <n v="34"/>
    <n v="119"/>
    <n v="4046"/>
    <n v="1820.6999999999998"/>
    <n v="0.44999999999999996"/>
    <x v="2"/>
  </r>
  <r>
    <x v="2"/>
    <n v="1185732"/>
    <x v="391"/>
    <x v="3"/>
    <s v="Michigan"/>
    <s v="Detroit"/>
    <x v="4"/>
    <n v="41"/>
    <n v="128"/>
    <n v="5248"/>
    <n v="2624"/>
    <n v="0.5"/>
    <x v="2"/>
  </r>
  <r>
    <x v="2"/>
    <n v="1185732"/>
    <x v="391"/>
    <x v="3"/>
    <s v="Michigan"/>
    <s v="Detroit"/>
    <x v="5"/>
    <n v="48"/>
    <n v="173"/>
    <n v="8304"/>
    <n v="5397.6"/>
    <n v="0.65"/>
    <x v="2"/>
  </r>
  <r>
    <x v="2"/>
    <n v="1185732"/>
    <x v="423"/>
    <x v="3"/>
    <s v="Michigan"/>
    <s v="Detroit"/>
    <x v="0"/>
    <n v="49"/>
    <n v="225"/>
    <n v="11025"/>
    <n v="6725.25"/>
    <n v="0.61"/>
    <x v="2"/>
  </r>
  <r>
    <x v="2"/>
    <n v="1185732"/>
    <x v="423"/>
    <x v="3"/>
    <s v="Michigan"/>
    <s v="Detroit"/>
    <x v="1"/>
    <n v="37"/>
    <n v="167"/>
    <n v="6179"/>
    <n v="3151.29"/>
    <n v="0.51"/>
    <x v="2"/>
  </r>
  <r>
    <x v="2"/>
    <n v="1185732"/>
    <x v="423"/>
    <x v="3"/>
    <s v="Michigan"/>
    <s v="Detroit"/>
    <x v="2"/>
    <n v="37"/>
    <n v="123"/>
    <n v="4551"/>
    <n v="2047.9499999999998"/>
    <n v="0.44999999999999996"/>
    <x v="2"/>
  </r>
  <r>
    <x v="2"/>
    <n v="1185732"/>
    <x v="423"/>
    <x v="3"/>
    <s v="Michigan"/>
    <s v="Detroit"/>
    <x v="3"/>
    <n v="38"/>
    <n v="116"/>
    <n v="4408"/>
    <n v="2204"/>
    <n v="0.5"/>
    <x v="2"/>
  </r>
  <r>
    <x v="2"/>
    <n v="1185732"/>
    <x v="423"/>
    <x v="3"/>
    <s v="Michigan"/>
    <s v="Detroit"/>
    <x v="4"/>
    <n v="48"/>
    <n v="112"/>
    <n v="5376"/>
    <n v="2956.7999999999997"/>
    <n v="0.54999999999999993"/>
    <x v="2"/>
  </r>
  <r>
    <x v="2"/>
    <n v="1185732"/>
    <x v="423"/>
    <x v="3"/>
    <s v="Michigan"/>
    <s v="Detroit"/>
    <x v="5"/>
    <n v="52"/>
    <n v="137"/>
    <n v="7124"/>
    <n v="4986.8"/>
    <n v="0.70000000000000007"/>
    <x v="2"/>
  </r>
  <r>
    <x v="2"/>
    <n v="1185732"/>
    <x v="453"/>
    <x v="3"/>
    <s v="Michigan"/>
    <s v="Detroit"/>
    <x v="0"/>
    <n v="49"/>
    <n v="196"/>
    <n v="9604"/>
    <n v="6050.52"/>
    <n v="0.63"/>
    <x v="2"/>
  </r>
  <r>
    <x v="2"/>
    <n v="1185732"/>
    <x v="453"/>
    <x v="3"/>
    <s v="Michigan"/>
    <s v="Detroit"/>
    <x v="1"/>
    <n v="42"/>
    <n v="145"/>
    <n v="6090"/>
    <n v="3349.4999999999995"/>
    <n v="0.54999999999999993"/>
    <x v="2"/>
  </r>
  <r>
    <x v="2"/>
    <n v="1185732"/>
    <x v="453"/>
    <x v="3"/>
    <s v="Michigan"/>
    <s v="Detroit"/>
    <x v="2"/>
    <n v="43"/>
    <n v="120"/>
    <n v="5160"/>
    <n v="2321.9999999999995"/>
    <n v="0.44999999999999996"/>
    <x v="2"/>
  </r>
  <r>
    <x v="2"/>
    <n v="1185732"/>
    <x v="453"/>
    <x v="3"/>
    <s v="Michigan"/>
    <s v="Detroit"/>
    <x v="3"/>
    <n v="41"/>
    <n v="138"/>
    <n v="5658"/>
    <n v="2772.42"/>
    <n v="0.49"/>
    <x v="2"/>
  </r>
  <r>
    <x v="2"/>
    <n v="1185732"/>
    <x v="453"/>
    <x v="3"/>
    <s v="Michigan"/>
    <s v="Detroit"/>
    <x v="4"/>
    <n v="59"/>
    <n v="126"/>
    <n v="7434"/>
    <n v="4088.6999999999994"/>
    <n v="0.54999999999999993"/>
    <x v="2"/>
  </r>
  <r>
    <x v="2"/>
    <n v="1185732"/>
    <x v="453"/>
    <x v="3"/>
    <s v="Michigan"/>
    <s v="Detroit"/>
    <x v="5"/>
    <n v="59"/>
    <n v="169"/>
    <n v="9971"/>
    <n v="6879.9900000000007"/>
    <n v="0.69000000000000006"/>
    <x v="2"/>
  </r>
  <r>
    <x v="2"/>
    <n v="1185732"/>
    <x v="482"/>
    <x v="3"/>
    <s v="Michigan"/>
    <s v="Detroit"/>
    <x v="0"/>
    <n v="55"/>
    <n v="255"/>
    <n v="14025"/>
    <n v="8555.25"/>
    <n v="0.61"/>
    <x v="2"/>
  </r>
  <r>
    <x v="2"/>
    <n v="1185732"/>
    <x v="482"/>
    <x v="3"/>
    <s v="Michigan"/>
    <s v="Detroit"/>
    <x v="1"/>
    <n v="46"/>
    <n v="176"/>
    <n v="8096"/>
    <n v="4290.88"/>
    <n v="0.53"/>
    <x v="2"/>
  </r>
  <r>
    <x v="0"/>
    <n v="1185732"/>
    <x v="482"/>
    <x v="3"/>
    <s v="Michigan"/>
    <s v="Detroit"/>
    <x v="2"/>
    <n v="48"/>
    <n v="168"/>
    <n v="8064"/>
    <n v="3628.7999999999997"/>
    <n v="0.44999999999999996"/>
    <x v="2"/>
  </r>
  <r>
    <x v="0"/>
    <n v="1185732"/>
    <x v="482"/>
    <x v="3"/>
    <s v="Michigan"/>
    <s v="Detroit"/>
    <x v="3"/>
    <n v="48"/>
    <n v="138"/>
    <n v="6624"/>
    <n v="3179.52"/>
    <n v="0.48"/>
    <x v="2"/>
  </r>
  <r>
    <x v="0"/>
    <n v="1185732"/>
    <x v="482"/>
    <x v="3"/>
    <s v="Michigan"/>
    <s v="Detroit"/>
    <x v="4"/>
    <n v="55"/>
    <n v="143"/>
    <n v="7865"/>
    <n v="4089.8"/>
    <n v="0.52"/>
    <x v="2"/>
  </r>
  <r>
    <x v="0"/>
    <n v="1185732"/>
    <x v="482"/>
    <x v="3"/>
    <s v="Michigan"/>
    <s v="Detroit"/>
    <x v="5"/>
    <n v="59"/>
    <n v="163"/>
    <n v="9617"/>
    <n v="6251.05"/>
    <n v="0.65"/>
    <x v="2"/>
  </r>
  <r>
    <x v="0"/>
    <n v="1185732"/>
    <x v="182"/>
    <x v="3"/>
    <s v="Michigan"/>
    <s v="Detroit"/>
    <x v="0"/>
    <n v="27"/>
    <n v="156"/>
    <n v="4212"/>
    <n v="2106"/>
    <n v="0.5"/>
    <x v="2"/>
  </r>
  <r>
    <x v="0"/>
    <n v="1185732"/>
    <x v="182"/>
    <x v="3"/>
    <s v="Michigan"/>
    <s v="Detroit"/>
    <x v="1"/>
    <n v="29"/>
    <n v="123"/>
    <n v="3567"/>
    <n v="1676.49"/>
    <n v="0.47"/>
    <x v="2"/>
  </r>
  <r>
    <x v="0"/>
    <n v="1185732"/>
    <x v="182"/>
    <x v="3"/>
    <s v="Michigan"/>
    <s v="Detroit"/>
    <x v="2"/>
    <n v="19"/>
    <n v="123"/>
    <n v="2337"/>
    <n v="1051.6499999999999"/>
    <n v="0.44999999999999996"/>
    <x v="2"/>
  </r>
  <r>
    <x v="0"/>
    <n v="1185732"/>
    <x v="182"/>
    <x v="3"/>
    <s v="Michigan"/>
    <s v="Detroit"/>
    <x v="3"/>
    <n v="24"/>
    <n v="77"/>
    <n v="1848"/>
    <n v="960.96"/>
    <n v="0.52"/>
    <x v="2"/>
  </r>
  <r>
    <x v="0"/>
    <n v="1185732"/>
    <x v="182"/>
    <x v="3"/>
    <s v="Michigan"/>
    <s v="Detroit"/>
    <x v="4"/>
    <n v="39"/>
    <n v="98"/>
    <n v="3822"/>
    <n v="1872.78"/>
    <n v="0.49"/>
    <x v="2"/>
  </r>
  <r>
    <x v="0"/>
    <n v="1185732"/>
    <x v="182"/>
    <x v="3"/>
    <s v="Michigan"/>
    <s v="Detroit"/>
    <x v="5"/>
    <n v="29"/>
    <n v="123"/>
    <n v="3567"/>
    <n v="2247.21"/>
    <n v="0.63"/>
    <x v="2"/>
  </r>
  <r>
    <x v="0"/>
    <n v="1185732"/>
    <x v="213"/>
    <x v="3"/>
    <s v="Michigan"/>
    <s v="Detroit"/>
    <x v="0"/>
    <n v="29"/>
    <n v="182"/>
    <n v="5278"/>
    <n v="2797.34"/>
    <n v="0.53"/>
    <x v="2"/>
  </r>
  <r>
    <x v="0"/>
    <n v="1185732"/>
    <x v="213"/>
    <x v="3"/>
    <s v="Michigan"/>
    <s v="Detroit"/>
    <x v="1"/>
    <n v="28"/>
    <n v="94"/>
    <n v="2632"/>
    <n v="1289.68"/>
    <n v="0.49"/>
    <x v="2"/>
  </r>
  <r>
    <x v="0"/>
    <n v="1185732"/>
    <x v="213"/>
    <x v="3"/>
    <s v="Michigan"/>
    <s v="Detroit"/>
    <x v="2"/>
    <n v="19"/>
    <n v="113"/>
    <n v="2147"/>
    <n v="966.14999999999986"/>
    <n v="0.44999999999999996"/>
    <x v="2"/>
  </r>
  <r>
    <x v="0"/>
    <n v="1185732"/>
    <x v="213"/>
    <x v="3"/>
    <s v="Missouri"/>
    <s v="St. Louis"/>
    <x v="3"/>
    <n v="24"/>
    <n v="70"/>
    <n v="1680"/>
    <n v="873.6"/>
    <n v="0.52"/>
    <x v="2"/>
  </r>
  <r>
    <x v="0"/>
    <n v="1185732"/>
    <x v="213"/>
    <x v="3"/>
    <s v="Missouri"/>
    <s v="St. Louis"/>
    <x v="4"/>
    <n v="38"/>
    <n v="88"/>
    <n v="3344"/>
    <n v="1504.8"/>
    <n v="0.44999999999999996"/>
    <x v="2"/>
  </r>
  <r>
    <x v="0"/>
    <n v="1185732"/>
    <x v="213"/>
    <x v="3"/>
    <s v="Missouri"/>
    <s v="St. Louis"/>
    <x v="5"/>
    <n v="28"/>
    <n v="120"/>
    <n v="3360"/>
    <n v="2116.8000000000002"/>
    <n v="0.63"/>
    <x v="2"/>
  </r>
  <r>
    <x v="0"/>
    <n v="1185732"/>
    <x v="222"/>
    <x v="3"/>
    <s v="Missouri"/>
    <s v="St. Louis"/>
    <x v="0"/>
    <n v="34"/>
    <n v="186"/>
    <n v="6324"/>
    <n v="3225.2400000000002"/>
    <n v="0.51"/>
    <x v="2"/>
  </r>
  <r>
    <x v="0"/>
    <n v="1185732"/>
    <x v="222"/>
    <x v="3"/>
    <s v="Missouri"/>
    <s v="St. Louis"/>
    <x v="1"/>
    <n v="34"/>
    <n v="87"/>
    <n v="2958"/>
    <n v="1331.1"/>
    <n v="0.44999999999999996"/>
    <x v="2"/>
  </r>
  <r>
    <x v="0"/>
    <n v="1185732"/>
    <x v="222"/>
    <x v="3"/>
    <s v="Missouri"/>
    <s v="St. Louis"/>
    <x v="2"/>
    <n v="23"/>
    <n v="95"/>
    <n v="2185"/>
    <n v="1005.0999999999999"/>
    <n v="0.45999999999999996"/>
    <x v="2"/>
  </r>
  <r>
    <x v="0"/>
    <n v="1185732"/>
    <x v="222"/>
    <x v="3"/>
    <s v="Missouri"/>
    <s v="St. Louis"/>
    <x v="3"/>
    <n v="28"/>
    <n v="54"/>
    <n v="1512"/>
    <n v="771.12"/>
    <n v="0.51"/>
    <x v="2"/>
  </r>
  <r>
    <x v="0"/>
    <n v="1185732"/>
    <x v="222"/>
    <x v="3"/>
    <s v="Missouri"/>
    <s v="St. Louis"/>
    <x v="4"/>
    <n v="41"/>
    <n v="75"/>
    <n v="3075"/>
    <n v="1506.75"/>
    <n v="0.49"/>
    <x v="2"/>
  </r>
  <r>
    <x v="0"/>
    <n v="1185732"/>
    <x v="222"/>
    <x v="3"/>
    <s v="Missouri"/>
    <s v="St. Louis"/>
    <x v="5"/>
    <n v="34"/>
    <n v="102"/>
    <n v="3468"/>
    <n v="2254.2000000000003"/>
    <n v="0.65"/>
    <x v="2"/>
  </r>
  <r>
    <x v="0"/>
    <n v="1185732"/>
    <x v="241"/>
    <x v="3"/>
    <s v="Missouri"/>
    <s v="St. Louis"/>
    <x v="0"/>
    <n v="33"/>
    <n v="144"/>
    <n v="4752"/>
    <n v="2471.04"/>
    <n v="0.52"/>
    <x v="2"/>
  </r>
  <r>
    <x v="0"/>
    <n v="1185732"/>
    <x v="241"/>
    <x v="3"/>
    <s v="Missouri"/>
    <s v="St. Louis"/>
    <x v="1"/>
    <n v="27"/>
    <n v="72"/>
    <n v="1944"/>
    <n v="952.56"/>
    <n v="0.49"/>
    <x v="2"/>
  </r>
  <r>
    <x v="0"/>
    <n v="1185732"/>
    <x v="241"/>
    <x v="3"/>
    <s v="Missouri"/>
    <s v="St. Louis"/>
    <x v="2"/>
    <n v="18"/>
    <n v="83"/>
    <n v="1494"/>
    <n v="732.06"/>
    <n v="0.49"/>
    <x v="2"/>
  </r>
  <r>
    <x v="0"/>
    <n v="1185732"/>
    <x v="241"/>
    <x v="3"/>
    <s v="Missouri"/>
    <s v="St. Louis"/>
    <x v="3"/>
    <n v="23"/>
    <n v="52"/>
    <n v="1196"/>
    <n v="621.92000000000007"/>
    <n v="0.52"/>
    <x v="2"/>
  </r>
  <r>
    <x v="0"/>
    <n v="1185732"/>
    <x v="241"/>
    <x v="3"/>
    <s v="Missouri"/>
    <s v="St. Louis"/>
    <x v="4"/>
    <n v="36"/>
    <n v="65"/>
    <n v="2340"/>
    <n v="1053"/>
    <n v="0.44999999999999996"/>
    <x v="2"/>
  </r>
  <r>
    <x v="0"/>
    <n v="1185732"/>
    <x v="241"/>
    <x v="3"/>
    <s v="Missouri"/>
    <s v="St. Louis"/>
    <x v="5"/>
    <n v="28"/>
    <n v="105"/>
    <n v="2940"/>
    <n v="1793.3999999999999"/>
    <n v="0.61"/>
    <x v="2"/>
  </r>
  <r>
    <x v="0"/>
    <n v="1185732"/>
    <x v="272"/>
    <x v="3"/>
    <s v="Missouri"/>
    <s v="St. Louis"/>
    <x v="0"/>
    <n v="39"/>
    <n v="180"/>
    <n v="7020"/>
    <n v="3580.2000000000003"/>
    <n v="0.51"/>
    <x v="2"/>
  </r>
  <r>
    <x v="0"/>
    <n v="1185732"/>
    <x v="272"/>
    <x v="3"/>
    <s v="Missouri"/>
    <s v="St. Louis"/>
    <x v="1"/>
    <n v="34"/>
    <n v="88"/>
    <n v="2992"/>
    <n v="1406.24"/>
    <n v="0.47"/>
    <x v="2"/>
  </r>
  <r>
    <x v="0"/>
    <n v="1185732"/>
    <x v="272"/>
    <x v="3"/>
    <s v="Missouri"/>
    <s v="St. Louis"/>
    <x v="2"/>
    <n v="29"/>
    <n v="87"/>
    <n v="2523"/>
    <n v="1160.58"/>
    <n v="0.45999999999999996"/>
    <x v="2"/>
  </r>
  <r>
    <x v="0"/>
    <n v="1185732"/>
    <x v="272"/>
    <x v="3"/>
    <s v="Missouri"/>
    <s v="St. Louis"/>
    <x v="3"/>
    <n v="29"/>
    <n v="65"/>
    <n v="1885"/>
    <n v="1036.75"/>
    <n v="0.55000000000000004"/>
    <x v="2"/>
  </r>
  <r>
    <x v="0"/>
    <n v="1185732"/>
    <x v="272"/>
    <x v="3"/>
    <s v="Missouri"/>
    <s v="St. Louis"/>
    <x v="4"/>
    <n v="44"/>
    <n v="70"/>
    <n v="3080"/>
    <n v="1478.3999999999999"/>
    <n v="0.48"/>
    <x v="2"/>
  </r>
  <r>
    <x v="0"/>
    <n v="1185732"/>
    <x v="272"/>
    <x v="3"/>
    <s v="Missouri"/>
    <s v="St. Louis"/>
    <x v="5"/>
    <n v="45"/>
    <n v="105"/>
    <n v="4725"/>
    <n v="2835"/>
    <n v="0.6"/>
    <x v="2"/>
  </r>
  <r>
    <x v="0"/>
    <n v="1185732"/>
    <x v="302"/>
    <x v="3"/>
    <s v="Missouri"/>
    <s v="St. Louis"/>
    <x v="0"/>
    <n v="32"/>
    <n v="168"/>
    <n v="5376"/>
    <n v="2903.04"/>
    <n v="0.54"/>
    <x v="2"/>
  </r>
  <r>
    <x v="0"/>
    <n v="1185732"/>
    <x v="302"/>
    <x v="3"/>
    <s v="Missouri"/>
    <s v="St. Louis"/>
    <x v="1"/>
    <n v="27"/>
    <n v="91"/>
    <n v="2457"/>
    <n v="1130.2199999999998"/>
    <n v="0.45999999999999996"/>
    <x v="2"/>
  </r>
  <r>
    <x v="0"/>
    <n v="1185732"/>
    <x v="302"/>
    <x v="3"/>
    <s v="Missouri"/>
    <s v="St. Louis"/>
    <x v="2"/>
    <n v="23"/>
    <n v="113"/>
    <n v="2599"/>
    <n v="1273.51"/>
    <n v="0.49"/>
    <x v="2"/>
  </r>
  <r>
    <x v="0"/>
    <n v="1185732"/>
    <x v="302"/>
    <x v="3"/>
    <s v="Missouri"/>
    <s v="St. Louis"/>
    <x v="3"/>
    <n v="23"/>
    <n v="91"/>
    <n v="2093"/>
    <n v="1046.5"/>
    <n v="0.5"/>
    <x v="2"/>
  </r>
  <r>
    <x v="0"/>
    <n v="1185732"/>
    <x v="302"/>
    <x v="3"/>
    <s v="Missouri"/>
    <s v="St. Louis"/>
    <x v="4"/>
    <n v="38"/>
    <n v="102"/>
    <n v="3876"/>
    <n v="1744.1999999999998"/>
    <n v="0.44999999999999996"/>
    <x v="2"/>
  </r>
  <r>
    <x v="0"/>
    <n v="1185732"/>
    <x v="302"/>
    <x v="3"/>
    <s v="Missouri"/>
    <s v="St. Louis"/>
    <x v="5"/>
    <n v="42"/>
    <n v="142"/>
    <n v="5964"/>
    <n v="3876.6"/>
    <n v="0.65"/>
    <x v="2"/>
  </r>
  <r>
    <x v="0"/>
    <n v="1185732"/>
    <x v="331"/>
    <x v="3"/>
    <s v="Missouri"/>
    <s v="St. Louis"/>
    <x v="0"/>
    <n v="36"/>
    <n v="203"/>
    <n v="7308"/>
    <n v="4019.4000000000005"/>
    <n v="0.55000000000000004"/>
    <x v="2"/>
  </r>
  <r>
    <x v="0"/>
    <n v="1185732"/>
    <x v="331"/>
    <x v="3"/>
    <s v="Missouri"/>
    <s v="St. Louis"/>
    <x v="1"/>
    <n v="33"/>
    <n v="130"/>
    <n v="4290"/>
    <n v="2016.3"/>
    <n v="0.47"/>
    <x v="2"/>
  </r>
  <r>
    <x v="0"/>
    <n v="1185732"/>
    <x v="331"/>
    <x v="3"/>
    <s v="Missouri"/>
    <s v="St. Louis"/>
    <x v="2"/>
    <n v="29"/>
    <n v="128"/>
    <n v="3712"/>
    <n v="1707.52"/>
    <n v="0.45999999999999996"/>
    <x v="2"/>
  </r>
  <r>
    <x v="0"/>
    <n v="1185732"/>
    <x v="331"/>
    <x v="3"/>
    <s v="Missouri"/>
    <s v="St. Louis"/>
    <x v="3"/>
    <n v="29"/>
    <n v="101"/>
    <n v="2929"/>
    <n v="1552.3700000000001"/>
    <n v="0.53"/>
    <x v="2"/>
  </r>
  <r>
    <x v="0"/>
    <n v="1185732"/>
    <x v="331"/>
    <x v="3"/>
    <s v="Missouri"/>
    <s v="St. Louis"/>
    <x v="4"/>
    <n v="37"/>
    <n v="94"/>
    <n v="3478"/>
    <n v="1704.22"/>
    <n v="0.49"/>
    <x v="2"/>
  </r>
  <r>
    <x v="0"/>
    <n v="1185732"/>
    <x v="331"/>
    <x v="3"/>
    <s v="Missouri"/>
    <s v="St. Louis"/>
    <x v="5"/>
    <n v="41"/>
    <n v="160"/>
    <n v="6560"/>
    <n v="4001.6"/>
    <n v="0.61"/>
    <x v="2"/>
  </r>
  <r>
    <x v="0"/>
    <n v="1185732"/>
    <x v="363"/>
    <x v="3"/>
    <s v="Missouri"/>
    <s v="St. Louis"/>
    <x v="0"/>
    <n v="38"/>
    <n v="203"/>
    <n v="7714"/>
    <n v="3857"/>
    <n v="0.5"/>
    <x v="2"/>
  </r>
  <r>
    <x v="0"/>
    <n v="1185732"/>
    <x v="363"/>
    <x v="3"/>
    <s v="Missouri"/>
    <s v="St. Louis"/>
    <x v="1"/>
    <n v="38"/>
    <n v="143"/>
    <n v="5434"/>
    <n v="2499.64"/>
    <n v="0.45999999999999996"/>
    <x v="2"/>
  </r>
  <r>
    <x v="0"/>
    <n v="1185732"/>
    <x v="363"/>
    <x v="3"/>
    <s v="Missouri"/>
    <s v="St. Louis"/>
    <x v="2"/>
    <n v="32"/>
    <n v="120"/>
    <n v="3840"/>
    <n v="1766.3999999999999"/>
    <n v="0.45999999999999996"/>
    <x v="2"/>
  </r>
  <r>
    <x v="0"/>
    <n v="1185732"/>
    <x v="363"/>
    <x v="3"/>
    <s v="Missouri"/>
    <s v="St. Louis"/>
    <x v="3"/>
    <n v="24"/>
    <n v="91"/>
    <n v="2184"/>
    <n v="1201.2"/>
    <n v="0.55000000000000004"/>
    <x v="2"/>
  </r>
  <r>
    <x v="0"/>
    <n v="1185732"/>
    <x v="363"/>
    <x v="3"/>
    <s v="Missouri"/>
    <s v="St. Louis"/>
    <x v="4"/>
    <n v="34"/>
    <n v="81"/>
    <n v="2754"/>
    <n v="1294.3799999999999"/>
    <n v="0.47"/>
    <x v="2"/>
  </r>
  <r>
    <x v="0"/>
    <n v="1185732"/>
    <x v="363"/>
    <x v="3"/>
    <s v="Missouri"/>
    <s v="St. Louis"/>
    <x v="5"/>
    <n v="36"/>
    <n v="128"/>
    <n v="4608"/>
    <n v="2995.2000000000003"/>
    <n v="0.65"/>
    <x v="2"/>
  </r>
  <r>
    <x v="0"/>
    <n v="1185732"/>
    <x v="395"/>
    <x v="3"/>
    <s v="Missouri"/>
    <s v="St. Louis"/>
    <x v="0"/>
    <n v="32"/>
    <n v="174"/>
    <n v="5568"/>
    <n v="2784"/>
    <n v="0.5"/>
    <x v="2"/>
  </r>
  <r>
    <x v="0"/>
    <n v="1185732"/>
    <x v="395"/>
    <x v="3"/>
    <s v="Missouri"/>
    <s v="St. Louis"/>
    <x v="1"/>
    <n v="28"/>
    <n v="100"/>
    <n v="2800"/>
    <n v="1316"/>
    <n v="0.47"/>
    <x v="2"/>
  </r>
  <r>
    <x v="0"/>
    <n v="1185732"/>
    <x v="395"/>
    <x v="3"/>
    <s v="Missouri"/>
    <s v="St. Louis"/>
    <x v="2"/>
    <n v="14"/>
    <n v="75"/>
    <n v="1050"/>
    <n v="514.5"/>
    <n v="0.49"/>
    <x v="2"/>
  </r>
  <r>
    <x v="0"/>
    <n v="1185732"/>
    <x v="395"/>
    <x v="3"/>
    <s v="Missouri"/>
    <s v="St. Louis"/>
    <x v="3"/>
    <n v="14"/>
    <n v="83"/>
    <n v="1162"/>
    <n v="615.86"/>
    <n v="0.53"/>
    <x v="2"/>
  </r>
  <r>
    <x v="0"/>
    <n v="1185732"/>
    <x v="395"/>
    <x v="3"/>
    <s v="Missouri"/>
    <s v="St. Louis"/>
    <x v="4"/>
    <n v="23"/>
    <n v="77"/>
    <n v="1771"/>
    <n v="832.37"/>
    <n v="0.47"/>
    <x v="2"/>
  </r>
  <r>
    <x v="0"/>
    <n v="1185732"/>
    <x v="395"/>
    <x v="3"/>
    <s v="Missouri"/>
    <s v="St. Louis"/>
    <x v="5"/>
    <n v="28"/>
    <n v="95"/>
    <n v="2660"/>
    <n v="1702.4"/>
    <n v="0.64"/>
    <x v="2"/>
  </r>
  <r>
    <x v="0"/>
    <n v="1185732"/>
    <x v="424"/>
    <x v="3"/>
    <s v="Missouri"/>
    <s v="St. Louis"/>
    <x v="0"/>
    <n v="34"/>
    <n v="131"/>
    <n v="4454"/>
    <n v="2271.54"/>
    <n v="0.51"/>
    <x v="2"/>
  </r>
  <r>
    <x v="0"/>
    <n v="1185732"/>
    <x v="424"/>
    <x v="3"/>
    <s v="Missouri"/>
    <s v="St. Louis"/>
    <x v="1"/>
    <n v="24"/>
    <n v="91"/>
    <n v="2184"/>
    <n v="1092"/>
    <n v="0.5"/>
    <x v="2"/>
  </r>
  <r>
    <x v="0"/>
    <n v="1185732"/>
    <x v="424"/>
    <x v="3"/>
    <s v="Missouri"/>
    <s v="St. Louis"/>
    <x v="2"/>
    <n v="23"/>
    <n v="73"/>
    <n v="1679"/>
    <n v="805.92"/>
    <n v="0.48"/>
    <x v="2"/>
  </r>
  <r>
    <x v="0"/>
    <n v="1185732"/>
    <x v="424"/>
    <x v="3"/>
    <s v="Missouri"/>
    <s v="St. Louis"/>
    <x v="3"/>
    <n v="23"/>
    <n v="59"/>
    <n v="1357"/>
    <n v="678.5"/>
    <n v="0.5"/>
    <x v="2"/>
  </r>
  <r>
    <x v="0"/>
    <n v="1185732"/>
    <x v="424"/>
    <x v="3"/>
    <s v="Missouri"/>
    <s v="St. Louis"/>
    <x v="4"/>
    <n v="32"/>
    <n v="68"/>
    <n v="2176"/>
    <n v="1022.7199999999999"/>
    <n v="0.47"/>
    <x v="2"/>
  </r>
  <r>
    <x v="0"/>
    <n v="1185732"/>
    <x v="424"/>
    <x v="3"/>
    <s v="Missouri"/>
    <s v="St. Louis"/>
    <x v="5"/>
    <n v="38"/>
    <n v="88"/>
    <n v="3344"/>
    <n v="2140.16"/>
    <n v="0.64"/>
    <x v="2"/>
  </r>
  <r>
    <x v="0"/>
    <n v="1185732"/>
    <x v="455"/>
    <x v="3"/>
    <s v="Missouri"/>
    <s v="St. Louis"/>
    <x v="0"/>
    <n v="34"/>
    <n v="150"/>
    <n v="5100"/>
    <n v="2601"/>
    <n v="0.51"/>
    <x v="2"/>
  </r>
  <r>
    <x v="0"/>
    <n v="1185732"/>
    <x v="455"/>
    <x v="3"/>
    <s v="Missouri"/>
    <s v="St. Louis"/>
    <x v="1"/>
    <n v="23"/>
    <n v="88"/>
    <n v="2024"/>
    <n v="910.8"/>
    <n v="0.44999999999999996"/>
    <x v="2"/>
  </r>
  <r>
    <x v="0"/>
    <n v="1185732"/>
    <x v="455"/>
    <x v="3"/>
    <s v="Missouri"/>
    <s v="St. Louis"/>
    <x v="2"/>
    <n v="23"/>
    <n v="80"/>
    <n v="1840"/>
    <n v="901.6"/>
    <n v="0.49"/>
    <x v="2"/>
  </r>
  <r>
    <x v="0"/>
    <n v="1185732"/>
    <x v="455"/>
    <x v="3"/>
    <s v="Missouri"/>
    <s v="St. Louis"/>
    <x v="3"/>
    <n v="23"/>
    <n v="88"/>
    <n v="2024"/>
    <n v="1052.48"/>
    <n v="0.52"/>
    <x v="2"/>
  </r>
  <r>
    <x v="0"/>
    <n v="1185732"/>
    <x v="455"/>
    <x v="3"/>
    <s v="Missouri"/>
    <s v="St. Louis"/>
    <x v="4"/>
    <n v="43"/>
    <n v="81"/>
    <n v="3483"/>
    <n v="1671.84"/>
    <n v="0.48"/>
    <x v="2"/>
  </r>
  <r>
    <x v="0"/>
    <n v="1185732"/>
    <x v="455"/>
    <x v="3"/>
    <s v="Missouri"/>
    <s v="St. Louis"/>
    <x v="5"/>
    <n v="48"/>
    <n v="108"/>
    <n v="5184"/>
    <n v="3265.92"/>
    <n v="0.63"/>
    <x v="2"/>
  </r>
  <r>
    <x v="0"/>
    <n v="1185732"/>
    <x v="484"/>
    <x v="3"/>
    <s v="Missouri"/>
    <s v="St. Louis"/>
    <x v="0"/>
    <n v="41"/>
    <n v="163"/>
    <n v="6683"/>
    <n v="3475.1600000000003"/>
    <n v="0.52"/>
    <x v="2"/>
  </r>
  <r>
    <x v="0"/>
    <n v="1185732"/>
    <x v="484"/>
    <x v="3"/>
    <s v="Missouri"/>
    <s v="St. Louis"/>
    <x v="1"/>
    <n v="32"/>
    <n v="113"/>
    <n v="3616"/>
    <n v="1735.6799999999998"/>
    <n v="0.48"/>
    <x v="2"/>
  </r>
  <r>
    <x v="3"/>
    <n v="1185732"/>
    <x v="484"/>
    <x v="3"/>
    <s v="Missouri"/>
    <s v="St. Louis"/>
    <x v="2"/>
    <n v="32"/>
    <n v="120"/>
    <n v="3840"/>
    <n v="1804.8"/>
    <n v="0.47"/>
    <x v="2"/>
  </r>
  <r>
    <x v="3"/>
    <n v="1185732"/>
    <x v="484"/>
    <x v="3"/>
    <s v="Missouri"/>
    <s v="St. Louis"/>
    <x v="3"/>
    <n v="34"/>
    <n v="88"/>
    <n v="2992"/>
    <n v="1555.8400000000001"/>
    <n v="0.52"/>
    <x v="2"/>
  </r>
  <r>
    <x v="3"/>
    <n v="1185732"/>
    <x v="484"/>
    <x v="3"/>
    <s v="Missouri"/>
    <s v="St. Louis"/>
    <x v="4"/>
    <n v="42"/>
    <n v="88"/>
    <n v="3696"/>
    <n v="1848"/>
    <n v="0.5"/>
    <x v="2"/>
  </r>
  <r>
    <x v="3"/>
    <n v="1185732"/>
    <x v="484"/>
    <x v="3"/>
    <s v="Missouri"/>
    <s v="St. Louis"/>
    <x v="5"/>
    <n v="47"/>
    <n v="126"/>
    <n v="5922"/>
    <n v="3612.42"/>
    <n v="0.61"/>
    <x v="2"/>
  </r>
  <r>
    <x v="3"/>
    <n v="1185732"/>
    <x v="175"/>
    <x v="3"/>
    <s v="Missouri"/>
    <s v="St. Louis"/>
    <x v="0"/>
    <n v="23"/>
    <n v="196"/>
    <n v="4508"/>
    <n v="2479.4"/>
    <n v="0.55000000000000004"/>
    <x v="2"/>
  </r>
  <r>
    <x v="3"/>
    <n v="1185732"/>
    <x v="175"/>
    <x v="3"/>
    <s v="Missouri"/>
    <s v="St. Louis"/>
    <x v="1"/>
    <n v="23"/>
    <n v="133"/>
    <n v="3059"/>
    <n v="1437.73"/>
    <n v="0.47"/>
    <x v="2"/>
  </r>
  <r>
    <x v="3"/>
    <n v="1185732"/>
    <x v="175"/>
    <x v="3"/>
    <s v="Missouri"/>
    <s v="St. Louis"/>
    <x v="2"/>
    <n v="14"/>
    <n v="143"/>
    <n v="2002"/>
    <n v="940.93999999999994"/>
    <n v="0.47"/>
    <x v="2"/>
  </r>
  <r>
    <x v="3"/>
    <n v="1185732"/>
    <x v="175"/>
    <x v="3"/>
    <s v="Missouri"/>
    <s v="St. Louis"/>
    <x v="3"/>
    <n v="18"/>
    <n v="88"/>
    <n v="1584"/>
    <n v="823.68000000000006"/>
    <n v="0.52"/>
    <x v="2"/>
  </r>
  <r>
    <x v="3"/>
    <n v="1185732"/>
    <x v="175"/>
    <x v="3"/>
    <s v="Missouri"/>
    <s v="St. Louis"/>
    <x v="4"/>
    <n v="33"/>
    <n v="98"/>
    <n v="3234"/>
    <n v="1519.98"/>
    <n v="0.47"/>
    <x v="2"/>
  </r>
  <r>
    <x v="3"/>
    <n v="1185732"/>
    <x v="175"/>
    <x v="3"/>
    <s v="Missouri"/>
    <s v="St. Louis"/>
    <x v="5"/>
    <n v="24"/>
    <n v="138"/>
    <n v="3312"/>
    <n v="2119.6799999999998"/>
    <n v="0.64"/>
    <x v="2"/>
  </r>
  <r>
    <x v="3"/>
    <n v="1185732"/>
    <x v="206"/>
    <x v="3"/>
    <s v="Missouri"/>
    <s v="St. Louis"/>
    <x v="0"/>
    <n v="25"/>
    <n v="218"/>
    <n v="5450"/>
    <n v="2888.5"/>
    <n v="0.53"/>
    <x v="2"/>
  </r>
  <r>
    <x v="3"/>
    <n v="1185732"/>
    <x v="206"/>
    <x v="3"/>
    <s v="Missouri"/>
    <s v="St. Louis"/>
    <x v="1"/>
    <n v="24"/>
    <n v="101"/>
    <n v="2424"/>
    <n v="1139.28"/>
    <n v="0.47"/>
    <x v="2"/>
  </r>
  <r>
    <x v="3"/>
    <n v="1185732"/>
    <x v="206"/>
    <x v="3"/>
    <s v="Missouri"/>
    <s v="St. Louis"/>
    <x v="2"/>
    <n v="14"/>
    <n v="115"/>
    <n v="1610"/>
    <n v="724.49999999999989"/>
    <n v="0.44999999999999996"/>
    <x v="2"/>
  </r>
  <r>
    <x v="3"/>
    <n v="1185732"/>
    <x v="206"/>
    <x v="2"/>
    <s v="Utah"/>
    <s v="Salt Lake City"/>
    <x v="3"/>
    <n v="19"/>
    <n v="87"/>
    <n v="1653"/>
    <n v="826.5"/>
    <n v="0.5"/>
    <x v="2"/>
  </r>
  <r>
    <x v="3"/>
    <n v="1185732"/>
    <x v="206"/>
    <x v="2"/>
    <s v="Utah"/>
    <s v="Salt Lake City"/>
    <x v="4"/>
    <n v="32"/>
    <n v="101"/>
    <n v="3232"/>
    <n v="1454.3999999999999"/>
    <n v="0.44999999999999996"/>
    <x v="2"/>
  </r>
  <r>
    <x v="3"/>
    <n v="1185732"/>
    <x v="206"/>
    <x v="2"/>
    <s v="Utah"/>
    <s v="Salt Lake City"/>
    <x v="5"/>
    <n v="24"/>
    <n v="131"/>
    <n v="3144"/>
    <n v="1949.28"/>
    <n v="0.62"/>
    <x v="2"/>
  </r>
  <r>
    <x v="3"/>
    <n v="1185732"/>
    <x v="215"/>
    <x v="2"/>
    <s v="Utah"/>
    <s v="Salt Lake City"/>
    <x v="0"/>
    <n v="29"/>
    <n v="168"/>
    <n v="4872"/>
    <n v="2533.44"/>
    <n v="0.52"/>
    <x v="2"/>
  </r>
  <r>
    <x v="3"/>
    <n v="1185732"/>
    <x v="215"/>
    <x v="2"/>
    <s v="Utah"/>
    <s v="Salt Lake City"/>
    <x v="1"/>
    <n v="28"/>
    <n v="102"/>
    <n v="2856"/>
    <n v="1428"/>
    <n v="0.5"/>
    <x v="2"/>
  </r>
  <r>
    <x v="3"/>
    <n v="1185732"/>
    <x v="215"/>
    <x v="2"/>
    <s v="Utah"/>
    <s v="Salt Lake City"/>
    <x v="2"/>
    <n v="18"/>
    <n v="112"/>
    <n v="2016"/>
    <n v="1008"/>
    <n v="0.5"/>
    <x v="2"/>
  </r>
  <r>
    <x v="3"/>
    <n v="1185732"/>
    <x v="215"/>
    <x v="2"/>
    <s v="Utah"/>
    <s v="Salt Lake City"/>
    <x v="3"/>
    <n v="23"/>
    <n v="73"/>
    <n v="1679"/>
    <n v="889.87"/>
    <n v="0.53"/>
    <x v="2"/>
  </r>
  <r>
    <x v="3"/>
    <n v="1185732"/>
    <x v="215"/>
    <x v="2"/>
    <s v="Utah"/>
    <s v="Salt Lake City"/>
    <x v="4"/>
    <n v="38"/>
    <n v="75"/>
    <n v="2850"/>
    <n v="1425"/>
    <n v="0.5"/>
    <x v="2"/>
  </r>
  <r>
    <x v="3"/>
    <n v="1185732"/>
    <x v="215"/>
    <x v="2"/>
    <s v="Utah"/>
    <s v="Salt Lake City"/>
    <x v="5"/>
    <n v="29"/>
    <n v="100"/>
    <n v="2900"/>
    <n v="1856"/>
    <n v="0.64"/>
    <x v="2"/>
  </r>
  <r>
    <x v="3"/>
    <n v="1185732"/>
    <x v="234"/>
    <x v="2"/>
    <s v="Utah"/>
    <s v="Salt Lake City"/>
    <x v="0"/>
    <n v="27"/>
    <n v="181"/>
    <n v="4887"/>
    <n v="2443.5"/>
    <n v="0.5"/>
    <x v="2"/>
  </r>
  <r>
    <x v="3"/>
    <n v="1185732"/>
    <x v="234"/>
    <x v="2"/>
    <s v="Utah"/>
    <s v="Salt Lake City"/>
    <x v="1"/>
    <n v="25"/>
    <n v="94"/>
    <n v="2350"/>
    <n v="1057.5"/>
    <n v="0.44999999999999996"/>
    <x v="2"/>
  </r>
  <r>
    <x v="3"/>
    <n v="1185732"/>
    <x v="234"/>
    <x v="2"/>
    <s v="Utah"/>
    <s v="Salt Lake City"/>
    <x v="2"/>
    <n v="14"/>
    <n v="98"/>
    <n v="1372"/>
    <n v="631.12"/>
    <n v="0.45999999999999996"/>
    <x v="2"/>
  </r>
  <r>
    <x v="3"/>
    <n v="1185732"/>
    <x v="234"/>
    <x v="2"/>
    <s v="Utah"/>
    <s v="Salt Lake City"/>
    <x v="3"/>
    <n v="18"/>
    <n v="70"/>
    <n v="1260"/>
    <n v="667.80000000000007"/>
    <n v="0.53"/>
    <x v="2"/>
  </r>
  <r>
    <x v="3"/>
    <n v="1185732"/>
    <x v="234"/>
    <x v="2"/>
    <s v="Utah"/>
    <s v="Salt Lake City"/>
    <x v="4"/>
    <n v="33"/>
    <n v="74"/>
    <n v="2442"/>
    <n v="1123.32"/>
    <n v="0.45999999999999996"/>
    <x v="2"/>
  </r>
  <r>
    <x v="3"/>
    <n v="1185732"/>
    <x v="234"/>
    <x v="2"/>
    <s v="Utah"/>
    <s v="Salt Lake City"/>
    <x v="5"/>
    <n v="24"/>
    <n v="112"/>
    <n v="2688"/>
    <n v="1612.8"/>
    <n v="0.6"/>
    <x v="2"/>
  </r>
  <r>
    <x v="3"/>
    <n v="1185732"/>
    <x v="265"/>
    <x v="2"/>
    <s v="Utah"/>
    <s v="Salt Lake City"/>
    <x v="0"/>
    <n v="32"/>
    <n v="174"/>
    <n v="5568"/>
    <n v="2839.68"/>
    <n v="0.51"/>
    <x v="2"/>
  </r>
  <r>
    <x v="3"/>
    <n v="1185732"/>
    <x v="265"/>
    <x v="2"/>
    <s v="Utah"/>
    <s v="Salt Lake City"/>
    <x v="1"/>
    <n v="29"/>
    <n v="101"/>
    <n v="2929"/>
    <n v="1435.21"/>
    <n v="0.49"/>
    <x v="2"/>
  </r>
  <r>
    <x v="3"/>
    <n v="1185732"/>
    <x v="265"/>
    <x v="2"/>
    <s v="Utah"/>
    <s v="Salt Lake City"/>
    <x v="2"/>
    <n v="25"/>
    <n v="98"/>
    <n v="2450"/>
    <n v="1225"/>
    <n v="0.5"/>
    <x v="2"/>
  </r>
  <r>
    <x v="3"/>
    <n v="1185732"/>
    <x v="265"/>
    <x v="2"/>
    <s v="Utah"/>
    <s v="Salt Lake City"/>
    <x v="3"/>
    <n v="23"/>
    <n v="72"/>
    <n v="1656"/>
    <n v="910.80000000000007"/>
    <n v="0.55000000000000004"/>
    <x v="2"/>
  </r>
  <r>
    <x v="3"/>
    <n v="1185732"/>
    <x v="265"/>
    <x v="2"/>
    <s v="Utah"/>
    <s v="Salt Lake City"/>
    <x v="4"/>
    <n v="39"/>
    <n v="75"/>
    <n v="2925"/>
    <n v="1462.5"/>
    <n v="0.5"/>
    <x v="2"/>
  </r>
  <r>
    <x v="3"/>
    <n v="1185732"/>
    <x v="265"/>
    <x v="2"/>
    <s v="Utah"/>
    <s v="Salt Lake City"/>
    <x v="5"/>
    <n v="44"/>
    <n v="120"/>
    <n v="5280"/>
    <n v="3432"/>
    <n v="0.65"/>
    <x v="2"/>
  </r>
  <r>
    <x v="3"/>
    <n v="1185732"/>
    <x v="295"/>
    <x v="2"/>
    <s v="Utah"/>
    <s v="Salt Lake City"/>
    <x v="0"/>
    <n v="28"/>
    <n v="182"/>
    <n v="5096"/>
    <n v="2598.96"/>
    <n v="0.51"/>
    <x v="2"/>
  </r>
  <r>
    <x v="3"/>
    <n v="1185732"/>
    <x v="295"/>
    <x v="2"/>
    <s v="Utah"/>
    <s v="Salt Lake City"/>
    <x v="1"/>
    <n v="24"/>
    <n v="112"/>
    <n v="2688"/>
    <n v="1317.12"/>
    <n v="0.49"/>
    <x v="2"/>
  </r>
  <r>
    <x v="3"/>
    <n v="1185732"/>
    <x v="295"/>
    <x v="2"/>
    <s v="Utah"/>
    <s v="Salt Lake City"/>
    <x v="2"/>
    <n v="19"/>
    <n v="115"/>
    <n v="2185"/>
    <n v="1070.6500000000001"/>
    <n v="0.49"/>
    <x v="2"/>
  </r>
  <r>
    <x v="3"/>
    <n v="1185732"/>
    <x v="295"/>
    <x v="2"/>
    <s v="Utah"/>
    <s v="Salt Lake City"/>
    <x v="3"/>
    <n v="19"/>
    <n v="108"/>
    <n v="2052"/>
    <n v="1046.52"/>
    <n v="0.51"/>
    <x v="2"/>
  </r>
  <r>
    <x v="3"/>
    <n v="1185732"/>
    <x v="295"/>
    <x v="2"/>
    <s v="Utah"/>
    <s v="Salt Lake City"/>
    <x v="4"/>
    <n v="34"/>
    <n v="108"/>
    <n v="3672"/>
    <n v="1652.3999999999999"/>
    <n v="0.44999999999999996"/>
    <x v="2"/>
  </r>
  <r>
    <x v="3"/>
    <n v="1185732"/>
    <x v="295"/>
    <x v="2"/>
    <s v="Utah"/>
    <s v="Salt Lake City"/>
    <x v="5"/>
    <n v="38"/>
    <n v="150"/>
    <n v="5700"/>
    <n v="3420"/>
    <n v="0.6"/>
    <x v="2"/>
  </r>
  <r>
    <x v="3"/>
    <n v="1185732"/>
    <x v="324"/>
    <x v="2"/>
    <s v="Utah"/>
    <s v="Salt Lake City"/>
    <x v="0"/>
    <n v="34"/>
    <n v="224"/>
    <n v="7616"/>
    <n v="3960.32"/>
    <n v="0.52"/>
    <x v="2"/>
  </r>
  <r>
    <x v="3"/>
    <n v="1185732"/>
    <x v="324"/>
    <x v="2"/>
    <s v="Utah"/>
    <s v="Salt Lake City"/>
    <x v="1"/>
    <n v="29"/>
    <n v="160"/>
    <n v="4640"/>
    <n v="2227.1999999999998"/>
    <n v="0.48"/>
    <x v="2"/>
  </r>
  <r>
    <x v="3"/>
    <n v="1185732"/>
    <x v="324"/>
    <x v="2"/>
    <s v="Utah"/>
    <s v="Salt Lake City"/>
    <x v="2"/>
    <n v="24"/>
    <n v="138"/>
    <n v="3312"/>
    <n v="1589.76"/>
    <n v="0.48"/>
    <x v="2"/>
  </r>
  <r>
    <x v="3"/>
    <n v="1185732"/>
    <x v="324"/>
    <x v="2"/>
    <s v="Utah"/>
    <s v="Salt Lake City"/>
    <x v="3"/>
    <n v="23"/>
    <n v="115"/>
    <n v="2645"/>
    <n v="1322.5"/>
    <n v="0.5"/>
    <x v="2"/>
  </r>
  <r>
    <x v="3"/>
    <n v="1185732"/>
    <x v="324"/>
    <x v="2"/>
    <s v="Utah"/>
    <s v="Salt Lake City"/>
    <x v="4"/>
    <n v="32"/>
    <n v="128"/>
    <n v="4096"/>
    <n v="1884.1599999999999"/>
    <n v="0.45999999999999996"/>
    <x v="2"/>
  </r>
  <r>
    <x v="3"/>
    <n v="1185732"/>
    <x v="324"/>
    <x v="2"/>
    <s v="Utah"/>
    <s v="Salt Lake City"/>
    <x v="5"/>
    <n v="38"/>
    <n v="150"/>
    <n v="5700"/>
    <n v="3705"/>
    <n v="0.65"/>
    <x v="2"/>
  </r>
  <r>
    <x v="3"/>
    <n v="1185732"/>
    <x v="356"/>
    <x v="2"/>
    <s v="Utah"/>
    <s v="Salt Lake City"/>
    <x v="0"/>
    <n v="33"/>
    <n v="203"/>
    <n v="6699"/>
    <n v="3349.5"/>
    <n v="0.5"/>
    <x v="2"/>
  </r>
  <r>
    <x v="3"/>
    <n v="1185732"/>
    <x v="356"/>
    <x v="2"/>
    <s v="Utah"/>
    <s v="Salt Lake City"/>
    <x v="1"/>
    <n v="34"/>
    <n v="131"/>
    <n v="4454"/>
    <n v="2093.3799999999997"/>
    <n v="0.47"/>
    <x v="2"/>
  </r>
  <r>
    <x v="3"/>
    <n v="1185732"/>
    <x v="356"/>
    <x v="2"/>
    <s v="Utah"/>
    <s v="Salt Lake City"/>
    <x v="2"/>
    <n v="29"/>
    <n v="113"/>
    <n v="3277"/>
    <n v="1605.73"/>
    <n v="0.49"/>
    <x v="2"/>
  </r>
  <r>
    <x v="3"/>
    <n v="1185732"/>
    <x v="356"/>
    <x v="2"/>
    <s v="Utah"/>
    <s v="Salt Lake City"/>
    <x v="3"/>
    <n v="19"/>
    <n v="101"/>
    <n v="1919"/>
    <n v="1017.07"/>
    <n v="0.53"/>
    <x v="2"/>
  </r>
  <r>
    <x v="3"/>
    <n v="1185732"/>
    <x v="356"/>
    <x v="2"/>
    <s v="Utah"/>
    <s v="Salt Lake City"/>
    <x v="4"/>
    <n v="29"/>
    <n v="105"/>
    <n v="3045"/>
    <n v="1400.6999999999998"/>
    <n v="0.45999999999999996"/>
    <x v="2"/>
  </r>
  <r>
    <x v="3"/>
    <n v="1185732"/>
    <x v="356"/>
    <x v="2"/>
    <s v="Utah"/>
    <s v="Salt Lake City"/>
    <x v="5"/>
    <n v="32"/>
    <n v="152"/>
    <n v="4864"/>
    <n v="2918.4"/>
    <n v="0.6"/>
    <x v="2"/>
  </r>
  <r>
    <x v="3"/>
    <n v="1185732"/>
    <x v="388"/>
    <x v="2"/>
    <s v="Utah"/>
    <s v="Salt Lake City"/>
    <x v="0"/>
    <n v="29"/>
    <n v="169"/>
    <n v="4901"/>
    <n v="2548.52"/>
    <n v="0.52"/>
    <x v="2"/>
  </r>
  <r>
    <x v="3"/>
    <n v="1185732"/>
    <x v="388"/>
    <x v="2"/>
    <s v="Utah"/>
    <s v="Salt Lake City"/>
    <x v="1"/>
    <n v="23"/>
    <n v="122"/>
    <n v="2806"/>
    <n v="1262.6999999999998"/>
    <n v="0.44999999999999996"/>
    <x v="2"/>
  </r>
  <r>
    <x v="3"/>
    <n v="1185732"/>
    <x v="388"/>
    <x v="2"/>
    <s v="Utah"/>
    <s v="Salt Lake City"/>
    <x v="2"/>
    <n v="9"/>
    <n v="91"/>
    <n v="819"/>
    <n v="409.5"/>
    <n v="0.5"/>
    <x v="2"/>
  </r>
  <r>
    <x v="3"/>
    <n v="1185732"/>
    <x v="388"/>
    <x v="2"/>
    <s v="Utah"/>
    <s v="Salt Lake City"/>
    <x v="3"/>
    <n v="10"/>
    <n v="88"/>
    <n v="880"/>
    <n v="448.8"/>
    <n v="0.51"/>
    <x v="2"/>
  </r>
  <r>
    <x v="3"/>
    <n v="1185732"/>
    <x v="388"/>
    <x v="2"/>
    <s v="Utah"/>
    <s v="Salt Lake City"/>
    <x v="4"/>
    <n v="19"/>
    <n v="88"/>
    <n v="1672"/>
    <n v="836"/>
    <n v="0.5"/>
    <x v="2"/>
  </r>
  <r>
    <x v="3"/>
    <n v="1185732"/>
    <x v="388"/>
    <x v="2"/>
    <s v="Utah"/>
    <s v="Salt Lake City"/>
    <x v="5"/>
    <n v="24"/>
    <n v="120"/>
    <n v="2880"/>
    <n v="1843.2"/>
    <n v="0.64"/>
    <x v="2"/>
  </r>
  <r>
    <x v="3"/>
    <n v="1185732"/>
    <x v="417"/>
    <x v="2"/>
    <s v="Utah"/>
    <s v="Salt Lake City"/>
    <x v="0"/>
    <n v="28"/>
    <n v="173"/>
    <n v="4844"/>
    <n v="2470.44"/>
    <n v="0.51"/>
    <x v="2"/>
  </r>
  <r>
    <x v="3"/>
    <n v="1185732"/>
    <x v="417"/>
    <x v="2"/>
    <s v="Utah"/>
    <s v="Salt Lake City"/>
    <x v="1"/>
    <n v="19"/>
    <n v="100"/>
    <n v="1900"/>
    <n v="950"/>
    <n v="0.5"/>
    <x v="2"/>
  </r>
  <r>
    <x v="3"/>
    <n v="1185732"/>
    <x v="417"/>
    <x v="2"/>
    <s v="Utah"/>
    <s v="Salt Lake City"/>
    <x v="2"/>
    <n v="19"/>
    <n v="87"/>
    <n v="1653"/>
    <n v="809.97"/>
    <n v="0.49"/>
    <x v="2"/>
  </r>
  <r>
    <x v="3"/>
    <n v="1185732"/>
    <x v="417"/>
    <x v="2"/>
    <s v="Utah"/>
    <s v="Salt Lake City"/>
    <x v="3"/>
    <n v="19"/>
    <n v="72"/>
    <n v="1368"/>
    <n v="752.40000000000009"/>
    <n v="0.55000000000000004"/>
    <x v="2"/>
  </r>
  <r>
    <x v="3"/>
    <n v="1185732"/>
    <x v="417"/>
    <x v="2"/>
    <s v="Utah"/>
    <s v="Salt Lake City"/>
    <x v="4"/>
    <n v="29"/>
    <n v="83"/>
    <n v="2407"/>
    <n v="1203.5"/>
    <n v="0.5"/>
    <x v="2"/>
  </r>
  <r>
    <x v="3"/>
    <n v="1185732"/>
    <x v="417"/>
    <x v="2"/>
    <s v="Utah"/>
    <s v="Salt Lake City"/>
    <x v="5"/>
    <n v="32"/>
    <n v="104"/>
    <n v="3328"/>
    <n v="2063.36"/>
    <n v="0.62"/>
    <x v="2"/>
  </r>
  <r>
    <x v="3"/>
    <n v="1185732"/>
    <x v="448"/>
    <x v="2"/>
    <s v="Utah"/>
    <s v="Salt Lake City"/>
    <x v="0"/>
    <n v="29"/>
    <n v="149"/>
    <n v="4321"/>
    <n v="2160.5"/>
    <n v="0.5"/>
    <x v="2"/>
  </r>
  <r>
    <x v="3"/>
    <n v="1185732"/>
    <x v="448"/>
    <x v="2"/>
    <s v="Utah"/>
    <s v="Salt Lake City"/>
    <x v="1"/>
    <n v="20"/>
    <n v="108"/>
    <n v="2160"/>
    <n v="993.59999999999991"/>
    <n v="0.45999999999999996"/>
    <x v="2"/>
  </r>
  <r>
    <x v="3"/>
    <n v="1185732"/>
    <x v="448"/>
    <x v="2"/>
    <s v="Utah"/>
    <s v="Salt Lake City"/>
    <x v="2"/>
    <n v="19"/>
    <n v="93"/>
    <n v="1767"/>
    <n v="848.16"/>
    <n v="0.48"/>
    <x v="2"/>
  </r>
  <r>
    <x v="3"/>
    <n v="1185732"/>
    <x v="448"/>
    <x v="2"/>
    <s v="Utah"/>
    <s v="Salt Lake City"/>
    <x v="3"/>
    <n v="19"/>
    <n v="113"/>
    <n v="2147"/>
    <n v="1094.97"/>
    <n v="0.51"/>
    <x v="2"/>
  </r>
  <r>
    <x v="3"/>
    <n v="1185732"/>
    <x v="448"/>
    <x v="2"/>
    <s v="Utah"/>
    <s v="Salt Lake City"/>
    <x v="4"/>
    <n v="39"/>
    <n v="91"/>
    <n v="3549"/>
    <n v="1739.01"/>
    <n v="0.49"/>
    <x v="2"/>
  </r>
  <r>
    <x v="3"/>
    <n v="1185732"/>
    <x v="448"/>
    <x v="2"/>
    <s v="Utah"/>
    <s v="Salt Lake City"/>
    <x v="5"/>
    <n v="43"/>
    <n v="113"/>
    <n v="4859"/>
    <n v="3158.35"/>
    <n v="0.65"/>
    <x v="2"/>
  </r>
  <r>
    <x v="3"/>
    <n v="1185732"/>
    <x v="477"/>
    <x v="2"/>
    <s v="Utah"/>
    <s v="Salt Lake City"/>
    <x v="0"/>
    <n v="39"/>
    <n v="203"/>
    <n v="7917"/>
    <n v="4354.3500000000004"/>
    <n v="0.55000000000000004"/>
    <x v="2"/>
  </r>
  <r>
    <x v="3"/>
    <n v="1185732"/>
    <x v="477"/>
    <x v="2"/>
    <s v="Utah"/>
    <s v="Salt Lake City"/>
    <x v="1"/>
    <n v="28"/>
    <n v="145"/>
    <n v="4060"/>
    <n v="1989.3999999999999"/>
    <n v="0.49"/>
    <x v="2"/>
  </r>
  <r>
    <x v="3"/>
    <n v="1185732"/>
    <x v="477"/>
    <x v="2"/>
    <s v="Utah"/>
    <s v="Salt Lake City"/>
    <x v="2"/>
    <n v="29"/>
    <n v="113"/>
    <n v="3277"/>
    <n v="1540.1899999999998"/>
    <n v="0.47"/>
    <x v="2"/>
  </r>
  <r>
    <x v="3"/>
    <n v="1185732"/>
    <x v="477"/>
    <x v="2"/>
    <s v="Utah"/>
    <s v="Salt Lake City"/>
    <x v="3"/>
    <n v="27"/>
    <n v="112"/>
    <n v="3024"/>
    <n v="1542.24"/>
    <n v="0.51"/>
    <x v="2"/>
  </r>
  <r>
    <x v="3"/>
    <n v="1185732"/>
    <x v="477"/>
    <x v="2"/>
    <s v="Utah"/>
    <s v="Salt Lake City"/>
    <x v="4"/>
    <n v="38"/>
    <n v="112"/>
    <n v="4256"/>
    <n v="2128"/>
    <n v="0.5"/>
    <x v="2"/>
  </r>
  <r>
    <x v="3"/>
    <n v="1185732"/>
    <x v="477"/>
    <x v="2"/>
    <s v="Utah"/>
    <s v="Salt Lake City"/>
    <x v="5"/>
    <n v="42"/>
    <n v="125"/>
    <n v="5250"/>
    <n v="3202.5"/>
    <n v="0.61"/>
    <x v="2"/>
  </r>
  <r>
    <x v="3"/>
    <n v="1128299"/>
    <x v="188"/>
    <x v="2"/>
    <s v="Utah"/>
    <s v="Salt Lake City"/>
    <x v="0"/>
    <n v="27"/>
    <n v="98"/>
    <n v="2646"/>
    <n v="1270.08"/>
    <n v="0.48"/>
    <x v="2"/>
  </r>
  <r>
    <x v="3"/>
    <n v="1128299"/>
    <x v="188"/>
    <x v="2"/>
    <s v="Utah"/>
    <s v="Salt Lake City"/>
    <x v="1"/>
    <n v="39"/>
    <n v="105"/>
    <n v="4095"/>
    <n v="2006.55"/>
    <n v="0.49"/>
    <x v="2"/>
  </r>
  <r>
    <x v="3"/>
    <n v="1128299"/>
    <x v="188"/>
    <x v="2"/>
    <s v="Utah"/>
    <s v="Salt Lake City"/>
    <x v="2"/>
    <n v="39"/>
    <n v="105"/>
    <n v="4095"/>
    <n v="1965.6"/>
    <n v="0.48"/>
    <x v="2"/>
  </r>
  <r>
    <x v="3"/>
    <n v="1128299"/>
    <x v="188"/>
    <x v="2"/>
    <s v="Utah"/>
    <s v="Salt Lake City"/>
    <x v="3"/>
    <n v="39"/>
    <n v="58"/>
    <n v="2262"/>
    <n v="1040.52"/>
    <n v="0.45999999999999996"/>
    <x v="2"/>
  </r>
  <r>
    <x v="3"/>
    <n v="1128299"/>
    <x v="188"/>
    <x v="2"/>
    <s v="Utah"/>
    <s v="Salt Lake City"/>
    <x v="4"/>
    <n v="42"/>
    <n v="44"/>
    <n v="1848"/>
    <n v="1016.4000000000001"/>
    <n v="0.55000000000000004"/>
    <x v="2"/>
  </r>
  <r>
    <x v="3"/>
    <n v="1128299"/>
    <x v="188"/>
    <x v="2"/>
    <s v="Utah"/>
    <s v="Salt Lake City"/>
    <x v="5"/>
    <n v="39"/>
    <n v="108"/>
    <n v="4212"/>
    <n v="1811.16"/>
    <n v="0.43"/>
    <x v="2"/>
  </r>
  <r>
    <x v="3"/>
    <n v="1128299"/>
    <x v="698"/>
    <x v="2"/>
    <s v="Utah"/>
    <s v="Salt Lake City"/>
    <x v="0"/>
    <n v="29"/>
    <n v="117"/>
    <n v="3393"/>
    <n v="1526.85"/>
    <n v="0.44999999999999996"/>
    <x v="2"/>
  </r>
  <r>
    <x v="3"/>
    <n v="1128299"/>
    <x v="698"/>
    <x v="2"/>
    <s v="Utah"/>
    <s v="Salt Lake City"/>
    <x v="1"/>
    <n v="39"/>
    <n v="91"/>
    <n v="3549"/>
    <n v="1703.52"/>
    <n v="0.48"/>
    <x v="2"/>
  </r>
  <r>
    <x v="3"/>
    <n v="1128299"/>
    <x v="698"/>
    <x v="2"/>
    <s v="Utah"/>
    <s v="Salt Lake City"/>
    <x v="2"/>
    <n v="36"/>
    <n v="88"/>
    <n v="3168"/>
    <n v="1425.6"/>
    <n v="0.44999999999999996"/>
    <x v="2"/>
  </r>
  <r>
    <x v="3"/>
    <n v="1128299"/>
    <x v="698"/>
    <x v="2"/>
    <s v="Oregon"/>
    <s v="Portland"/>
    <x v="3"/>
    <n v="39"/>
    <n v="58"/>
    <n v="2262"/>
    <n v="1085.76"/>
    <n v="0.48"/>
    <x v="2"/>
  </r>
  <r>
    <x v="3"/>
    <n v="1128299"/>
    <x v="698"/>
    <x v="2"/>
    <s v="Oregon"/>
    <s v="Portland"/>
    <x v="4"/>
    <n v="42"/>
    <n v="38"/>
    <n v="1596"/>
    <n v="829.92000000000007"/>
    <n v="0.52"/>
    <x v="2"/>
  </r>
  <r>
    <x v="3"/>
    <n v="1128299"/>
    <x v="698"/>
    <x v="2"/>
    <s v="Oregon"/>
    <s v="Portland"/>
    <x v="5"/>
    <n v="37"/>
    <n v="85"/>
    <n v="3145"/>
    <n v="1258"/>
    <n v="0.4"/>
    <x v="2"/>
  </r>
  <r>
    <x v="3"/>
    <n v="1128299"/>
    <x v="228"/>
    <x v="2"/>
    <s v="Oregon"/>
    <s v="Portland"/>
    <x v="0"/>
    <n v="38"/>
    <n v="128"/>
    <n v="4864"/>
    <n v="2383.36"/>
    <n v="0.49"/>
    <x v="2"/>
  </r>
  <r>
    <x v="3"/>
    <n v="1128299"/>
    <x v="228"/>
    <x v="2"/>
    <s v="Oregon"/>
    <s v="Portland"/>
    <x v="1"/>
    <n v="45"/>
    <n v="85"/>
    <n v="3825"/>
    <n v="1836"/>
    <n v="0.48"/>
    <x v="2"/>
  </r>
  <r>
    <x v="3"/>
    <n v="1128299"/>
    <x v="228"/>
    <x v="2"/>
    <s v="Oregon"/>
    <s v="Portland"/>
    <x v="2"/>
    <n v="54"/>
    <n v="88"/>
    <n v="4752"/>
    <n v="2138.3999999999996"/>
    <n v="0.44999999999999996"/>
    <x v="2"/>
  </r>
  <r>
    <x v="3"/>
    <n v="1128299"/>
    <x v="228"/>
    <x v="2"/>
    <s v="Oregon"/>
    <s v="Portland"/>
    <x v="3"/>
    <n v="49"/>
    <n v="65"/>
    <n v="3185"/>
    <n v="1528.8"/>
    <n v="0.48"/>
    <x v="2"/>
  </r>
  <r>
    <x v="3"/>
    <n v="1128299"/>
    <x v="228"/>
    <x v="2"/>
    <s v="Oregon"/>
    <s v="Portland"/>
    <x v="4"/>
    <n v="54"/>
    <n v="26"/>
    <n v="1404"/>
    <n v="744.12"/>
    <n v="0.53"/>
    <x v="2"/>
  </r>
  <r>
    <x v="3"/>
    <n v="1128299"/>
    <x v="228"/>
    <x v="2"/>
    <s v="Oregon"/>
    <s v="Portland"/>
    <x v="5"/>
    <n v="49"/>
    <n v="87"/>
    <n v="4263"/>
    <n v="1790.46"/>
    <n v="0.42"/>
    <x v="2"/>
  </r>
  <r>
    <x v="3"/>
    <n v="1128299"/>
    <x v="247"/>
    <x v="2"/>
    <s v="Oregon"/>
    <s v="Portland"/>
    <x v="0"/>
    <n v="51"/>
    <n v="124"/>
    <n v="6324"/>
    <n v="2909.04"/>
    <n v="0.45999999999999996"/>
    <x v="2"/>
  </r>
  <r>
    <x v="3"/>
    <n v="1128299"/>
    <x v="247"/>
    <x v="2"/>
    <s v="Oregon"/>
    <s v="Portland"/>
    <x v="1"/>
    <n v="54"/>
    <n v="83"/>
    <n v="4482"/>
    <n v="2196.1799999999998"/>
    <n v="0.49"/>
    <x v="2"/>
  </r>
  <r>
    <x v="3"/>
    <n v="1128299"/>
    <x v="247"/>
    <x v="2"/>
    <s v="Oregon"/>
    <s v="Portland"/>
    <x v="2"/>
    <n v="55"/>
    <n v="85"/>
    <n v="4675"/>
    <n v="2244"/>
    <n v="0.48"/>
    <x v="2"/>
  </r>
  <r>
    <x v="3"/>
    <n v="1128299"/>
    <x v="247"/>
    <x v="2"/>
    <s v="Oregon"/>
    <s v="Portland"/>
    <x v="3"/>
    <n v="41"/>
    <n v="63"/>
    <n v="2583"/>
    <n v="1291.5"/>
    <n v="0.5"/>
    <x v="2"/>
  </r>
  <r>
    <x v="3"/>
    <n v="1128299"/>
    <x v="247"/>
    <x v="2"/>
    <s v="Oregon"/>
    <s v="Portland"/>
    <x v="4"/>
    <n v="48"/>
    <n v="36"/>
    <n v="1728"/>
    <n v="864"/>
    <n v="0.5"/>
    <x v="2"/>
  </r>
  <r>
    <x v="3"/>
    <n v="1128299"/>
    <x v="247"/>
    <x v="2"/>
    <s v="Oregon"/>
    <s v="Portland"/>
    <x v="5"/>
    <n v="59"/>
    <n v="84"/>
    <n v="4956"/>
    <n v="2230.1999999999998"/>
    <n v="0.44999999999999996"/>
    <x v="2"/>
  </r>
  <r>
    <x v="3"/>
    <n v="1128299"/>
    <x v="278"/>
    <x v="2"/>
    <s v="Oregon"/>
    <s v="Portland"/>
    <x v="0"/>
    <n v="48"/>
    <n v="145"/>
    <n v="6960"/>
    <n v="3131.9999999999995"/>
    <n v="0.44999999999999996"/>
    <x v="2"/>
  </r>
  <r>
    <x v="3"/>
    <n v="1128299"/>
    <x v="278"/>
    <x v="2"/>
    <s v="Oregon"/>
    <s v="Portland"/>
    <x v="1"/>
    <n v="50"/>
    <n v="105"/>
    <n v="5250"/>
    <n v="2415"/>
    <n v="0.45999999999999996"/>
    <x v="2"/>
  </r>
  <r>
    <x v="3"/>
    <n v="1128299"/>
    <x v="278"/>
    <x v="2"/>
    <s v="Oregon"/>
    <s v="Portland"/>
    <x v="2"/>
    <n v="50"/>
    <n v="95"/>
    <n v="4750"/>
    <n v="2375"/>
    <n v="0.5"/>
    <x v="2"/>
  </r>
  <r>
    <x v="3"/>
    <n v="1128299"/>
    <x v="278"/>
    <x v="2"/>
    <s v="Oregon"/>
    <s v="Portland"/>
    <x v="3"/>
    <n v="49"/>
    <n v="83"/>
    <n v="4067"/>
    <n v="1952.1599999999999"/>
    <n v="0.48"/>
    <x v="2"/>
  </r>
  <r>
    <x v="3"/>
    <n v="1128299"/>
    <x v="278"/>
    <x v="2"/>
    <s v="Oregon"/>
    <s v="Portland"/>
    <x v="4"/>
    <n v="41"/>
    <n v="44"/>
    <n v="1804"/>
    <n v="992.2"/>
    <n v="0.55000000000000004"/>
    <x v="2"/>
  </r>
  <r>
    <x v="3"/>
    <n v="1128299"/>
    <x v="278"/>
    <x v="2"/>
    <s v="Oregon"/>
    <s v="Portland"/>
    <x v="5"/>
    <n v="54"/>
    <n v="158"/>
    <n v="8532"/>
    <n v="3839.3999999999996"/>
    <n v="0.44999999999999996"/>
    <x v="2"/>
  </r>
  <r>
    <x v="3"/>
    <n v="1128299"/>
    <x v="308"/>
    <x v="2"/>
    <s v="Oregon"/>
    <s v="Portland"/>
    <x v="0"/>
    <n v="51"/>
    <n v="225"/>
    <n v="11475"/>
    <n v="5622.75"/>
    <n v="0.49"/>
    <x v="2"/>
  </r>
  <r>
    <x v="3"/>
    <n v="1128299"/>
    <x v="308"/>
    <x v="2"/>
    <s v="Oregon"/>
    <s v="Portland"/>
    <x v="1"/>
    <n v="62"/>
    <n v="169"/>
    <n v="10478"/>
    <n v="5134.22"/>
    <n v="0.49"/>
    <x v="2"/>
  </r>
  <r>
    <x v="3"/>
    <n v="1128299"/>
    <x v="308"/>
    <x v="2"/>
    <s v="Oregon"/>
    <s v="Portland"/>
    <x v="2"/>
    <n v="78"/>
    <n v="189"/>
    <n v="14742"/>
    <n v="6781.32"/>
    <n v="0.45999999999999996"/>
    <x v="2"/>
  </r>
  <r>
    <x v="3"/>
    <n v="1128299"/>
    <x v="308"/>
    <x v="2"/>
    <s v="Oregon"/>
    <s v="Portland"/>
    <x v="3"/>
    <n v="74"/>
    <n v="158"/>
    <n v="11692"/>
    <n v="5846"/>
    <n v="0.5"/>
    <x v="2"/>
  </r>
  <r>
    <x v="3"/>
    <n v="1128299"/>
    <x v="308"/>
    <x v="2"/>
    <s v="Oregon"/>
    <s v="Portland"/>
    <x v="4"/>
    <n v="86"/>
    <n v="108"/>
    <n v="9288"/>
    <n v="4922.6400000000003"/>
    <n v="0.53"/>
    <x v="2"/>
  </r>
  <r>
    <x v="3"/>
    <n v="1128299"/>
    <x v="308"/>
    <x v="2"/>
    <s v="Oregon"/>
    <s v="Portland"/>
    <x v="5"/>
    <n v="95"/>
    <n v="189"/>
    <n v="17955"/>
    <n v="8079.7499999999991"/>
    <n v="0.44999999999999996"/>
    <x v="2"/>
  </r>
  <r>
    <x v="3"/>
    <n v="1128299"/>
    <x v="337"/>
    <x v="2"/>
    <s v="Oregon"/>
    <s v="Portland"/>
    <x v="0"/>
    <n v="79"/>
    <n v="255"/>
    <n v="20145"/>
    <n v="9669.6"/>
    <n v="0.48"/>
    <x v="2"/>
  </r>
  <r>
    <x v="3"/>
    <n v="1128299"/>
    <x v="337"/>
    <x v="2"/>
    <s v="Oregon"/>
    <s v="Portland"/>
    <x v="1"/>
    <n v="85"/>
    <n v="196"/>
    <n v="16660"/>
    <n v="7830.2"/>
    <n v="0.47"/>
    <x v="2"/>
  </r>
  <r>
    <x v="3"/>
    <n v="1128299"/>
    <x v="337"/>
    <x v="2"/>
    <s v="Oregon"/>
    <s v="Portland"/>
    <x v="2"/>
    <n v="86"/>
    <n v="163"/>
    <n v="14018"/>
    <n v="6588.46"/>
    <n v="0.47"/>
    <x v="2"/>
  </r>
  <r>
    <x v="3"/>
    <n v="1128299"/>
    <x v="337"/>
    <x v="2"/>
    <s v="Oregon"/>
    <s v="Portland"/>
    <x v="3"/>
    <n v="82"/>
    <n v="165"/>
    <n v="13530"/>
    <n v="6494.4"/>
    <n v="0.48"/>
    <x v="2"/>
  </r>
  <r>
    <x v="3"/>
    <n v="1128299"/>
    <x v="337"/>
    <x v="2"/>
    <s v="Oregon"/>
    <s v="Portland"/>
    <x v="4"/>
    <n v="84"/>
    <n v="156"/>
    <n v="13104"/>
    <n v="6552"/>
    <n v="0.5"/>
    <x v="2"/>
  </r>
  <r>
    <x v="3"/>
    <n v="1128299"/>
    <x v="337"/>
    <x v="2"/>
    <s v="Oregon"/>
    <s v="Portland"/>
    <x v="5"/>
    <n v="97"/>
    <n v="150"/>
    <n v="14550"/>
    <n v="6111"/>
    <n v="0.42"/>
    <x v="2"/>
  </r>
  <r>
    <x v="3"/>
    <n v="1128299"/>
    <x v="369"/>
    <x v="2"/>
    <s v="Oregon"/>
    <s v="Portland"/>
    <x v="0"/>
    <n v="81"/>
    <n v="200"/>
    <n v="16200"/>
    <n v="7776"/>
    <n v="0.48"/>
    <x v="2"/>
  </r>
  <r>
    <x v="3"/>
    <n v="1128299"/>
    <x v="369"/>
    <x v="2"/>
    <s v="Oregon"/>
    <s v="Portland"/>
    <x v="1"/>
    <n v="76"/>
    <n v="233"/>
    <n v="17708"/>
    <n v="8676.92"/>
    <n v="0.49"/>
    <x v="2"/>
  </r>
  <r>
    <x v="3"/>
    <n v="1128299"/>
    <x v="369"/>
    <x v="2"/>
    <s v="Oregon"/>
    <s v="Portland"/>
    <x v="2"/>
    <n v="68"/>
    <n v="195"/>
    <n v="13260"/>
    <n v="6497.4"/>
    <n v="0.49"/>
    <x v="2"/>
  </r>
  <r>
    <x v="3"/>
    <n v="1128299"/>
    <x v="369"/>
    <x v="2"/>
    <s v="Oregon"/>
    <s v="Portland"/>
    <x v="3"/>
    <n v="68"/>
    <n v="119"/>
    <n v="8092"/>
    <n v="3722.3199999999997"/>
    <n v="0.45999999999999996"/>
    <x v="2"/>
  </r>
  <r>
    <x v="3"/>
    <n v="1128299"/>
    <x v="369"/>
    <x v="2"/>
    <s v="Oregon"/>
    <s v="Portland"/>
    <x v="4"/>
    <n v="65"/>
    <n v="128"/>
    <n v="8320"/>
    <n v="4409.6000000000004"/>
    <n v="0.53"/>
    <x v="2"/>
  </r>
  <r>
    <x v="3"/>
    <n v="1128299"/>
    <x v="369"/>
    <x v="2"/>
    <s v="Oregon"/>
    <s v="Portland"/>
    <x v="5"/>
    <n v="69"/>
    <n v="73"/>
    <n v="5037"/>
    <n v="2216.2800000000002"/>
    <n v="0.44"/>
    <x v="2"/>
  </r>
  <r>
    <x v="3"/>
    <n v="1128299"/>
    <x v="401"/>
    <x v="2"/>
    <s v="Oregon"/>
    <s v="Portland"/>
    <x v="0"/>
    <n v="46"/>
    <n v="122"/>
    <n v="5612"/>
    <n v="2525.3999999999996"/>
    <n v="0.44999999999999996"/>
    <x v="2"/>
  </r>
  <r>
    <x v="3"/>
    <n v="1128299"/>
    <x v="401"/>
    <x v="2"/>
    <s v="Oregon"/>
    <s v="Portland"/>
    <x v="1"/>
    <n v="51"/>
    <n v="122"/>
    <n v="6222"/>
    <n v="2862.12"/>
    <n v="0.45999999999999996"/>
    <x v="2"/>
  </r>
  <r>
    <x v="3"/>
    <n v="1128299"/>
    <x v="401"/>
    <x v="2"/>
    <s v="Oregon"/>
    <s v="Portland"/>
    <x v="2"/>
    <n v="49"/>
    <n v="75"/>
    <n v="3675"/>
    <n v="1653.7499999999998"/>
    <n v="0.44999999999999996"/>
    <x v="2"/>
  </r>
  <r>
    <x v="3"/>
    <n v="1128299"/>
    <x v="401"/>
    <x v="2"/>
    <s v="Oregon"/>
    <s v="Portland"/>
    <x v="3"/>
    <n v="49"/>
    <n v="52"/>
    <n v="2548"/>
    <n v="1172.08"/>
    <n v="0.45999999999999996"/>
    <x v="2"/>
  </r>
  <r>
    <x v="3"/>
    <n v="1128299"/>
    <x v="401"/>
    <x v="2"/>
    <s v="Oregon"/>
    <s v="Portland"/>
    <x v="4"/>
    <n v="58"/>
    <n v="59"/>
    <n v="3422"/>
    <n v="1813.66"/>
    <n v="0.53"/>
    <x v="2"/>
  </r>
  <r>
    <x v="3"/>
    <n v="1128299"/>
    <x v="401"/>
    <x v="2"/>
    <s v="Oregon"/>
    <s v="Portland"/>
    <x v="5"/>
    <n v="41"/>
    <n v="73"/>
    <n v="2993"/>
    <n v="1257.06"/>
    <n v="0.42"/>
    <x v="2"/>
  </r>
  <r>
    <x v="3"/>
    <n v="1128299"/>
    <x v="430"/>
    <x v="2"/>
    <s v="Oregon"/>
    <s v="Portland"/>
    <x v="0"/>
    <n v="38"/>
    <n v="102"/>
    <n v="3876"/>
    <n v="1821.7199999999998"/>
    <n v="0.47"/>
    <x v="2"/>
  </r>
  <r>
    <x v="3"/>
    <n v="1128299"/>
    <x v="430"/>
    <x v="2"/>
    <s v="Oregon"/>
    <s v="Portland"/>
    <x v="1"/>
    <n v="50"/>
    <n v="142"/>
    <n v="7100"/>
    <n v="3265.9999999999995"/>
    <n v="0.45999999999999996"/>
    <x v="2"/>
  </r>
  <r>
    <x v="3"/>
    <n v="1128299"/>
    <x v="430"/>
    <x v="2"/>
    <s v="Oregon"/>
    <s v="Portland"/>
    <x v="2"/>
    <n v="46"/>
    <n v="91"/>
    <n v="4186"/>
    <n v="2051.14"/>
    <n v="0.49"/>
    <x v="2"/>
  </r>
  <r>
    <x v="3"/>
    <n v="1128299"/>
    <x v="430"/>
    <x v="2"/>
    <s v="Oregon"/>
    <s v="Portland"/>
    <x v="3"/>
    <n v="44"/>
    <n v="81"/>
    <n v="3564"/>
    <n v="1710.72"/>
    <n v="0.48"/>
    <x v="2"/>
  </r>
  <r>
    <x v="3"/>
    <n v="1128299"/>
    <x v="430"/>
    <x v="2"/>
    <s v="Oregon"/>
    <s v="Portland"/>
    <x v="4"/>
    <n v="51"/>
    <n v="75"/>
    <n v="3825"/>
    <n v="2065.5"/>
    <n v="0.54"/>
    <x v="2"/>
  </r>
  <r>
    <x v="3"/>
    <n v="1128299"/>
    <x v="430"/>
    <x v="2"/>
    <s v="Oregon"/>
    <s v="Portland"/>
    <x v="5"/>
    <n v="58"/>
    <n v="105"/>
    <n v="6090"/>
    <n v="2618.6999999999998"/>
    <n v="0.43"/>
    <x v="2"/>
  </r>
  <r>
    <x v="3"/>
    <n v="1128299"/>
    <x v="461"/>
    <x v="2"/>
    <s v="Oregon"/>
    <s v="Portland"/>
    <x v="0"/>
    <n v="44"/>
    <n v="173"/>
    <n v="7612"/>
    <n v="3501.5199999999995"/>
    <n v="0.45999999999999996"/>
    <x v="2"/>
  </r>
  <r>
    <x v="3"/>
    <n v="1128299"/>
    <x v="461"/>
    <x v="2"/>
    <s v="Oregon"/>
    <s v="Portland"/>
    <x v="1"/>
    <n v="48"/>
    <n v="195"/>
    <n v="9360"/>
    <n v="4680"/>
    <n v="0.5"/>
    <x v="2"/>
  </r>
  <r>
    <x v="3"/>
    <n v="1128299"/>
    <x v="461"/>
    <x v="2"/>
    <s v="Oregon"/>
    <s v="Portland"/>
    <x v="2"/>
    <n v="42"/>
    <n v="128"/>
    <n v="5376"/>
    <n v="2688"/>
    <n v="0.5"/>
    <x v="2"/>
  </r>
  <r>
    <x v="3"/>
    <n v="1128299"/>
    <x v="461"/>
    <x v="2"/>
    <s v="Oregon"/>
    <s v="Portland"/>
    <x v="3"/>
    <n v="51"/>
    <n v="131"/>
    <n v="6681"/>
    <n v="3073.2599999999998"/>
    <n v="0.45999999999999996"/>
    <x v="2"/>
  </r>
  <r>
    <x v="3"/>
    <n v="1128299"/>
    <x v="461"/>
    <x v="2"/>
    <s v="Oregon"/>
    <s v="Portland"/>
    <x v="4"/>
    <n v="68"/>
    <n v="111"/>
    <n v="7548"/>
    <n v="4075.92"/>
    <n v="0.54"/>
    <x v="2"/>
  </r>
  <r>
    <x v="3"/>
    <n v="1128299"/>
    <x v="461"/>
    <x v="2"/>
    <s v="Oregon"/>
    <s v="Portland"/>
    <x v="5"/>
    <n v="76"/>
    <n v="149"/>
    <n v="11324"/>
    <n v="4756.08"/>
    <n v="0.42"/>
    <x v="2"/>
  </r>
  <r>
    <x v="3"/>
    <n v="1128299"/>
    <x v="490"/>
    <x v="2"/>
    <s v="Oregon"/>
    <s v="Portland"/>
    <x v="0"/>
    <n v="61"/>
    <n v="188"/>
    <n v="11468"/>
    <n v="5504.6399999999994"/>
    <n v="0.48"/>
    <x v="2"/>
  </r>
  <r>
    <x v="3"/>
    <n v="1128299"/>
    <x v="490"/>
    <x v="2"/>
    <s v="Oregon"/>
    <s v="Portland"/>
    <x v="1"/>
    <n v="72"/>
    <n v="218"/>
    <n v="15696"/>
    <n v="7377.12"/>
    <n v="0.47"/>
    <x v="2"/>
  </r>
  <r>
    <x v="3"/>
    <n v="1128299"/>
    <x v="490"/>
    <x v="2"/>
    <s v="Oregon"/>
    <s v="Portland"/>
    <x v="2"/>
    <n v="67"/>
    <n v="165"/>
    <n v="11055"/>
    <n v="4974.7499999999991"/>
    <n v="0.44999999999999996"/>
    <x v="2"/>
  </r>
  <r>
    <x v="3"/>
    <n v="1128299"/>
    <x v="490"/>
    <x v="2"/>
    <s v="Oregon"/>
    <s v="Portland"/>
    <x v="3"/>
    <n v="67"/>
    <n v="143"/>
    <n v="9581"/>
    <n v="4311.45"/>
    <n v="0.44999999999999996"/>
    <x v="2"/>
  </r>
  <r>
    <x v="3"/>
    <n v="1128299"/>
    <x v="490"/>
    <x v="2"/>
    <s v="Oregon"/>
    <s v="Portland"/>
    <x v="4"/>
    <n v="72"/>
    <n v="133"/>
    <n v="9576"/>
    <n v="4788"/>
    <n v="0.5"/>
    <x v="2"/>
  </r>
  <r>
    <x v="3"/>
    <n v="1128299"/>
    <x v="490"/>
    <x v="2"/>
    <s v="Oregon"/>
    <s v="Portland"/>
    <x v="5"/>
    <n v="77"/>
    <n v="173"/>
    <n v="13321"/>
    <n v="5328.4000000000005"/>
    <n v="0.4"/>
    <x v="2"/>
  </r>
  <r>
    <x v="3"/>
    <n v="1128299"/>
    <x v="181"/>
    <x v="2"/>
    <s v="Oregon"/>
    <s v="Portland"/>
    <x v="0"/>
    <n v="33"/>
    <n v="100"/>
    <n v="3300"/>
    <n v="1683"/>
    <n v="0.51"/>
    <x v="2"/>
  </r>
  <r>
    <x v="3"/>
    <n v="1128299"/>
    <x v="181"/>
    <x v="2"/>
    <s v="Oregon"/>
    <s v="Portland"/>
    <x v="1"/>
    <n v="42"/>
    <n v="100"/>
    <n v="4200"/>
    <n v="2268"/>
    <n v="0.54"/>
    <x v="2"/>
  </r>
  <r>
    <x v="3"/>
    <n v="1128299"/>
    <x v="181"/>
    <x v="2"/>
    <s v="Oregon"/>
    <s v="Portland"/>
    <x v="2"/>
    <n v="43"/>
    <n v="112"/>
    <n v="4816"/>
    <n v="2600.6400000000003"/>
    <n v="0.54"/>
    <x v="2"/>
  </r>
  <r>
    <x v="3"/>
    <n v="1128299"/>
    <x v="181"/>
    <x v="2"/>
    <s v="Oregon"/>
    <s v="Portland"/>
    <x v="3"/>
    <n v="41"/>
    <n v="68"/>
    <n v="2788"/>
    <n v="1533.3999999999999"/>
    <n v="0.54999999999999993"/>
    <x v="2"/>
  </r>
  <r>
    <x v="3"/>
    <n v="1128299"/>
    <x v="181"/>
    <x v="2"/>
    <s v="Oregon"/>
    <s v="Portland"/>
    <x v="4"/>
    <n v="46"/>
    <n v="58"/>
    <n v="2668"/>
    <n v="1574.1200000000001"/>
    <n v="0.59000000000000008"/>
    <x v="2"/>
  </r>
  <r>
    <x v="3"/>
    <n v="1128299"/>
    <x v="181"/>
    <x v="2"/>
    <s v="Oregon"/>
    <s v="Portland"/>
    <x v="5"/>
    <n v="41"/>
    <n v="122"/>
    <n v="5002"/>
    <n v="2400.96"/>
    <n v="0.48"/>
    <x v="2"/>
  </r>
  <r>
    <x v="3"/>
    <n v="1128299"/>
    <x v="212"/>
    <x v="2"/>
    <s v="Oregon"/>
    <s v="Portland"/>
    <x v="0"/>
    <n v="33"/>
    <n v="140"/>
    <n v="4620"/>
    <n v="2448.6"/>
    <n v="0.53"/>
    <x v="2"/>
  </r>
  <r>
    <x v="3"/>
    <n v="1128299"/>
    <x v="212"/>
    <x v="2"/>
    <s v="Oregon"/>
    <s v="Portland"/>
    <x v="1"/>
    <n v="41"/>
    <n v="116"/>
    <n v="4756"/>
    <n v="2425.56"/>
    <n v="0.51"/>
    <x v="2"/>
  </r>
  <r>
    <x v="3"/>
    <n v="1128299"/>
    <x v="212"/>
    <x v="2"/>
    <s v="Oregon"/>
    <s v="Portland"/>
    <x v="2"/>
    <n v="41"/>
    <n v="120"/>
    <n v="4920"/>
    <n v="2558.4"/>
    <n v="0.52"/>
    <x v="2"/>
  </r>
  <r>
    <x v="3"/>
    <n v="1128299"/>
    <x v="212"/>
    <x v="1"/>
    <s v="Louisiana"/>
    <s v="New Orleans"/>
    <x v="3"/>
    <n v="44"/>
    <n v="73"/>
    <n v="3212"/>
    <n v="1766.5999999999997"/>
    <n v="0.54999999999999993"/>
    <x v="2"/>
  </r>
  <r>
    <x v="3"/>
    <n v="1128299"/>
    <x v="212"/>
    <x v="1"/>
    <s v="Louisiana"/>
    <s v="New Orleans"/>
    <x v="4"/>
    <n v="48"/>
    <n v="51"/>
    <n v="2448"/>
    <n v="1468.8"/>
    <n v="0.6"/>
    <x v="2"/>
  </r>
  <r>
    <x v="3"/>
    <n v="1128299"/>
    <x v="212"/>
    <x v="1"/>
    <s v="Louisiana"/>
    <s v="New Orleans"/>
    <x v="5"/>
    <n v="44"/>
    <n v="105"/>
    <n v="4620"/>
    <n v="2217.6"/>
    <n v="0.48"/>
    <x v="2"/>
  </r>
  <r>
    <x v="3"/>
    <n v="1128299"/>
    <x v="221"/>
    <x v="1"/>
    <s v="Louisiana"/>
    <s v="New Orleans"/>
    <x v="0"/>
    <n v="44"/>
    <n v="147"/>
    <n v="6468"/>
    <n v="3298.68"/>
    <n v="0.51"/>
    <x v="2"/>
  </r>
  <r>
    <x v="3"/>
    <n v="1128299"/>
    <x v="221"/>
    <x v="1"/>
    <s v="Louisiana"/>
    <s v="New Orleans"/>
    <x v="1"/>
    <n v="51"/>
    <n v="101"/>
    <n v="5151"/>
    <n v="2833.0499999999997"/>
    <n v="0.54999999999999993"/>
    <x v="2"/>
  </r>
  <r>
    <x v="3"/>
    <n v="1128299"/>
    <x v="221"/>
    <x v="1"/>
    <s v="Louisiana"/>
    <s v="New Orleans"/>
    <x v="2"/>
    <n v="56"/>
    <n v="116"/>
    <n v="6496"/>
    <n v="3572.7999999999997"/>
    <n v="0.54999999999999993"/>
    <x v="2"/>
  </r>
  <r>
    <x v="3"/>
    <n v="1128299"/>
    <x v="221"/>
    <x v="1"/>
    <s v="Louisiana"/>
    <s v="New Orleans"/>
    <x v="3"/>
    <n v="50"/>
    <n v="84"/>
    <n v="4200"/>
    <n v="2309.9999999999995"/>
    <n v="0.54999999999999993"/>
    <x v="2"/>
  </r>
  <r>
    <x v="3"/>
    <n v="1128299"/>
    <x v="221"/>
    <x v="1"/>
    <s v="Louisiana"/>
    <s v="New Orleans"/>
    <x v="4"/>
    <n v="56"/>
    <n v="39"/>
    <n v="2184"/>
    <n v="1310.3999999999999"/>
    <n v="0.6"/>
    <x v="2"/>
  </r>
  <r>
    <x v="3"/>
    <n v="1128299"/>
    <x v="221"/>
    <x v="1"/>
    <s v="Louisiana"/>
    <s v="New Orleans"/>
    <x v="5"/>
    <n v="41"/>
    <n v="95"/>
    <n v="3895"/>
    <n v="1752.7499999999998"/>
    <n v="0.44999999999999996"/>
    <x v="2"/>
  </r>
  <r>
    <x v="3"/>
    <n v="1128299"/>
    <x v="240"/>
    <x v="1"/>
    <s v="Louisiana"/>
    <s v="New Orleans"/>
    <x v="0"/>
    <n v="48"/>
    <n v="142"/>
    <n v="6816"/>
    <n v="3544.32"/>
    <n v="0.52"/>
    <x v="2"/>
  </r>
  <r>
    <x v="3"/>
    <n v="1128299"/>
    <x v="240"/>
    <x v="1"/>
    <s v="Louisiana"/>
    <s v="New Orleans"/>
    <x v="1"/>
    <n v="52"/>
    <n v="88"/>
    <n v="4576"/>
    <n v="2288"/>
    <n v="0.5"/>
    <x v="2"/>
  </r>
  <r>
    <x v="3"/>
    <n v="1128299"/>
    <x v="240"/>
    <x v="1"/>
    <s v="Louisiana"/>
    <s v="New Orleans"/>
    <x v="2"/>
    <n v="52"/>
    <n v="105"/>
    <n v="5460"/>
    <n v="2784.6"/>
    <n v="0.51"/>
    <x v="2"/>
  </r>
  <r>
    <x v="3"/>
    <n v="1128299"/>
    <x v="240"/>
    <x v="1"/>
    <s v="Louisiana"/>
    <s v="New Orleans"/>
    <x v="3"/>
    <n v="39"/>
    <n v="74"/>
    <n v="2886"/>
    <n v="1529.5800000000002"/>
    <n v="0.53"/>
    <x v="2"/>
  </r>
  <r>
    <x v="3"/>
    <n v="1128299"/>
    <x v="240"/>
    <x v="1"/>
    <s v="Louisiana"/>
    <s v="New Orleans"/>
    <x v="4"/>
    <n v="43"/>
    <n v="53"/>
    <n v="2279"/>
    <n v="1299.0300000000002"/>
    <n v="0.57000000000000006"/>
    <x v="2"/>
  </r>
  <r>
    <x v="3"/>
    <n v="1128299"/>
    <x v="240"/>
    <x v="1"/>
    <s v="Louisiana"/>
    <s v="New Orleans"/>
    <x v="5"/>
    <n v="55"/>
    <n v="105"/>
    <n v="5775"/>
    <n v="2887.5"/>
    <n v="0.5"/>
    <x v="2"/>
  </r>
  <r>
    <x v="3"/>
    <n v="1128299"/>
    <x v="271"/>
    <x v="1"/>
    <s v="Louisiana"/>
    <s v="New Orleans"/>
    <x v="0"/>
    <n v="43"/>
    <n v="160"/>
    <n v="6880"/>
    <n v="3646.4"/>
    <n v="0.53"/>
    <x v="2"/>
  </r>
  <r>
    <x v="3"/>
    <n v="1128299"/>
    <x v="271"/>
    <x v="1"/>
    <s v="Louisiana"/>
    <s v="New Orleans"/>
    <x v="1"/>
    <n v="47"/>
    <n v="100"/>
    <n v="4700"/>
    <n v="2444"/>
    <n v="0.52"/>
    <x v="2"/>
  </r>
  <r>
    <x v="3"/>
    <n v="1128299"/>
    <x v="271"/>
    <x v="1"/>
    <s v="Louisiana"/>
    <s v="New Orleans"/>
    <x v="2"/>
    <n v="49"/>
    <n v="112"/>
    <n v="5488"/>
    <n v="2798.88"/>
    <n v="0.51"/>
    <x v="2"/>
  </r>
  <r>
    <x v="3"/>
    <n v="1128299"/>
    <x v="271"/>
    <x v="1"/>
    <s v="Louisiana"/>
    <s v="New Orleans"/>
    <x v="3"/>
    <n v="44"/>
    <n v="85"/>
    <n v="3740"/>
    <n v="1907.4"/>
    <n v="0.51"/>
    <x v="2"/>
  </r>
  <r>
    <x v="3"/>
    <n v="1128299"/>
    <x v="271"/>
    <x v="1"/>
    <s v="Louisiana"/>
    <s v="New Orleans"/>
    <x v="4"/>
    <n v="36"/>
    <n v="65"/>
    <n v="2340"/>
    <n v="1380.6000000000001"/>
    <n v="0.59000000000000008"/>
    <x v="2"/>
  </r>
  <r>
    <x v="3"/>
    <n v="1128299"/>
    <x v="271"/>
    <x v="1"/>
    <s v="Louisiana"/>
    <s v="New Orleans"/>
    <x v="5"/>
    <n v="59"/>
    <n v="167"/>
    <n v="9853"/>
    <n v="4433.8499999999995"/>
    <n v="0.44999999999999996"/>
    <x v="2"/>
  </r>
  <r>
    <x v="3"/>
    <n v="1128299"/>
    <x v="301"/>
    <x v="1"/>
    <s v="Louisiana"/>
    <s v="New Orleans"/>
    <x v="0"/>
    <n v="58"/>
    <n v="248"/>
    <n v="14384"/>
    <n v="7335.84"/>
    <n v="0.51"/>
    <x v="2"/>
  </r>
  <r>
    <x v="3"/>
    <n v="1128299"/>
    <x v="301"/>
    <x v="1"/>
    <s v="Louisiana"/>
    <s v="New Orleans"/>
    <x v="1"/>
    <n v="65"/>
    <n v="210"/>
    <n v="13650"/>
    <n v="7098"/>
    <n v="0.52"/>
    <x v="2"/>
  </r>
  <r>
    <x v="3"/>
    <n v="1128299"/>
    <x v="301"/>
    <x v="1"/>
    <s v="Louisiana"/>
    <s v="New Orleans"/>
    <x v="2"/>
    <n v="83"/>
    <n v="203"/>
    <n v="16849"/>
    <n v="9266.9499999999989"/>
    <n v="0.54999999999999993"/>
    <x v="2"/>
  </r>
  <r>
    <x v="3"/>
    <n v="1128299"/>
    <x v="301"/>
    <x v="1"/>
    <s v="Louisiana"/>
    <s v="New Orleans"/>
    <x v="3"/>
    <n v="82"/>
    <n v="161"/>
    <n v="13202"/>
    <n v="7261.0999999999995"/>
    <n v="0.54999999999999993"/>
    <x v="2"/>
  </r>
  <r>
    <x v="3"/>
    <n v="1128299"/>
    <x v="301"/>
    <x v="1"/>
    <s v="Louisiana"/>
    <s v="New Orleans"/>
    <x v="4"/>
    <n v="92"/>
    <n v="117"/>
    <n v="10764"/>
    <n v="6135.4800000000005"/>
    <n v="0.57000000000000006"/>
    <x v="2"/>
  </r>
  <r>
    <x v="3"/>
    <n v="1128299"/>
    <x v="301"/>
    <x v="1"/>
    <s v="Louisiana"/>
    <s v="New Orleans"/>
    <x v="5"/>
    <n v="100"/>
    <n v="195"/>
    <n v="19500"/>
    <n v="9360"/>
    <n v="0.48"/>
    <x v="2"/>
  </r>
  <r>
    <x v="3"/>
    <n v="1128299"/>
    <x v="330"/>
    <x v="1"/>
    <s v="Louisiana"/>
    <s v="New Orleans"/>
    <x v="0"/>
    <n v="86"/>
    <n v="270"/>
    <n v="23220"/>
    <n v="12306.6"/>
    <n v="0.53"/>
    <x v="2"/>
  </r>
  <r>
    <x v="3"/>
    <n v="1128299"/>
    <x v="330"/>
    <x v="1"/>
    <s v="Louisiana"/>
    <s v="New Orleans"/>
    <x v="1"/>
    <n v="92"/>
    <n v="203"/>
    <n v="18676"/>
    <n v="10271.799999999999"/>
    <n v="0.54999999999999993"/>
    <x v="2"/>
  </r>
  <r>
    <x v="3"/>
    <n v="1128299"/>
    <x v="330"/>
    <x v="1"/>
    <s v="Louisiana"/>
    <s v="New Orleans"/>
    <x v="2"/>
    <n v="90"/>
    <n v="196"/>
    <n v="17640"/>
    <n v="9525.6"/>
    <n v="0.54"/>
    <x v="2"/>
  </r>
  <r>
    <x v="3"/>
    <n v="1128299"/>
    <x v="330"/>
    <x v="1"/>
    <s v="Louisiana"/>
    <s v="New Orleans"/>
    <x v="3"/>
    <n v="86"/>
    <n v="168"/>
    <n v="14448"/>
    <n v="7801.92"/>
    <n v="0.54"/>
    <x v="2"/>
  </r>
  <r>
    <x v="3"/>
    <n v="1128299"/>
    <x v="330"/>
    <x v="1"/>
    <s v="Louisiana"/>
    <s v="New Orleans"/>
    <x v="4"/>
    <n v="86"/>
    <n v="189"/>
    <n v="16254"/>
    <n v="9427.3200000000015"/>
    <n v="0.58000000000000007"/>
    <x v="2"/>
  </r>
  <r>
    <x v="3"/>
    <n v="1128299"/>
    <x v="330"/>
    <x v="1"/>
    <s v="Louisiana"/>
    <s v="New Orleans"/>
    <x v="5"/>
    <n v="103"/>
    <n v="163"/>
    <n v="16789"/>
    <n v="8058.7199999999993"/>
    <n v="0.48"/>
    <x v="2"/>
  </r>
  <r>
    <x v="3"/>
    <n v="1128299"/>
    <x v="362"/>
    <x v="1"/>
    <s v="Louisiana"/>
    <s v="New Orleans"/>
    <x v="0"/>
    <n v="86"/>
    <n v="255"/>
    <n v="21930"/>
    <n v="11184.300000000001"/>
    <n v="0.51"/>
    <x v="2"/>
  </r>
  <r>
    <x v="3"/>
    <n v="1128299"/>
    <x v="362"/>
    <x v="1"/>
    <s v="Louisiana"/>
    <s v="New Orleans"/>
    <x v="1"/>
    <n v="77"/>
    <n v="239"/>
    <n v="18403"/>
    <n v="9385.5300000000007"/>
    <n v="0.51"/>
    <x v="2"/>
  </r>
  <r>
    <x v="3"/>
    <n v="1128299"/>
    <x v="362"/>
    <x v="1"/>
    <s v="Louisiana"/>
    <s v="New Orleans"/>
    <x v="2"/>
    <n v="70"/>
    <n v="189"/>
    <n v="13230"/>
    <n v="7276.4999999999991"/>
    <n v="0.54999999999999993"/>
    <x v="2"/>
  </r>
  <r>
    <x v="3"/>
    <n v="1128299"/>
    <x v="362"/>
    <x v="1"/>
    <s v="Louisiana"/>
    <s v="New Orleans"/>
    <x v="3"/>
    <n v="74"/>
    <n v="128"/>
    <n v="9472"/>
    <n v="5020.16"/>
    <n v="0.53"/>
    <x v="2"/>
  </r>
  <r>
    <x v="3"/>
    <n v="1128299"/>
    <x v="362"/>
    <x v="1"/>
    <s v="Louisiana"/>
    <s v="New Orleans"/>
    <x v="4"/>
    <n v="64"/>
    <n v="138"/>
    <n v="8832"/>
    <n v="5210.880000000001"/>
    <n v="0.59000000000000008"/>
    <x v="2"/>
  </r>
  <r>
    <x v="3"/>
    <n v="1128299"/>
    <x v="362"/>
    <x v="1"/>
    <s v="Louisiana"/>
    <s v="New Orleans"/>
    <x v="5"/>
    <n v="63"/>
    <n v="90"/>
    <n v="5670"/>
    <n v="2778.2999999999997"/>
    <n v="0.49"/>
    <x v="2"/>
  </r>
  <r>
    <x v="3"/>
    <n v="1128299"/>
    <x v="394"/>
    <x v="1"/>
    <s v="Louisiana"/>
    <s v="New Orleans"/>
    <x v="0"/>
    <n v="43"/>
    <n v="145"/>
    <n v="6235"/>
    <n v="3429.2499999999995"/>
    <n v="0.54999999999999993"/>
    <x v="2"/>
  </r>
  <r>
    <x v="3"/>
    <n v="1128299"/>
    <x v="394"/>
    <x v="1"/>
    <s v="Louisiana"/>
    <s v="New Orleans"/>
    <x v="1"/>
    <n v="46"/>
    <n v="125"/>
    <n v="5750"/>
    <n v="2932.5"/>
    <n v="0.51"/>
    <x v="2"/>
  </r>
  <r>
    <x v="3"/>
    <n v="1128299"/>
    <x v="394"/>
    <x v="1"/>
    <s v="Louisiana"/>
    <s v="New Orleans"/>
    <x v="2"/>
    <n v="43"/>
    <n v="78"/>
    <n v="3354"/>
    <n v="1744.0800000000002"/>
    <n v="0.52"/>
    <x v="2"/>
  </r>
  <r>
    <x v="3"/>
    <n v="1128299"/>
    <x v="394"/>
    <x v="1"/>
    <s v="Louisiana"/>
    <s v="New Orleans"/>
    <x v="3"/>
    <n v="41"/>
    <n v="63"/>
    <n v="2583"/>
    <n v="1317.33"/>
    <n v="0.51"/>
    <x v="2"/>
  </r>
  <r>
    <x v="3"/>
    <n v="1128299"/>
    <x v="394"/>
    <x v="1"/>
    <s v="Louisiana"/>
    <s v="New Orleans"/>
    <x v="4"/>
    <n v="51"/>
    <n v="77"/>
    <n v="3927"/>
    <n v="2159.8500000000004"/>
    <n v="0.55000000000000004"/>
    <x v="2"/>
  </r>
  <r>
    <x v="3"/>
    <n v="1128299"/>
    <x v="394"/>
    <x v="1"/>
    <s v="Louisiana"/>
    <s v="New Orleans"/>
    <x v="5"/>
    <n v="39"/>
    <n v="75"/>
    <n v="2925"/>
    <n v="1462.5"/>
    <n v="0.5"/>
    <x v="2"/>
  </r>
  <r>
    <x v="3"/>
    <n v="1128299"/>
    <x v="423"/>
    <x v="1"/>
    <s v="Louisiana"/>
    <s v="New Orleans"/>
    <x v="0"/>
    <n v="34"/>
    <n v="112"/>
    <n v="3808"/>
    <n v="2056.3200000000002"/>
    <n v="0.54"/>
    <x v="2"/>
  </r>
  <r>
    <x v="3"/>
    <n v="1128299"/>
    <x v="423"/>
    <x v="1"/>
    <s v="Louisiana"/>
    <s v="New Orleans"/>
    <x v="1"/>
    <n v="45"/>
    <n v="155"/>
    <n v="6975"/>
    <n v="3836.2499999999995"/>
    <n v="0.54999999999999993"/>
    <x v="2"/>
  </r>
  <r>
    <x v="3"/>
    <n v="1128299"/>
    <x v="423"/>
    <x v="1"/>
    <s v="Louisiana"/>
    <s v="New Orleans"/>
    <x v="2"/>
    <n v="42"/>
    <n v="100"/>
    <n v="4200"/>
    <n v="2100"/>
    <n v="0.5"/>
    <x v="2"/>
  </r>
  <r>
    <x v="3"/>
    <n v="1128299"/>
    <x v="423"/>
    <x v="1"/>
    <s v="Louisiana"/>
    <s v="New Orleans"/>
    <x v="3"/>
    <n v="36"/>
    <n v="105"/>
    <n v="3780"/>
    <n v="1890"/>
    <n v="0.5"/>
    <x v="2"/>
  </r>
  <r>
    <x v="3"/>
    <n v="1128299"/>
    <x v="423"/>
    <x v="1"/>
    <s v="Louisiana"/>
    <s v="New Orleans"/>
    <x v="4"/>
    <n v="47"/>
    <n v="95"/>
    <n v="4465"/>
    <n v="2634.3500000000004"/>
    <n v="0.59000000000000008"/>
    <x v="2"/>
  </r>
  <r>
    <x v="3"/>
    <n v="1128299"/>
    <x v="423"/>
    <x v="1"/>
    <s v="Louisiana"/>
    <s v="New Orleans"/>
    <x v="5"/>
    <n v="50"/>
    <n v="108"/>
    <n v="5400"/>
    <n v="2538"/>
    <n v="0.47"/>
    <x v="2"/>
  </r>
  <r>
    <x v="3"/>
    <n v="1128299"/>
    <x v="454"/>
    <x v="1"/>
    <s v="Louisiana"/>
    <s v="New Orleans"/>
    <x v="0"/>
    <n v="39"/>
    <n v="188"/>
    <n v="7332"/>
    <n v="3666"/>
    <n v="0.5"/>
    <x v="2"/>
  </r>
  <r>
    <x v="3"/>
    <n v="1128299"/>
    <x v="454"/>
    <x v="1"/>
    <s v="Louisiana"/>
    <s v="New Orleans"/>
    <x v="1"/>
    <n v="42"/>
    <n v="210"/>
    <n v="8820"/>
    <n v="4586.4000000000005"/>
    <n v="0.52"/>
    <x v="2"/>
  </r>
  <r>
    <x v="3"/>
    <n v="1128299"/>
    <x v="454"/>
    <x v="1"/>
    <s v="Louisiana"/>
    <s v="New Orleans"/>
    <x v="2"/>
    <n v="38"/>
    <n v="137"/>
    <n v="5206"/>
    <n v="2707.12"/>
    <n v="0.52"/>
    <x v="2"/>
  </r>
  <r>
    <x v="3"/>
    <n v="1128299"/>
    <x v="454"/>
    <x v="1"/>
    <s v="Louisiana"/>
    <s v="New Orleans"/>
    <x v="3"/>
    <n v="48"/>
    <n v="125"/>
    <n v="6000"/>
    <n v="3000"/>
    <n v="0.5"/>
    <x v="2"/>
  </r>
  <r>
    <x v="3"/>
    <n v="1128299"/>
    <x v="454"/>
    <x v="1"/>
    <s v="Louisiana"/>
    <s v="New Orleans"/>
    <x v="4"/>
    <n v="68"/>
    <n v="119"/>
    <n v="8092"/>
    <n v="4450.6000000000004"/>
    <n v="0.55000000000000004"/>
    <x v="2"/>
  </r>
  <r>
    <x v="3"/>
    <n v="1128299"/>
    <x v="454"/>
    <x v="1"/>
    <s v="Louisiana"/>
    <s v="New Orleans"/>
    <x v="5"/>
    <n v="81"/>
    <n v="174"/>
    <n v="14094"/>
    <n v="6765.12"/>
    <n v="0.48"/>
    <x v="2"/>
  </r>
  <r>
    <x v="3"/>
    <n v="1128299"/>
    <x v="483"/>
    <x v="1"/>
    <s v="Louisiana"/>
    <s v="New Orleans"/>
    <x v="0"/>
    <n v="69"/>
    <n v="240"/>
    <n v="16560"/>
    <n v="8611.2000000000007"/>
    <n v="0.52"/>
    <x v="2"/>
  </r>
  <r>
    <x v="3"/>
    <n v="1128299"/>
    <x v="483"/>
    <x v="1"/>
    <s v="Louisiana"/>
    <s v="New Orleans"/>
    <x v="1"/>
    <n v="72"/>
    <n v="216"/>
    <n v="15552"/>
    <n v="7776"/>
    <n v="0.5"/>
    <x v="2"/>
  </r>
  <r>
    <x v="0"/>
    <n v="1128299"/>
    <x v="483"/>
    <x v="1"/>
    <s v="Louisiana"/>
    <s v="New Orleans"/>
    <x v="2"/>
    <n v="69"/>
    <n v="162"/>
    <n v="11178"/>
    <n v="5812.56"/>
    <n v="0.52"/>
    <x v="2"/>
  </r>
  <r>
    <x v="0"/>
    <n v="1128299"/>
    <x v="483"/>
    <x v="1"/>
    <s v="Louisiana"/>
    <s v="New Orleans"/>
    <x v="3"/>
    <n v="72"/>
    <n v="156"/>
    <n v="11232"/>
    <n v="6065.2800000000007"/>
    <n v="0.54"/>
    <x v="2"/>
  </r>
  <r>
    <x v="0"/>
    <n v="1128299"/>
    <x v="483"/>
    <x v="1"/>
    <s v="Louisiana"/>
    <s v="New Orleans"/>
    <x v="4"/>
    <n v="82"/>
    <n v="131"/>
    <n v="10742"/>
    <n v="6230.3600000000006"/>
    <n v="0.58000000000000007"/>
    <x v="2"/>
  </r>
  <r>
    <x v="0"/>
    <n v="1128299"/>
    <x v="483"/>
    <x v="1"/>
    <s v="Louisiana"/>
    <s v="New Orleans"/>
    <x v="5"/>
    <n v="87"/>
    <n v="175"/>
    <n v="15225"/>
    <n v="6851.2499999999991"/>
    <n v="0.44999999999999996"/>
    <x v="2"/>
  </r>
  <r>
    <x v="0"/>
    <n v="1197831"/>
    <x v="169"/>
    <x v="1"/>
    <s v="Louisiana"/>
    <s v="New Orleans"/>
    <x v="0"/>
    <n v="19"/>
    <n v="182"/>
    <n v="3458"/>
    <n v="1486.94"/>
    <n v="0.43"/>
    <x v="2"/>
  </r>
  <r>
    <x v="0"/>
    <n v="1197831"/>
    <x v="169"/>
    <x v="1"/>
    <s v="Louisiana"/>
    <s v="New Orleans"/>
    <x v="1"/>
    <n v="28"/>
    <n v="196"/>
    <n v="5488"/>
    <n v="2469.6"/>
    <n v="0.44999999999999996"/>
    <x v="2"/>
  </r>
  <r>
    <x v="0"/>
    <n v="1197831"/>
    <x v="169"/>
    <x v="1"/>
    <s v="Louisiana"/>
    <s v="New Orleans"/>
    <x v="2"/>
    <n v="28"/>
    <n v="119"/>
    <n v="3332"/>
    <n v="1332.8000000000002"/>
    <n v="0.4"/>
    <x v="2"/>
  </r>
  <r>
    <x v="0"/>
    <n v="1197831"/>
    <x v="169"/>
    <x v="1"/>
    <s v="Louisiana"/>
    <s v="New Orleans"/>
    <x v="3"/>
    <n v="33"/>
    <n v="133"/>
    <n v="4389"/>
    <n v="2326.17"/>
    <n v="0.53"/>
    <x v="2"/>
  </r>
  <r>
    <x v="0"/>
    <n v="1197831"/>
    <x v="169"/>
    <x v="1"/>
    <s v="Louisiana"/>
    <s v="New Orleans"/>
    <x v="4"/>
    <n v="36"/>
    <n v="85"/>
    <n v="3060"/>
    <n v="1132.2"/>
    <n v="0.37"/>
    <x v="2"/>
  </r>
  <r>
    <x v="3"/>
    <n v="1197831"/>
    <x v="169"/>
    <x v="1"/>
    <s v="Louisiana"/>
    <s v="New Orleans"/>
    <x v="5"/>
    <n v="34"/>
    <n v="143"/>
    <n v="4862"/>
    <n v="2917.2"/>
    <n v="0.6"/>
    <x v="2"/>
  </r>
  <r>
    <x v="0"/>
    <n v="1197831"/>
    <x v="199"/>
    <x v="1"/>
    <s v="Louisiana"/>
    <s v="New Orleans"/>
    <x v="0"/>
    <n v="23"/>
    <n v="163"/>
    <n v="3749"/>
    <n v="1499.6000000000001"/>
    <n v="0.4"/>
    <x v="2"/>
  </r>
  <r>
    <x v="0"/>
    <n v="1197831"/>
    <x v="199"/>
    <x v="1"/>
    <s v="Louisiana"/>
    <s v="New Orleans"/>
    <x v="1"/>
    <n v="32"/>
    <n v="174"/>
    <n v="5568"/>
    <n v="2338.56"/>
    <n v="0.42"/>
    <x v="2"/>
  </r>
  <r>
    <x v="0"/>
    <n v="1197831"/>
    <x v="199"/>
    <x v="1"/>
    <s v="Louisiana"/>
    <s v="New Orleans"/>
    <x v="2"/>
    <n v="34"/>
    <n v="128"/>
    <n v="4352"/>
    <n v="1784.32"/>
    <n v="0.41"/>
    <x v="2"/>
  </r>
  <r>
    <x v="0"/>
    <n v="1197831"/>
    <x v="199"/>
    <x v="2"/>
    <s v="Idaho"/>
    <s v="Boise"/>
    <x v="3"/>
    <n v="32"/>
    <n v="109"/>
    <n v="3488"/>
    <n v="1883.5200000000002"/>
    <n v="0.54"/>
    <x v="2"/>
  </r>
  <r>
    <x v="0"/>
    <n v="1197831"/>
    <x v="199"/>
    <x v="2"/>
    <s v="Idaho"/>
    <s v="Boise"/>
    <x v="4"/>
    <n v="39"/>
    <n v="70"/>
    <n v="2730"/>
    <n v="955.49999999999989"/>
    <n v="0.35"/>
    <x v="2"/>
  </r>
  <r>
    <x v="0"/>
    <n v="1197831"/>
    <x v="199"/>
    <x v="2"/>
    <s v="Idaho"/>
    <s v="Boise"/>
    <x v="5"/>
    <n v="34"/>
    <n v="131"/>
    <n v="4454"/>
    <n v="2449.7000000000003"/>
    <n v="0.55000000000000004"/>
    <x v="2"/>
  </r>
  <r>
    <x v="0"/>
    <n v="1197831"/>
    <x v="708"/>
    <x v="2"/>
    <s v="Idaho"/>
    <s v="Boise"/>
    <x v="0"/>
    <n v="28"/>
    <n v="156"/>
    <n v="4368"/>
    <n v="1965.6"/>
    <n v="0.44999999999999996"/>
    <x v="2"/>
  </r>
  <r>
    <x v="0"/>
    <n v="1197831"/>
    <x v="708"/>
    <x v="2"/>
    <s v="Idaho"/>
    <s v="Boise"/>
    <x v="1"/>
    <n v="36"/>
    <n v="169"/>
    <n v="6084"/>
    <n v="2798.64"/>
    <n v="0.45999999999999996"/>
    <x v="2"/>
  </r>
  <r>
    <x v="0"/>
    <n v="1197831"/>
    <x v="708"/>
    <x v="2"/>
    <s v="Idaho"/>
    <s v="Boise"/>
    <x v="2"/>
    <n v="28"/>
    <n v="113"/>
    <n v="3164"/>
    <n v="1550.36"/>
    <n v="0.49"/>
    <x v="2"/>
  </r>
  <r>
    <x v="0"/>
    <n v="1197831"/>
    <x v="708"/>
    <x v="2"/>
    <s v="Idaho"/>
    <s v="Boise"/>
    <x v="3"/>
    <n v="33"/>
    <n v="105"/>
    <n v="3465"/>
    <n v="2009.7000000000003"/>
    <n v="0.58000000000000007"/>
    <x v="2"/>
  </r>
  <r>
    <x v="3"/>
    <n v="1197831"/>
    <x v="708"/>
    <x v="2"/>
    <s v="Idaho"/>
    <s v="Boise"/>
    <x v="4"/>
    <n v="37"/>
    <n v="75"/>
    <n v="2775"/>
    <n v="1248.7499999999998"/>
    <n v="0.44999999999999996"/>
    <x v="2"/>
  </r>
  <r>
    <x v="3"/>
    <n v="1197831"/>
    <x v="708"/>
    <x v="2"/>
    <s v="Idaho"/>
    <s v="Boise"/>
    <x v="5"/>
    <n v="33"/>
    <n v="116"/>
    <n v="3828"/>
    <n v="2488.2000000000003"/>
    <n v="0.65"/>
    <x v="2"/>
  </r>
  <r>
    <x v="3"/>
    <n v="1197831"/>
    <x v="723"/>
    <x v="2"/>
    <s v="Idaho"/>
    <s v="Boise"/>
    <x v="0"/>
    <n v="19"/>
    <n v="195"/>
    <n v="3705"/>
    <n v="1741.35"/>
    <n v="0.47"/>
    <x v="2"/>
  </r>
  <r>
    <x v="3"/>
    <n v="1197831"/>
    <x v="723"/>
    <x v="2"/>
    <s v="Idaho"/>
    <s v="Boise"/>
    <x v="1"/>
    <n v="29"/>
    <n v="195"/>
    <n v="5655"/>
    <n v="2714.4"/>
    <n v="0.48"/>
    <x v="2"/>
  </r>
  <r>
    <x v="3"/>
    <n v="1197831"/>
    <x v="723"/>
    <x v="2"/>
    <s v="Idaho"/>
    <s v="Boise"/>
    <x v="2"/>
    <n v="24"/>
    <n v="138"/>
    <n v="3312"/>
    <n v="1556.6399999999999"/>
    <n v="0.47"/>
    <x v="2"/>
  </r>
  <r>
    <x v="3"/>
    <n v="1197831"/>
    <x v="723"/>
    <x v="2"/>
    <s v="Idaho"/>
    <s v="Boise"/>
    <x v="3"/>
    <n v="29"/>
    <n v="113"/>
    <n v="3277"/>
    <n v="1802.3500000000001"/>
    <n v="0.55000000000000004"/>
    <x v="2"/>
  </r>
  <r>
    <x v="3"/>
    <n v="1197831"/>
    <x v="723"/>
    <x v="2"/>
    <s v="Idaho"/>
    <s v="Boise"/>
    <x v="4"/>
    <n v="34"/>
    <n v="72"/>
    <n v="2448"/>
    <n v="1052.6399999999999"/>
    <n v="0.43"/>
    <x v="2"/>
  </r>
  <r>
    <x v="3"/>
    <n v="1197831"/>
    <x v="723"/>
    <x v="2"/>
    <s v="Idaho"/>
    <s v="Boise"/>
    <x v="5"/>
    <n v="28"/>
    <n v="138"/>
    <n v="3864"/>
    <n v="2357.04"/>
    <n v="0.61"/>
    <x v="2"/>
  </r>
  <r>
    <x v="3"/>
    <n v="1197831"/>
    <x v="258"/>
    <x v="2"/>
    <s v="Idaho"/>
    <s v="Boise"/>
    <x v="0"/>
    <n v="18"/>
    <n v="203"/>
    <n v="3654"/>
    <n v="1827"/>
    <n v="0.5"/>
    <x v="2"/>
  </r>
  <r>
    <x v="3"/>
    <n v="1197831"/>
    <x v="258"/>
    <x v="2"/>
    <s v="Idaho"/>
    <s v="Boise"/>
    <x v="1"/>
    <n v="28"/>
    <n v="196"/>
    <n v="5488"/>
    <n v="2634.24"/>
    <n v="0.48"/>
    <x v="2"/>
  </r>
  <r>
    <x v="3"/>
    <n v="1197831"/>
    <x v="258"/>
    <x v="2"/>
    <s v="Idaho"/>
    <s v="Boise"/>
    <x v="2"/>
    <n v="23"/>
    <n v="167"/>
    <n v="3841"/>
    <n v="1805.27"/>
    <n v="0.47"/>
    <x v="2"/>
  </r>
  <r>
    <x v="3"/>
    <n v="1197831"/>
    <x v="258"/>
    <x v="2"/>
    <s v="Idaho"/>
    <s v="Boise"/>
    <x v="3"/>
    <n v="33"/>
    <n v="130"/>
    <n v="4290"/>
    <n v="2359.5"/>
    <n v="0.55000000000000004"/>
    <x v="2"/>
  </r>
  <r>
    <x v="3"/>
    <n v="1197831"/>
    <x v="258"/>
    <x v="2"/>
    <s v="Idaho"/>
    <s v="Boise"/>
    <x v="4"/>
    <n v="47"/>
    <n v="120"/>
    <n v="5640"/>
    <n v="2256"/>
    <n v="0.4"/>
    <x v="2"/>
  </r>
  <r>
    <x v="3"/>
    <n v="1197831"/>
    <x v="258"/>
    <x v="2"/>
    <s v="Idaho"/>
    <s v="Boise"/>
    <x v="5"/>
    <n v="42"/>
    <n v="218"/>
    <n v="9156"/>
    <n v="5768.28"/>
    <n v="0.63"/>
    <x v="2"/>
  </r>
  <r>
    <x v="3"/>
    <n v="1197831"/>
    <x v="288"/>
    <x v="2"/>
    <s v="Idaho"/>
    <s v="Boise"/>
    <x v="0"/>
    <n v="42"/>
    <n v="195"/>
    <n v="8190"/>
    <n v="4013.1"/>
    <n v="0.49"/>
    <x v="2"/>
  </r>
  <r>
    <x v="3"/>
    <n v="1197831"/>
    <x v="288"/>
    <x v="2"/>
    <s v="Idaho"/>
    <s v="Boise"/>
    <x v="1"/>
    <n v="46"/>
    <n v="188"/>
    <n v="8648"/>
    <n v="4151.04"/>
    <n v="0.48"/>
    <x v="2"/>
  </r>
  <r>
    <x v="3"/>
    <n v="1197831"/>
    <x v="288"/>
    <x v="2"/>
    <s v="Idaho"/>
    <s v="Boise"/>
    <x v="2"/>
    <n v="47"/>
    <n v="174"/>
    <n v="8178"/>
    <n v="3925.44"/>
    <n v="0.48"/>
    <x v="2"/>
  </r>
  <r>
    <x v="3"/>
    <n v="1197831"/>
    <x v="288"/>
    <x v="2"/>
    <s v="Idaho"/>
    <s v="Boise"/>
    <x v="3"/>
    <n v="48"/>
    <n v="143"/>
    <n v="6864"/>
    <n v="4049.7600000000007"/>
    <n v="0.59000000000000008"/>
    <x v="2"/>
  </r>
  <r>
    <x v="3"/>
    <n v="1197831"/>
    <x v="288"/>
    <x v="2"/>
    <s v="Idaho"/>
    <s v="Boise"/>
    <x v="4"/>
    <n v="52"/>
    <n v="117"/>
    <n v="6084"/>
    <n v="2616.12"/>
    <n v="0.43"/>
    <x v="2"/>
  </r>
  <r>
    <x v="3"/>
    <n v="1197831"/>
    <x v="288"/>
    <x v="2"/>
    <s v="Idaho"/>
    <s v="Boise"/>
    <x v="5"/>
    <n v="55"/>
    <n v="231"/>
    <n v="12705"/>
    <n v="7750.05"/>
    <n v="0.61"/>
    <x v="2"/>
  </r>
  <r>
    <x v="3"/>
    <n v="1197831"/>
    <x v="320"/>
    <x v="2"/>
    <s v="Idaho"/>
    <s v="Boise"/>
    <x v="0"/>
    <n v="48"/>
    <n v="217"/>
    <n v="10416"/>
    <n v="5208"/>
    <n v="0.5"/>
    <x v="2"/>
  </r>
  <r>
    <x v="3"/>
    <n v="1197831"/>
    <x v="320"/>
    <x v="2"/>
    <s v="Idaho"/>
    <s v="Boise"/>
    <x v="1"/>
    <n v="52"/>
    <n v="202"/>
    <n v="10504"/>
    <n v="5462.08"/>
    <n v="0.52"/>
    <x v="2"/>
  </r>
  <r>
    <x v="3"/>
    <n v="1197831"/>
    <x v="320"/>
    <x v="2"/>
    <s v="Idaho"/>
    <s v="Boise"/>
    <x v="2"/>
    <n v="46"/>
    <n v="241"/>
    <n v="11086"/>
    <n v="6097.2999999999993"/>
    <n v="0.54999999999999993"/>
    <x v="2"/>
  </r>
  <r>
    <x v="3"/>
    <n v="1197831"/>
    <x v="320"/>
    <x v="2"/>
    <s v="Idaho"/>
    <s v="Boise"/>
    <x v="3"/>
    <n v="47"/>
    <n v="137"/>
    <n v="6439"/>
    <n v="4120.96"/>
    <n v="0.64"/>
    <x v="2"/>
  </r>
  <r>
    <x v="3"/>
    <n v="1197831"/>
    <x v="320"/>
    <x v="2"/>
    <s v="Idaho"/>
    <s v="Boise"/>
    <x v="4"/>
    <n v="53"/>
    <n v="131"/>
    <n v="6943"/>
    <n v="3332.64"/>
    <n v="0.48"/>
    <x v="2"/>
  </r>
  <r>
    <x v="0"/>
    <n v="1197831"/>
    <x v="320"/>
    <x v="2"/>
    <s v="Idaho"/>
    <s v="Boise"/>
    <x v="5"/>
    <n v="64"/>
    <n v="208"/>
    <n v="13312"/>
    <n v="9185.2800000000007"/>
    <n v="0.69000000000000006"/>
    <x v="2"/>
  </r>
  <r>
    <x v="0"/>
    <n v="1197831"/>
    <x v="353"/>
    <x v="2"/>
    <s v="Idaho"/>
    <s v="Boise"/>
    <x v="0"/>
    <n v="46"/>
    <n v="210"/>
    <n v="9660"/>
    <n v="5312.9999999999991"/>
    <n v="0.54999999999999993"/>
    <x v="2"/>
  </r>
  <r>
    <x v="0"/>
    <n v="1197831"/>
    <x v="353"/>
    <x v="2"/>
    <s v="Idaho"/>
    <s v="Boise"/>
    <x v="1"/>
    <n v="53"/>
    <n v="195"/>
    <n v="10335"/>
    <n v="5477.55"/>
    <n v="0.53"/>
    <x v="2"/>
  </r>
  <r>
    <x v="0"/>
    <n v="1197831"/>
    <x v="353"/>
    <x v="2"/>
    <s v="Idaho"/>
    <s v="Boise"/>
    <x v="2"/>
    <n v="46"/>
    <n v="250"/>
    <n v="11500"/>
    <n v="6095"/>
    <n v="0.53"/>
    <x v="2"/>
  </r>
  <r>
    <x v="0"/>
    <n v="1197831"/>
    <x v="353"/>
    <x v="2"/>
    <s v="Idaho"/>
    <s v="Boise"/>
    <x v="3"/>
    <n v="48"/>
    <n v="124"/>
    <n v="5952"/>
    <n v="3868.8"/>
    <n v="0.65"/>
    <x v="2"/>
  </r>
  <r>
    <x v="2"/>
    <n v="1197831"/>
    <x v="353"/>
    <x v="2"/>
    <s v="Idaho"/>
    <s v="Boise"/>
    <x v="4"/>
    <n v="52"/>
    <n v="133"/>
    <n v="6916"/>
    <n v="3181.3599999999997"/>
    <n v="0.45999999999999996"/>
    <x v="2"/>
  </r>
  <r>
    <x v="2"/>
    <n v="1197831"/>
    <x v="353"/>
    <x v="2"/>
    <s v="Idaho"/>
    <s v="Boise"/>
    <x v="5"/>
    <n v="54"/>
    <n v="196"/>
    <n v="10584"/>
    <n v="7197.1200000000008"/>
    <n v="0.68"/>
    <x v="2"/>
  </r>
  <r>
    <x v="2"/>
    <n v="1197831"/>
    <x v="381"/>
    <x v="2"/>
    <s v="Idaho"/>
    <s v="Boise"/>
    <x v="0"/>
    <n v="50"/>
    <n v="176"/>
    <n v="8800"/>
    <n v="4400"/>
    <n v="0.5"/>
    <x v="2"/>
  </r>
  <r>
    <x v="2"/>
    <n v="1197831"/>
    <x v="381"/>
    <x v="2"/>
    <s v="Idaho"/>
    <s v="Boise"/>
    <x v="1"/>
    <n v="50"/>
    <n v="188"/>
    <n v="9400"/>
    <n v="4888"/>
    <n v="0.52"/>
    <x v="2"/>
  </r>
  <r>
    <x v="2"/>
    <n v="1197831"/>
    <x v="381"/>
    <x v="2"/>
    <s v="Idaho"/>
    <s v="Boise"/>
    <x v="2"/>
    <n v="56"/>
    <n v="182"/>
    <n v="10192"/>
    <n v="5299.84"/>
    <n v="0.52"/>
    <x v="2"/>
  </r>
  <r>
    <x v="2"/>
    <n v="1197831"/>
    <x v="381"/>
    <x v="2"/>
    <s v="Idaho"/>
    <s v="Boise"/>
    <x v="3"/>
    <n v="55"/>
    <n v="116"/>
    <n v="6380"/>
    <n v="4019.4"/>
    <n v="0.63"/>
    <x v="2"/>
  </r>
  <r>
    <x v="2"/>
    <n v="1197831"/>
    <x v="381"/>
    <x v="2"/>
    <s v="Idaho"/>
    <s v="Boise"/>
    <x v="4"/>
    <n v="50"/>
    <n v="104"/>
    <n v="5200"/>
    <n v="2392"/>
    <n v="0.45999999999999996"/>
    <x v="2"/>
  </r>
  <r>
    <x v="2"/>
    <n v="1197831"/>
    <x v="381"/>
    <x v="2"/>
    <s v="Idaho"/>
    <s v="Boise"/>
    <x v="5"/>
    <n v="49"/>
    <n v="181"/>
    <n v="8869"/>
    <n v="5942.2300000000005"/>
    <n v="0.67"/>
    <x v="2"/>
  </r>
  <r>
    <x v="2"/>
    <n v="1197831"/>
    <x v="410"/>
    <x v="2"/>
    <s v="Idaho"/>
    <s v="Boise"/>
    <x v="0"/>
    <n v="36"/>
    <n v="167"/>
    <n v="6012"/>
    <n v="3066.12"/>
    <n v="0.51"/>
    <x v="2"/>
  </r>
  <r>
    <x v="2"/>
    <n v="1197831"/>
    <x v="410"/>
    <x v="2"/>
    <s v="Idaho"/>
    <s v="Boise"/>
    <x v="1"/>
    <n v="37"/>
    <n v="173"/>
    <n v="6401"/>
    <n v="3456.5400000000004"/>
    <n v="0.54"/>
    <x v="2"/>
  </r>
  <r>
    <x v="2"/>
    <n v="1197831"/>
    <x v="410"/>
    <x v="2"/>
    <s v="Idaho"/>
    <s v="Boise"/>
    <x v="2"/>
    <n v="41"/>
    <n v="131"/>
    <n v="5371"/>
    <n v="2739.21"/>
    <n v="0.51"/>
    <x v="2"/>
  </r>
  <r>
    <x v="2"/>
    <n v="1197831"/>
    <x v="410"/>
    <x v="2"/>
    <s v="Idaho"/>
    <s v="Boise"/>
    <x v="3"/>
    <n v="44"/>
    <n v="101"/>
    <n v="4444"/>
    <n v="2888.6"/>
    <n v="0.65"/>
    <x v="2"/>
  </r>
  <r>
    <x v="2"/>
    <n v="1197831"/>
    <x v="410"/>
    <x v="2"/>
    <s v="Idaho"/>
    <s v="Boise"/>
    <x v="4"/>
    <n v="32"/>
    <n v="91"/>
    <n v="2912"/>
    <n v="1397.76"/>
    <n v="0.48"/>
    <x v="2"/>
  </r>
  <r>
    <x v="2"/>
    <n v="1197831"/>
    <x v="410"/>
    <x v="2"/>
    <s v="Idaho"/>
    <s v="Boise"/>
    <x v="5"/>
    <n v="42"/>
    <n v="142"/>
    <n v="5964"/>
    <n v="3936.2400000000002"/>
    <n v="0.66"/>
    <x v="2"/>
  </r>
  <r>
    <x v="2"/>
    <n v="1197831"/>
    <x v="442"/>
    <x v="2"/>
    <s v="Idaho"/>
    <s v="Boise"/>
    <x v="0"/>
    <n v="33"/>
    <n v="182"/>
    <n v="6006"/>
    <n v="3303.2999999999997"/>
    <n v="0.54999999999999993"/>
    <x v="2"/>
  </r>
  <r>
    <x v="2"/>
    <n v="1197831"/>
    <x v="442"/>
    <x v="2"/>
    <s v="Idaho"/>
    <s v="Boise"/>
    <x v="1"/>
    <n v="32"/>
    <n v="189"/>
    <n v="6048"/>
    <n v="3144.96"/>
    <n v="0.52"/>
    <x v="2"/>
  </r>
  <r>
    <x v="2"/>
    <n v="1197831"/>
    <x v="442"/>
    <x v="2"/>
    <s v="Idaho"/>
    <s v="Boise"/>
    <x v="2"/>
    <n v="58"/>
    <n v="150"/>
    <n v="8700"/>
    <n v="4698"/>
    <n v="0.54"/>
    <x v="2"/>
  </r>
  <r>
    <x v="2"/>
    <n v="1197831"/>
    <x v="442"/>
    <x v="2"/>
    <s v="Idaho"/>
    <s v="Boise"/>
    <x v="3"/>
    <n v="54"/>
    <n v="122"/>
    <n v="6588"/>
    <n v="4018.68"/>
    <n v="0.61"/>
    <x v="2"/>
  </r>
  <r>
    <x v="2"/>
    <n v="1197831"/>
    <x v="442"/>
    <x v="2"/>
    <s v="Idaho"/>
    <s v="Boise"/>
    <x v="4"/>
    <n v="54"/>
    <n v="106"/>
    <n v="5724"/>
    <n v="2862"/>
    <n v="0.5"/>
    <x v="2"/>
  </r>
  <r>
    <x v="2"/>
    <n v="1197831"/>
    <x v="442"/>
    <x v="2"/>
    <s v="Idaho"/>
    <s v="Boise"/>
    <x v="5"/>
    <n v="63"/>
    <n v="163"/>
    <n v="10269"/>
    <n v="6880.2300000000005"/>
    <n v="0.67"/>
    <x v="2"/>
  </r>
  <r>
    <x v="0"/>
    <n v="1197831"/>
    <x v="471"/>
    <x v="2"/>
    <s v="Idaho"/>
    <s v="Boise"/>
    <x v="0"/>
    <n v="54"/>
    <n v="233"/>
    <n v="12582"/>
    <n v="6794.2800000000007"/>
    <n v="0.54"/>
    <x v="2"/>
  </r>
  <r>
    <x v="0"/>
    <n v="1197831"/>
    <x v="471"/>
    <x v="2"/>
    <s v="Idaho"/>
    <s v="Boise"/>
    <x v="1"/>
    <n v="51"/>
    <n v="209"/>
    <n v="10659"/>
    <n v="5755.8600000000006"/>
    <n v="0.54"/>
    <x v="2"/>
  </r>
  <r>
    <x v="0"/>
    <n v="1197831"/>
    <x v="471"/>
    <x v="2"/>
    <s v="Idaho"/>
    <s v="Boise"/>
    <x v="2"/>
    <n v="56"/>
    <n v="176"/>
    <n v="9856"/>
    <n v="5125.12"/>
    <n v="0.52"/>
    <x v="2"/>
  </r>
  <r>
    <x v="0"/>
    <n v="1197831"/>
    <x v="471"/>
    <x v="2"/>
    <s v="Idaho"/>
    <s v="Boise"/>
    <x v="3"/>
    <n v="59"/>
    <n v="142"/>
    <n v="8378"/>
    <n v="5445.7"/>
    <n v="0.65"/>
    <x v="2"/>
  </r>
  <r>
    <x v="0"/>
    <n v="1197831"/>
    <x v="471"/>
    <x v="2"/>
    <s v="Idaho"/>
    <s v="Boise"/>
    <x v="4"/>
    <n v="50"/>
    <n v="133"/>
    <n v="6650"/>
    <n v="3258.5"/>
    <n v="0.49"/>
    <x v="2"/>
  </r>
  <r>
    <x v="0"/>
    <n v="1197831"/>
    <x v="471"/>
    <x v="2"/>
    <s v="Idaho"/>
    <s v="Boise"/>
    <x v="5"/>
    <n v="60"/>
    <n v="196"/>
    <n v="11760"/>
    <n v="8114.4000000000005"/>
    <n v="0.69000000000000006"/>
    <x v="2"/>
  </r>
  <r>
    <x v="0"/>
    <n v="1128299"/>
    <x v="187"/>
    <x v="2"/>
    <s v="Idaho"/>
    <s v="Boise"/>
    <x v="0"/>
    <n v="29"/>
    <n v="119"/>
    <n v="3451"/>
    <n v="1656.48"/>
    <n v="0.48"/>
    <x v="2"/>
  </r>
  <r>
    <x v="0"/>
    <n v="1128299"/>
    <x v="187"/>
    <x v="2"/>
    <s v="Idaho"/>
    <s v="Boise"/>
    <x v="1"/>
    <n v="37"/>
    <n v="106"/>
    <n v="3922"/>
    <n v="2000.22"/>
    <n v="0.51"/>
    <x v="2"/>
  </r>
  <r>
    <x v="0"/>
    <n v="1128299"/>
    <x v="187"/>
    <x v="2"/>
    <s v="Idaho"/>
    <s v="Boise"/>
    <x v="2"/>
    <n v="37"/>
    <n v="106"/>
    <n v="3922"/>
    <n v="1921.78"/>
    <n v="0.49"/>
    <x v="2"/>
  </r>
  <r>
    <x v="0"/>
    <n v="1128299"/>
    <x v="187"/>
    <x v="2"/>
    <s v="Idaho"/>
    <s v="Boise"/>
    <x v="3"/>
    <n v="38"/>
    <n v="77"/>
    <n v="2926"/>
    <n v="1345.9599999999998"/>
    <n v="0.45999999999999996"/>
    <x v="2"/>
  </r>
  <r>
    <x v="0"/>
    <n v="1128299"/>
    <x v="187"/>
    <x v="2"/>
    <s v="Idaho"/>
    <s v="Boise"/>
    <x v="4"/>
    <n v="42"/>
    <n v="63"/>
    <n v="2646"/>
    <n v="1190.6999999999998"/>
    <n v="0.44999999999999996"/>
    <x v="2"/>
  </r>
  <r>
    <x v="0"/>
    <n v="1128299"/>
    <x v="187"/>
    <x v="2"/>
    <s v="Idaho"/>
    <s v="Boise"/>
    <x v="5"/>
    <n v="36"/>
    <n v="111"/>
    <n v="3996"/>
    <n v="1398.6"/>
    <n v="0.35"/>
    <x v="2"/>
  </r>
  <r>
    <x v="0"/>
    <n v="1128299"/>
    <x v="697"/>
    <x v="2"/>
    <s v="Idaho"/>
    <s v="Boise"/>
    <x v="0"/>
    <n v="29"/>
    <n v="143"/>
    <n v="4147"/>
    <n v="2073.5"/>
    <n v="0.5"/>
    <x v="2"/>
  </r>
  <r>
    <x v="0"/>
    <n v="1128299"/>
    <x v="697"/>
    <x v="2"/>
    <s v="Idaho"/>
    <s v="Boise"/>
    <x v="1"/>
    <n v="38"/>
    <n v="113"/>
    <n v="4294"/>
    <n v="2318.7600000000002"/>
    <n v="0.54"/>
    <x v="2"/>
  </r>
  <r>
    <x v="0"/>
    <n v="1128299"/>
    <x v="697"/>
    <x v="2"/>
    <s v="Idaho"/>
    <s v="Boise"/>
    <x v="2"/>
    <n v="38"/>
    <n v="105"/>
    <n v="3990"/>
    <n v="1875.3"/>
    <n v="0.47"/>
    <x v="2"/>
  </r>
  <r>
    <x v="0"/>
    <n v="1128299"/>
    <x v="697"/>
    <x v="2"/>
    <s v="Arizona"/>
    <s v="Phoenix"/>
    <x v="3"/>
    <n v="38"/>
    <n v="63"/>
    <n v="2394"/>
    <n v="1149.1199999999999"/>
    <n v="0.48"/>
    <x v="2"/>
  </r>
  <r>
    <x v="0"/>
    <n v="1128299"/>
    <x v="697"/>
    <x v="2"/>
    <s v="Arizona"/>
    <s v="Phoenix"/>
    <x v="4"/>
    <n v="42"/>
    <n v="44"/>
    <n v="1848"/>
    <n v="813.12"/>
    <n v="0.44"/>
    <x v="2"/>
  </r>
  <r>
    <x v="0"/>
    <n v="1128299"/>
    <x v="697"/>
    <x v="2"/>
    <s v="Arizona"/>
    <s v="Phoenix"/>
    <x v="5"/>
    <n v="38"/>
    <n v="88"/>
    <n v="3344"/>
    <n v="1203.8399999999999"/>
    <n v="0.36"/>
    <x v="2"/>
  </r>
  <r>
    <x v="0"/>
    <n v="1128299"/>
    <x v="227"/>
    <x v="2"/>
    <s v="Arizona"/>
    <s v="Phoenix"/>
    <x v="0"/>
    <n v="37"/>
    <n v="145"/>
    <n v="5365"/>
    <n v="2521.5499999999997"/>
    <n v="0.47"/>
    <x v="2"/>
  </r>
  <r>
    <x v="0"/>
    <n v="1128299"/>
    <x v="227"/>
    <x v="2"/>
    <s v="Arizona"/>
    <s v="Phoenix"/>
    <x v="1"/>
    <n v="48"/>
    <n v="95"/>
    <n v="4560"/>
    <n v="2508"/>
    <n v="0.55000000000000004"/>
    <x v="2"/>
  </r>
  <r>
    <x v="0"/>
    <n v="1128299"/>
    <x v="227"/>
    <x v="2"/>
    <s v="Arizona"/>
    <s v="Phoenix"/>
    <x v="2"/>
    <n v="49"/>
    <n v="91"/>
    <n v="4459"/>
    <n v="2229.5"/>
    <n v="0.5"/>
    <x v="2"/>
  </r>
  <r>
    <x v="0"/>
    <n v="1128299"/>
    <x v="227"/>
    <x v="2"/>
    <s v="Arizona"/>
    <s v="Phoenix"/>
    <x v="3"/>
    <n v="47"/>
    <n v="68"/>
    <n v="3196"/>
    <n v="1470.1599999999999"/>
    <n v="0.45999999999999996"/>
    <x v="2"/>
  </r>
  <r>
    <x v="0"/>
    <n v="1128299"/>
    <x v="227"/>
    <x v="2"/>
    <s v="Arizona"/>
    <s v="Phoenix"/>
    <x v="4"/>
    <n v="54"/>
    <n v="31"/>
    <n v="1674"/>
    <n v="686.33999999999992"/>
    <n v="0.41"/>
    <x v="2"/>
  </r>
  <r>
    <x v="0"/>
    <n v="1128299"/>
    <x v="227"/>
    <x v="2"/>
    <s v="Arizona"/>
    <s v="Phoenix"/>
    <x v="5"/>
    <n v="47"/>
    <n v="88"/>
    <n v="4136"/>
    <n v="1654.4"/>
    <n v="0.4"/>
    <x v="2"/>
  </r>
  <r>
    <x v="0"/>
    <n v="1128299"/>
    <x v="246"/>
    <x v="2"/>
    <s v="Arizona"/>
    <s v="Phoenix"/>
    <x v="0"/>
    <n v="48"/>
    <n v="130"/>
    <n v="6240"/>
    <n v="2807.9999999999995"/>
    <n v="0.44999999999999996"/>
    <x v="2"/>
  </r>
  <r>
    <x v="0"/>
    <n v="1128299"/>
    <x v="246"/>
    <x v="2"/>
    <s v="Arizona"/>
    <s v="Phoenix"/>
    <x v="1"/>
    <n v="53"/>
    <n v="90"/>
    <n v="4770"/>
    <n v="2385"/>
    <n v="0.5"/>
    <x v="2"/>
  </r>
  <r>
    <x v="0"/>
    <n v="1128299"/>
    <x v="246"/>
    <x v="2"/>
    <s v="Arizona"/>
    <s v="Phoenix"/>
    <x v="2"/>
    <n v="50"/>
    <n v="102"/>
    <n v="5100"/>
    <n v="2550"/>
    <n v="0.5"/>
    <x v="2"/>
  </r>
  <r>
    <x v="0"/>
    <n v="1128299"/>
    <x v="246"/>
    <x v="2"/>
    <s v="Arizona"/>
    <s v="Phoenix"/>
    <x v="3"/>
    <n v="46"/>
    <n v="75"/>
    <n v="3450"/>
    <n v="1725"/>
    <n v="0.5"/>
    <x v="2"/>
  </r>
  <r>
    <x v="0"/>
    <n v="1128299"/>
    <x v="246"/>
    <x v="2"/>
    <s v="Arizona"/>
    <s v="Phoenix"/>
    <x v="4"/>
    <n v="50"/>
    <n v="39"/>
    <n v="1950"/>
    <n v="819"/>
    <n v="0.42"/>
    <x v="2"/>
  </r>
  <r>
    <x v="0"/>
    <n v="1128299"/>
    <x v="246"/>
    <x v="2"/>
    <s v="Arizona"/>
    <s v="Phoenix"/>
    <x v="5"/>
    <n v="67"/>
    <n v="94"/>
    <n v="6298"/>
    <n v="2267.2799999999997"/>
    <n v="0.36"/>
    <x v="2"/>
  </r>
  <r>
    <x v="0"/>
    <n v="1128299"/>
    <x v="277"/>
    <x v="2"/>
    <s v="Arizona"/>
    <s v="Phoenix"/>
    <x v="0"/>
    <n v="47"/>
    <n v="147"/>
    <n v="6909"/>
    <n v="3247.23"/>
    <n v="0.47"/>
    <x v="2"/>
  </r>
  <r>
    <x v="0"/>
    <n v="1128299"/>
    <x v="277"/>
    <x v="2"/>
    <s v="Arizona"/>
    <s v="Phoenix"/>
    <x v="1"/>
    <n v="53"/>
    <n v="113"/>
    <n v="5989"/>
    <n v="3234.0600000000004"/>
    <n v="0.54"/>
    <x v="2"/>
  </r>
  <r>
    <x v="0"/>
    <n v="1128299"/>
    <x v="277"/>
    <x v="2"/>
    <s v="Arizona"/>
    <s v="Phoenix"/>
    <x v="2"/>
    <n v="50"/>
    <n v="120"/>
    <n v="6000"/>
    <n v="2820"/>
    <n v="0.47"/>
    <x v="2"/>
  </r>
  <r>
    <x v="0"/>
    <n v="1128299"/>
    <x v="277"/>
    <x v="2"/>
    <s v="Arizona"/>
    <s v="Phoenix"/>
    <x v="3"/>
    <n v="49"/>
    <n v="90"/>
    <n v="4410"/>
    <n v="2205"/>
    <n v="0.5"/>
    <x v="2"/>
  </r>
  <r>
    <x v="0"/>
    <n v="1128299"/>
    <x v="277"/>
    <x v="2"/>
    <s v="Arizona"/>
    <s v="Phoenix"/>
    <x v="4"/>
    <n v="51"/>
    <n v="58"/>
    <n v="2958"/>
    <n v="1212.78"/>
    <n v="0.41"/>
    <x v="2"/>
  </r>
  <r>
    <x v="0"/>
    <n v="1128299"/>
    <x v="277"/>
    <x v="2"/>
    <s v="Arizona"/>
    <s v="Phoenix"/>
    <x v="5"/>
    <n v="64"/>
    <n v="98"/>
    <n v="6272"/>
    <n v="2257.92"/>
    <n v="0.36"/>
    <x v="2"/>
  </r>
  <r>
    <x v="0"/>
    <n v="1128299"/>
    <x v="307"/>
    <x v="2"/>
    <s v="Arizona"/>
    <s v="Phoenix"/>
    <x v="0"/>
    <n v="48"/>
    <n v="156"/>
    <n v="7488"/>
    <n v="3669.12"/>
    <n v="0.49"/>
    <x v="2"/>
  </r>
  <r>
    <x v="0"/>
    <n v="1128299"/>
    <x v="307"/>
    <x v="2"/>
    <s v="Arizona"/>
    <s v="Phoenix"/>
    <x v="1"/>
    <n v="51"/>
    <n v="138"/>
    <n v="7038"/>
    <n v="3659.76"/>
    <n v="0.52"/>
    <x v="2"/>
  </r>
  <r>
    <x v="0"/>
    <n v="1128299"/>
    <x v="307"/>
    <x v="2"/>
    <s v="Arizona"/>
    <s v="Phoenix"/>
    <x v="2"/>
    <n v="51"/>
    <n v="138"/>
    <n v="7038"/>
    <n v="3167.1"/>
    <n v="0.44999999999999996"/>
    <x v="2"/>
  </r>
  <r>
    <x v="0"/>
    <n v="1128299"/>
    <x v="307"/>
    <x v="2"/>
    <s v="Arizona"/>
    <s v="Phoenix"/>
    <x v="3"/>
    <n v="46"/>
    <n v="95"/>
    <n v="4370"/>
    <n v="2185"/>
    <n v="0.5"/>
    <x v="2"/>
  </r>
  <r>
    <x v="0"/>
    <n v="1128299"/>
    <x v="307"/>
    <x v="2"/>
    <s v="Arizona"/>
    <s v="Phoenix"/>
    <x v="4"/>
    <n v="51"/>
    <n v="68"/>
    <n v="3468"/>
    <n v="1456.56"/>
    <n v="0.42"/>
    <x v="2"/>
  </r>
  <r>
    <x v="0"/>
    <n v="1128299"/>
    <x v="307"/>
    <x v="2"/>
    <s v="Arizona"/>
    <s v="Phoenix"/>
    <x v="5"/>
    <n v="69"/>
    <n v="131"/>
    <n v="9039"/>
    <n v="3525.21"/>
    <n v="0.39"/>
    <x v="2"/>
  </r>
  <r>
    <x v="0"/>
    <n v="1128299"/>
    <x v="336"/>
    <x v="2"/>
    <s v="Arizona"/>
    <s v="Phoenix"/>
    <x v="0"/>
    <n v="49"/>
    <n v="196"/>
    <n v="9604"/>
    <n v="4705.96"/>
    <n v="0.49"/>
    <x v="2"/>
  </r>
  <r>
    <x v="0"/>
    <n v="1128299"/>
    <x v="336"/>
    <x v="2"/>
    <s v="Arizona"/>
    <s v="Phoenix"/>
    <x v="1"/>
    <n v="50"/>
    <n v="142"/>
    <n v="7100"/>
    <n v="3621"/>
    <n v="0.51"/>
    <x v="2"/>
  </r>
  <r>
    <x v="0"/>
    <n v="1128299"/>
    <x v="336"/>
    <x v="2"/>
    <s v="Arizona"/>
    <s v="Phoenix"/>
    <x v="2"/>
    <n v="51"/>
    <n v="133"/>
    <n v="6783"/>
    <n v="3188.0099999999998"/>
    <n v="0.47"/>
    <x v="2"/>
  </r>
  <r>
    <x v="0"/>
    <n v="1128299"/>
    <x v="336"/>
    <x v="2"/>
    <s v="Arizona"/>
    <s v="Phoenix"/>
    <x v="3"/>
    <n v="48"/>
    <n v="101"/>
    <n v="4848"/>
    <n v="2181.6"/>
    <n v="0.44999999999999996"/>
    <x v="2"/>
  </r>
  <r>
    <x v="0"/>
    <n v="1128299"/>
    <x v="336"/>
    <x v="2"/>
    <s v="Arizona"/>
    <s v="Phoenix"/>
    <x v="4"/>
    <n v="52"/>
    <n v="128"/>
    <n v="6656"/>
    <n v="2862.08"/>
    <n v="0.43"/>
    <x v="2"/>
  </r>
  <r>
    <x v="0"/>
    <n v="1128299"/>
    <x v="336"/>
    <x v="2"/>
    <s v="Arizona"/>
    <s v="Phoenix"/>
    <x v="5"/>
    <n v="67"/>
    <n v="123"/>
    <n v="8241"/>
    <n v="3131.58"/>
    <n v="0.38"/>
    <x v="2"/>
  </r>
  <r>
    <x v="0"/>
    <n v="1128299"/>
    <x v="368"/>
    <x v="2"/>
    <s v="Arizona"/>
    <s v="Phoenix"/>
    <x v="0"/>
    <n v="50"/>
    <n v="163"/>
    <n v="8150"/>
    <n v="4075"/>
    <n v="0.5"/>
    <x v="2"/>
  </r>
  <r>
    <x v="0"/>
    <n v="1128299"/>
    <x v="368"/>
    <x v="2"/>
    <s v="Arizona"/>
    <s v="Phoenix"/>
    <x v="1"/>
    <n v="57"/>
    <n v="161"/>
    <n v="9177"/>
    <n v="4588.5"/>
    <n v="0.5"/>
    <x v="2"/>
  </r>
  <r>
    <x v="0"/>
    <n v="1128299"/>
    <x v="368"/>
    <x v="2"/>
    <s v="Arizona"/>
    <s v="Phoenix"/>
    <x v="2"/>
    <n v="54"/>
    <n v="113"/>
    <n v="6102"/>
    <n v="2989.98"/>
    <n v="0.49"/>
    <x v="2"/>
  </r>
  <r>
    <x v="0"/>
    <n v="1128299"/>
    <x v="368"/>
    <x v="2"/>
    <s v="Arizona"/>
    <s v="Phoenix"/>
    <x v="3"/>
    <n v="52"/>
    <n v="112"/>
    <n v="5824"/>
    <n v="2853.7599999999998"/>
    <n v="0.49"/>
    <x v="2"/>
  </r>
  <r>
    <x v="0"/>
    <n v="1128299"/>
    <x v="368"/>
    <x v="2"/>
    <s v="Arizona"/>
    <s v="Phoenix"/>
    <x v="4"/>
    <n v="59"/>
    <n v="116"/>
    <n v="6844"/>
    <n v="2806.04"/>
    <n v="0.41"/>
    <x v="2"/>
  </r>
  <r>
    <x v="0"/>
    <n v="1128299"/>
    <x v="368"/>
    <x v="2"/>
    <s v="Arizona"/>
    <s v="Phoenix"/>
    <x v="5"/>
    <n v="65"/>
    <n v="94"/>
    <n v="6110"/>
    <n v="2444"/>
    <n v="0.4"/>
    <x v="2"/>
  </r>
  <r>
    <x v="0"/>
    <n v="1128299"/>
    <x v="400"/>
    <x v="2"/>
    <s v="Arizona"/>
    <s v="Phoenix"/>
    <x v="0"/>
    <n v="41"/>
    <n v="167"/>
    <n v="6847"/>
    <n v="3355.0299999999997"/>
    <n v="0.49"/>
    <x v="2"/>
  </r>
  <r>
    <x v="0"/>
    <n v="1128299"/>
    <x v="400"/>
    <x v="2"/>
    <s v="Arizona"/>
    <s v="Phoenix"/>
    <x v="1"/>
    <n v="45"/>
    <n v="161"/>
    <n v="7245"/>
    <n v="3839.8500000000004"/>
    <n v="0.53"/>
    <x v="2"/>
  </r>
  <r>
    <x v="0"/>
    <n v="1128299"/>
    <x v="400"/>
    <x v="2"/>
    <s v="Arizona"/>
    <s v="Phoenix"/>
    <x v="2"/>
    <n v="43"/>
    <n v="128"/>
    <n v="5504"/>
    <n v="2476.7999999999997"/>
    <n v="0.44999999999999996"/>
    <x v="2"/>
  </r>
  <r>
    <x v="0"/>
    <n v="1128299"/>
    <x v="400"/>
    <x v="2"/>
    <s v="Arizona"/>
    <s v="Phoenix"/>
    <x v="3"/>
    <n v="41"/>
    <n v="113"/>
    <n v="4633"/>
    <n v="2177.5099999999998"/>
    <n v="0.47"/>
    <x v="2"/>
  </r>
  <r>
    <x v="0"/>
    <n v="1128299"/>
    <x v="400"/>
    <x v="2"/>
    <s v="Arizona"/>
    <s v="Phoenix"/>
    <x v="4"/>
    <n v="54"/>
    <n v="105"/>
    <n v="5670"/>
    <n v="2494.8000000000002"/>
    <n v="0.44"/>
    <x v="2"/>
  </r>
  <r>
    <x v="0"/>
    <n v="1128299"/>
    <x v="400"/>
    <x v="2"/>
    <s v="Arizona"/>
    <s v="Phoenix"/>
    <x v="5"/>
    <n v="56"/>
    <n v="119"/>
    <n v="6664"/>
    <n v="2465.6799999999998"/>
    <n v="0.37"/>
    <x v="2"/>
  </r>
  <r>
    <x v="0"/>
    <n v="1128299"/>
    <x v="429"/>
    <x v="2"/>
    <s v="Arizona"/>
    <s v="Phoenix"/>
    <x v="0"/>
    <n v="41"/>
    <n v="135"/>
    <n v="5535"/>
    <n v="2656.7999999999997"/>
    <n v="0.48"/>
    <x v="2"/>
  </r>
  <r>
    <x v="0"/>
    <n v="1128299"/>
    <x v="429"/>
    <x v="2"/>
    <s v="Arizona"/>
    <s v="Phoenix"/>
    <x v="1"/>
    <n v="47"/>
    <n v="145"/>
    <n v="6815"/>
    <n v="3611.9500000000003"/>
    <n v="0.53"/>
    <x v="2"/>
  </r>
  <r>
    <x v="0"/>
    <n v="1128299"/>
    <x v="429"/>
    <x v="2"/>
    <s v="Arizona"/>
    <s v="Phoenix"/>
    <x v="2"/>
    <n v="44"/>
    <n v="91"/>
    <n v="4004"/>
    <n v="1921.9199999999998"/>
    <n v="0.48"/>
    <x v="2"/>
  </r>
  <r>
    <x v="0"/>
    <n v="1128299"/>
    <x v="429"/>
    <x v="2"/>
    <s v="Arizona"/>
    <s v="Phoenix"/>
    <x v="3"/>
    <n v="43"/>
    <n v="90"/>
    <n v="3870"/>
    <n v="1896.3"/>
    <n v="0.49"/>
    <x v="2"/>
  </r>
  <r>
    <x v="0"/>
    <n v="1128299"/>
    <x v="429"/>
    <x v="2"/>
    <s v="Arizona"/>
    <s v="Phoenix"/>
    <x v="4"/>
    <n v="53"/>
    <n v="69"/>
    <n v="3657"/>
    <n v="1462.8000000000002"/>
    <n v="0.4"/>
    <x v="2"/>
  </r>
  <r>
    <x v="0"/>
    <n v="1128299"/>
    <x v="429"/>
    <x v="2"/>
    <s v="Arizona"/>
    <s v="Phoenix"/>
    <x v="5"/>
    <n v="56"/>
    <n v="85"/>
    <n v="4760"/>
    <n v="1808.8"/>
    <n v="0.38"/>
    <x v="2"/>
  </r>
  <r>
    <x v="0"/>
    <n v="1128299"/>
    <x v="460"/>
    <x v="2"/>
    <s v="Arizona"/>
    <s v="Phoenix"/>
    <x v="0"/>
    <n v="42"/>
    <n v="135"/>
    <n v="5670"/>
    <n v="2664.8999999999996"/>
    <n v="0.47"/>
    <x v="2"/>
  </r>
  <r>
    <x v="0"/>
    <n v="1128299"/>
    <x v="460"/>
    <x v="2"/>
    <s v="Arizona"/>
    <s v="Phoenix"/>
    <x v="1"/>
    <n v="46"/>
    <n v="147"/>
    <n v="6762"/>
    <n v="3516.2400000000002"/>
    <n v="0.52"/>
    <x v="2"/>
  </r>
  <r>
    <x v="0"/>
    <n v="1128299"/>
    <x v="460"/>
    <x v="2"/>
    <s v="Arizona"/>
    <s v="Phoenix"/>
    <x v="2"/>
    <n v="44"/>
    <n v="105"/>
    <n v="4620"/>
    <n v="2125.1999999999998"/>
    <n v="0.45999999999999996"/>
    <x v="2"/>
  </r>
  <r>
    <x v="0"/>
    <n v="1128299"/>
    <x v="460"/>
    <x v="2"/>
    <s v="Arizona"/>
    <s v="Phoenix"/>
    <x v="3"/>
    <n v="42"/>
    <n v="98"/>
    <n v="4116"/>
    <n v="1934.52"/>
    <n v="0.47"/>
    <x v="2"/>
  </r>
  <r>
    <x v="0"/>
    <n v="1128299"/>
    <x v="460"/>
    <x v="2"/>
    <s v="Arizona"/>
    <s v="Phoenix"/>
    <x v="4"/>
    <n v="53"/>
    <n v="87"/>
    <n v="4611"/>
    <n v="1890.51"/>
    <n v="0.41"/>
    <x v="2"/>
  </r>
  <r>
    <x v="0"/>
    <n v="1128299"/>
    <x v="460"/>
    <x v="2"/>
    <s v="Arizona"/>
    <s v="Phoenix"/>
    <x v="5"/>
    <n v="55"/>
    <n v="111"/>
    <n v="6105"/>
    <n v="2258.85"/>
    <n v="0.37"/>
    <x v="2"/>
  </r>
  <r>
    <x v="0"/>
    <n v="1128299"/>
    <x v="489"/>
    <x v="2"/>
    <s v="Arizona"/>
    <s v="Phoenix"/>
    <x v="0"/>
    <n v="44"/>
    <n v="181"/>
    <n v="7964"/>
    <n v="3663.4399999999996"/>
    <n v="0.45999999999999996"/>
    <x v="2"/>
  </r>
  <r>
    <x v="0"/>
    <n v="1128299"/>
    <x v="489"/>
    <x v="2"/>
    <s v="Arizona"/>
    <s v="Phoenix"/>
    <x v="1"/>
    <n v="49"/>
    <n v="175"/>
    <n v="8575"/>
    <n v="4630.5"/>
    <n v="0.54"/>
    <x v="2"/>
  </r>
  <r>
    <x v="4"/>
    <n v="1128299"/>
    <x v="489"/>
    <x v="2"/>
    <s v="Arizona"/>
    <s v="Phoenix"/>
    <x v="2"/>
    <n v="43"/>
    <n v="123"/>
    <n v="5289"/>
    <n v="2538.7199999999998"/>
    <n v="0.48"/>
    <x v="2"/>
  </r>
  <r>
    <x v="4"/>
    <n v="1128299"/>
    <x v="489"/>
    <x v="2"/>
    <s v="Arizona"/>
    <s v="Phoenix"/>
    <x v="3"/>
    <n v="44"/>
    <n v="115"/>
    <n v="5060"/>
    <n v="2277"/>
    <n v="0.44999999999999996"/>
    <x v="2"/>
  </r>
  <r>
    <x v="4"/>
    <n v="1128299"/>
    <x v="489"/>
    <x v="2"/>
    <s v="Arizona"/>
    <s v="Phoenix"/>
    <x v="4"/>
    <n v="52"/>
    <n v="88"/>
    <n v="4576"/>
    <n v="1967.68"/>
    <n v="0.43"/>
    <x v="2"/>
  </r>
  <r>
    <x v="4"/>
    <n v="1128299"/>
    <x v="489"/>
    <x v="2"/>
    <s v="Arizona"/>
    <s v="Phoenix"/>
    <x v="5"/>
    <n v="58"/>
    <n v="135"/>
    <n v="7830"/>
    <n v="2897.1"/>
    <n v="0.37"/>
    <x v="2"/>
  </r>
  <r>
    <x v="4"/>
    <n v="1128299"/>
    <x v="190"/>
    <x v="2"/>
    <s v="Arizona"/>
    <s v="Phoenix"/>
    <x v="0"/>
    <n v="33"/>
    <n v="133"/>
    <n v="4389"/>
    <n v="2150.61"/>
    <n v="0.49"/>
    <x v="2"/>
  </r>
  <r>
    <x v="4"/>
    <n v="1128299"/>
    <x v="190"/>
    <x v="2"/>
    <s v="Arizona"/>
    <s v="Phoenix"/>
    <x v="1"/>
    <n v="42"/>
    <n v="138"/>
    <n v="5796"/>
    <n v="3071.88"/>
    <n v="0.53"/>
    <x v="2"/>
  </r>
  <r>
    <x v="4"/>
    <n v="1128299"/>
    <x v="190"/>
    <x v="2"/>
    <s v="Arizona"/>
    <s v="Phoenix"/>
    <x v="2"/>
    <n v="42"/>
    <n v="138"/>
    <n v="5796"/>
    <n v="2666.16"/>
    <n v="0.45999999999999996"/>
    <x v="2"/>
  </r>
  <r>
    <x v="4"/>
    <n v="1128299"/>
    <x v="190"/>
    <x v="2"/>
    <s v="Arizona"/>
    <s v="Phoenix"/>
    <x v="3"/>
    <n v="43"/>
    <n v="85"/>
    <n v="3655"/>
    <n v="1790.95"/>
    <n v="0.49"/>
    <x v="2"/>
  </r>
  <r>
    <x v="4"/>
    <n v="1128299"/>
    <x v="190"/>
    <x v="2"/>
    <s v="Arizona"/>
    <s v="Phoenix"/>
    <x v="4"/>
    <n v="45"/>
    <n v="80"/>
    <n v="3600"/>
    <n v="1476"/>
    <n v="0.41"/>
    <x v="2"/>
  </r>
  <r>
    <x v="4"/>
    <n v="1128299"/>
    <x v="190"/>
    <x v="2"/>
    <s v="Arizona"/>
    <s v="Phoenix"/>
    <x v="5"/>
    <n v="42"/>
    <n v="128"/>
    <n v="5376"/>
    <n v="1935.36"/>
    <n v="0.36"/>
    <x v="2"/>
  </r>
  <r>
    <x v="4"/>
    <n v="1128299"/>
    <x v="700"/>
    <x v="2"/>
    <s v="Arizona"/>
    <s v="Phoenix"/>
    <x v="0"/>
    <n v="33"/>
    <n v="147"/>
    <n v="4851"/>
    <n v="2376.9899999999998"/>
    <n v="0.49"/>
    <x v="2"/>
  </r>
  <r>
    <x v="4"/>
    <n v="1128299"/>
    <x v="700"/>
    <x v="2"/>
    <s v="Arizona"/>
    <s v="Phoenix"/>
    <x v="1"/>
    <n v="44"/>
    <n v="106"/>
    <n v="4664"/>
    <n v="2565.2000000000003"/>
    <n v="0.55000000000000004"/>
    <x v="2"/>
  </r>
  <r>
    <x v="4"/>
    <n v="1128299"/>
    <x v="700"/>
    <x v="2"/>
    <s v="Arizona"/>
    <s v="Phoenix"/>
    <x v="2"/>
    <n v="41"/>
    <n v="111"/>
    <n v="4551"/>
    <n v="2093.46"/>
    <n v="0.45999999999999996"/>
    <x v="2"/>
  </r>
  <r>
    <x v="4"/>
    <n v="1128299"/>
    <x v="700"/>
    <x v="2"/>
    <s v="New Mexico"/>
    <s v="Albuquerque"/>
    <x v="3"/>
    <n v="43"/>
    <n v="74"/>
    <n v="3182"/>
    <n v="1559.18"/>
    <n v="0.49"/>
    <x v="2"/>
  </r>
  <r>
    <x v="4"/>
    <n v="1128299"/>
    <x v="700"/>
    <x v="2"/>
    <s v="New Mexico"/>
    <s v="Albuquerque"/>
    <x v="4"/>
    <n v="45"/>
    <n v="54"/>
    <n v="2430"/>
    <n v="1069.2"/>
    <n v="0.44"/>
    <x v="2"/>
  </r>
  <r>
    <x v="4"/>
    <n v="1128299"/>
    <x v="700"/>
    <x v="2"/>
    <s v="New Mexico"/>
    <s v="Albuquerque"/>
    <x v="5"/>
    <n v="41"/>
    <n v="104"/>
    <n v="4264"/>
    <n v="1620.32"/>
    <n v="0.38"/>
    <x v="2"/>
  </r>
  <r>
    <x v="4"/>
    <n v="1128299"/>
    <x v="712"/>
    <x v="2"/>
    <s v="New Mexico"/>
    <s v="Albuquerque"/>
    <x v="0"/>
    <n v="44"/>
    <n v="165"/>
    <n v="7260"/>
    <n v="3630"/>
    <n v="0.5"/>
    <x v="2"/>
  </r>
  <r>
    <x v="4"/>
    <n v="1128299"/>
    <x v="712"/>
    <x v="2"/>
    <s v="New Mexico"/>
    <s v="Albuquerque"/>
    <x v="1"/>
    <n v="51"/>
    <n v="112"/>
    <n v="5712"/>
    <n v="3027.36"/>
    <n v="0.53"/>
    <x v="2"/>
  </r>
  <r>
    <x v="4"/>
    <n v="1128299"/>
    <x v="712"/>
    <x v="2"/>
    <s v="New Mexico"/>
    <s v="Albuquerque"/>
    <x v="2"/>
    <n v="52"/>
    <n v="112"/>
    <n v="5824"/>
    <n v="2853.7599999999998"/>
    <n v="0.49"/>
    <x v="2"/>
  </r>
  <r>
    <x v="4"/>
    <n v="1128299"/>
    <x v="712"/>
    <x v="2"/>
    <s v="New Mexico"/>
    <s v="Albuquerque"/>
    <x v="3"/>
    <n v="50"/>
    <n v="83"/>
    <n v="4150"/>
    <n v="1908.9999999999998"/>
    <n v="0.45999999999999996"/>
    <x v="2"/>
  </r>
  <r>
    <x v="4"/>
    <n v="1128299"/>
    <x v="712"/>
    <x v="2"/>
    <s v="New Mexico"/>
    <s v="Albuquerque"/>
    <x v="4"/>
    <n v="55"/>
    <n v="53"/>
    <n v="2915"/>
    <n v="1253.45"/>
    <n v="0.43"/>
    <x v="2"/>
  </r>
  <r>
    <x v="4"/>
    <n v="1128299"/>
    <x v="712"/>
    <x v="2"/>
    <s v="New Mexico"/>
    <s v="Albuquerque"/>
    <x v="5"/>
    <n v="50"/>
    <n v="98"/>
    <n v="4900"/>
    <n v="1862"/>
    <n v="0.38"/>
    <x v="2"/>
  </r>
  <r>
    <x v="4"/>
    <n v="1128299"/>
    <x v="249"/>
    <x v="2"/>
    <s v="New Mexico"/>
    <s v="Albuquerque"/>
    <x v="0"/>
    <n v="51"/>
    <n v="154"/>
    <n v="7854"/>
    <n v="3534.2999999999997"/>
    <n v="0.44999999999999996"/>
    <x v="2"/>
  </r>
  <r>
    <x v="4"/>
    <n v="1128299"/>
    <x v="249"/>
    <x v="2"/>
    <s v="New Mexico"/>
    <s v="Albuquerque"/>
    <x v="1"/>
    <n v="59"/>
    <n v="98"/>
    <n v="5782"/>
    <n v="2891"/>
    <n v="0.5"/>
    <x v="2"/>
  </r>
  <r>
    <x v="4"/>
    <n v="1128299"/>
    <x v="249"/>
    <x v="2"/>
    <s v="New Mexico"/>
    <s v="Albuquerque"/>
    <x v="2"/>
    <n v="55"/>
    <n v="116"/>
    <n v="6380"/>
    <n v="3190"/>
    <n v="0.5"/>
    <x v="2"/>
  </r>
  <r>
    <x v="4"/>
    <n v="1128299"/>
    <x v="249"/>
    <x v="2"/>
    <s v="New Mexico"/>
    <s v="Albuquerque"/>
    <x v="3"/>
    <n v="54"/>
    <n v="87"/>
    <n v="4698"/>
    <n v="2161.08"/>
    <n v="0.45999999999999996"/>
    <x v="2"/>
  </r>
  <r>
    <x v="4"/>
    <n v="1128299"/>
    <x v="249"/>
    <x v="2"/>
    <s v="New Mexico"/>
    <s v="Albuquerque"/>
    <x v="4"/>
    <n v="56"/>
    <n v="58"/>
    <n v="3248"/>
    <n v="1331.6799999999998"/>
    <n v="0.41"/>
    <x v="2"/>
  </r>
  <r>
    <x v="4"/>
    <n v="1128299"/>
    <x v="249"/>
    <x v="2"/>
    <s v="New Mexico"/>
    <s v="Albuquerque"/>
    <x v="5"/>
    <n v="69"/>
    <n v="101"/>
    <n v="6969"/>
    <n v="2648.2200000000003"/>
    <n v="0.38"/>
    <x v="2"/>
  </r>
  <r>
    <x v="4"/>
    <n v="1128299"/>
    <x v="280"/>
    <x v="2"/>
    <s v="New Mexico"/>
    <s v="Albuquerque"/>
    <x v="0"/>
    <n v="51"/>
    <n v="150"/>
    <n v="7650"/>
    <n v="3442.4999999999995"/>
    <n v="0.44999999999999996"/>
    <x v="2"/>
  </r>
  <r>
    <x v="4"/>
    <n v="1128299"/>
    <x v="280"/>
    <x v="2"/>
    <s v="New Mexico"/>
    <s v="Albuquerque"/>
    <x v="1"/>
    <n v="58"/>
    <n v="111"/>
    <n v="6438"/>
    <n v="3283.38"/>
    <n v="0.51"/>
    <x v="2"/>
  </r>
  <r>
    <x v="4"/>
    <n v="1128299"/>
    <x v="280"/>
    <x v="2"/>
    <s v="New Mexico"/>
    <s v="Albuquerque"/>
    <x v="2"/>
    <n v="56"/>
    <n v="126"/>
    <n v="7056"/>
    <n v="3316.3199999999997"/>
    <n v="0.47"/>
    <x v="2"/>
  </r>
  <r>
    <x v="4"/>
    <n v="1128299"/>
    <x v="280"/>
    <x v="2"/>
    <s v="New Mexico"/>
    <s v="Albuquerque"/>
    <x v="3"/>
    <n v="51"/>
    <n v="91"/>
    <n v="4641"/>
    <n v="2134.8599999999997"/>
    <n v="0.45999999999999996"/>
    <x v="2"/>
  </r>
  <r>
    <x v="4"/>
    <n v="1128299"/>
    <x v="280"/>
    <x v="2"/>
    <s v="New Mexico"/>
    <s v="Albuquerque"/>
    <x v="4"/>
    <n v="56"/>
    <n v="65"/>
    <n v="3640"/>
    <n v="1528.8"/>
    <n v="0.42"/>
    <x v="2"/>
  </r>
  <r>
    <x v="4"/>
    <n v="1128299"/>
    <x v="280"/>
    <x v="2"/>
    <s v="New Mexico"/>
    <s v="Albuquerque"/>
    <x v="5"/>
    <n v="69"/>
    <n v="115"/>
    <n v="7935"/>
    <n v="3094.65"/>
    <n v="0.39"/>
    <x v="2"/>
  </r>
  <r>
    <x v="4"/>
    <n v="1128299"/>
    <x v="310"/>
    <x v="2"/>
    <s v="New Mexico"/>
    <s v="Albuquerque"/>
    <x v="0"/>
    <n v="52"/>
    <n v="203"/>
    <n v="10556"/>
    <n v="5066.88"/>
    <n v="0.48"/>
    <x v="2"/>
  </r>
  <r>
    <x v="4"/>
    <n v="1128299"/>
    <x v="310"/>
    <x v="2"/>
    <s v="New Mexico"/>
    <s v="Albuquerque"/>
    <x v="1"/>
    <n v="54"/>
    <n v="154"/>
    <n v="8316"/>
    <n v="4324.32"/>
    <n v="0.52"/>
    <x v="2"/>
  </r>
  <r>
    <x v="4"/>
    <n v="1128299"/>
    <x v="310"/>
    <x v="2"/>
    <s v="New Mexico"/>
    <s v="Albuquerque"/>
    <x v="2"/>
    <n v="54"/>
    <n v="149"/>
    <n v="8046"/>
    <n v="4023"/>
    <n v="0.5"/>
    <x v="2"/>
  </r>
  <r>
    <x v="4"/>
    <n v="1128299"/>
    <x v="310"/>
    <x v="2"/>
    <s v="New Mexico"/>
    <s v="Albuquerque"/>
    <x v="3"/>
    <n v="54"/>
    <n v="106"/>
    <n v="5724"/>
    <n v="2575.7999999999997"/>
    <n v="0.44999999999999996"/>
    <x v="2"/>
  </r>
  <r>
    <x v="4"/>
    <n v="1128299"/>
    <x v="310"/>
    <x v="2"/>
    <s v="New Mexico"/>
    <s v="Albuquerque"/>
    <x v="4"/>
    <n v="56"/>
    <n v="87"/>
    <n v="4872"/>
    <n v="2094.96"/>
    <n v="0.43"/>
    <x v="2"/>
  </r>
  <r>
    <x v="4"/>
    <n v="1128299"/>
    <x v="310"/>
    <x v="2"/>
    <s v="New Mexico"/>
    <s v="Albuquerque"/>
    <x v="5"/>
    <n v="74"/>
    <n v="162"/>
    <n v="11988"/>
    <n v="4315.68"/>
    <n v="0.36"/>
    <x v="2"/>
  </r>
  <r>
    <x v="4"/>
    <n v="1128299"/>
    <x v="339"/>
    <x v="2"/>
    <s v="New Mexico"/>
    <s v="Albuquerque"/>
    <x v="0"/>
    <n v="54"/>
    <n v="203"/>
    <n v="10962"/>
    <n v="5152.1399999999994"/>
    <n v="0.47"/>
    <x v="2"/>
  </r>
  <r>
    <x v="4"/>
    <n v="1128299"/>
    <x v="339"/>
    <x v="2"/>
    <s v="New Mexico"/>
    <s v="Albuquerque"/>
    <x v="1"/>
    <n v="56"/>
    <n v="180"/>
    <n v="10080"/>
    <n v="5443.2000000000007"/>
    <n v="0.54"/>
    <x v="2"/>
  </r>
  <r>
    <x v="4"/>
    <n v="1128299"/>
    <x v="339"/>
    <x v="2"/>
    <s v="New Mexico"/>
    <s v="Albuquerque"/>
    <x v="2"/>
    <n v="58"/>
    <n v="160"/>
    <n v="9280"/>
    <n v="4454.3999999999996"/>
    <n v="0.48"/>
    <x v="2"/>
  </r>
  <r>
    <x v="4"/>
    <n v="1128299"/>
    <x v="339"/>
    <x v="2"/>
    <s v="New Mexico"/>
    <s v="Albuquerque"/>
    <x v="3"/>
    <n v="54"/>
    <n v="135"/>
    <n v="7290"/>
    <n v="3280.4999999999995"/>
    <n v="0.44999999999999996"/>
    <x v="2"/>
  </r>
  <r>
    <x v="4"/>
    <n v="1128299"/>
    <x v="339"/>
    <x v="2"/>
    <s v="New Mexico"/>
    <s v="Albuquerque"/>
    <x v="4"/>
    <n v="57"/>
    <n v="145"/>
    <n v="8265"/>
    <n v="3553.95"/>
    <n v="0.43"/>
    <x v="2"/>
  </r>
  <r>
    <x v="4"/>
    <n v="1128299"/>
    <x v="339"/>
    <x v="2"/>
    <s v="New Mexico"/>
    <s v="Albuquerque"/>
    <x v="5"/>
    <n v="69"/>
    <n v="140"/>
    <n v="9660"/>
    <n v="3670.8"/>
    <n v="0.38"/>
    <x v="2"/>
  </r>
  <r>
    <x v="4"/>
    <n v="1128299"/>
    <x v="371"/>
    <x v="2"/>
    <s v="New Mexico"/>
    <s v="Albuquerque"/>
    <x v="0"/>
    <n v="56"/>
    <n v="175"/>
    <n v="9800"/>
    <n v="4900"/>
    <n v="0.5"/>
    <x v="2"/>
  </r>
  <r>
    <x v="4"/>
    <n v="1128299"/>
    <x v="371"/>
    <x v="2"/>
    <s v="New Mexico"/>
    <s v="Albuquerque"/>
    <x v="1"/>
    <n v="60"/>
    <n v="176"/>
    <n v="10560"/>
    <n v="5491.2"/>
    <n v="0.52"/>
    <x v="2"/>
  </r>
  <r>
    <x v="4"/>
    <n v="1128299"/>
    <x v="371"/>
    <x v="2"/>
    <s v="New Mexico"/>
    <s v="Albuquerque"/>
    <x v="2"/>
    <n v="58"/>
    <n v="142"/>
    <n v="8236"/>
    <n v="3788.5599999999995"/>
    <n v="0.45999999999999996"/>
    <x v="2"/>
  </r>
  <r>
    <x v="4"/>
    <n v="1128299"/>
    <x v="371"/>
    <x v="2"/>
    <s v="New Mexico"/>
    <s v="Albuquerque"/>
    <x v="3"/>
    <n v="55"/>
    <n v="143"/>
    <n v="7865"/>
    <n v="3696.5499999999997"/>
    <n v="0.47"/>
    <x v="2"/>
  </r>
  <r>
    <x v="4"/>
    <n v="1128299"/>
    <x v="371"/>
    <x v="2"/>
    <s v="New Mexico"/>
    <s v="Albuquerque"/>
    <x v="4"/>
    <n v="67"/>
    <n v="124"/>
    <n v="8308"/>
    <n v="3323.2000000000003"/>
    <n v="0.4"/>
    <x v="2"/>
  </r>
  <r>
    <x v="4"/>
    <n v="1128299"/>
    <x v="371"/>
    <x v="2"/>
    <s v="New Mexico"/>
    <s v="Albuquerque"/>
    <x v="5"/>
    <n v="70"/>
    <n v="126"/>
    <n v="8820"/>
    <n v="3351.6"/>
    <n v="0.38"/>
    <x v="2"/>
  </r>
  <r>
    <x v="4"/>
    <n v="1128299"/>
    <x v="403"/>
    <x v="2"/>
    <s v="New Mexico"/>
    <s v="Albuquerque"/>
    <x v="0"/>
    <n v="49"/>
    <n v="163"/>
    <n v="7987"/>
    <n v="3594.1499999999996"/>
    <n v="0.44999999999999996"/>
    <x v="2"/>
  </r>
  <r>
    <x v="4"/>
    <n v="1128299"/>
    <x v="403"/>
    <x v="2"/>
    <s v="New Mexico"/>
    <s v="Albuquerque"/>
    <x v="1"/>
    <n v="51"/>
    <n v="156"/>
    <n v="7956"/>
    <n v="4057.56"/>
    <n v="0.51"/>
    <x v="2"/>
  </r>
  <r>
    <x v="4"/>
    <n v="1128299"/>
    <x v="403"/>
    <x v="2"/>
    <s v="New Mexico"/>
    <s v="Albuquerque"/>
    <x v="2"/>
    <n v="46"/>
    <n v="143"/>
    <n v="6578"/>
    <n v="3091.66"/>
    <n v="0.47"/>
    <x v="2"/>
  </r>
  <r>
    <x v="4"/>
    <n v="1128299"/>
    <x v="403"/>
    <x v="2"/>
    <s v="New Mexico"/>
    <s v="Albuquerque"/>
    <x v="3"/>
    <n v="49"/>
    <n v="123"/>
    <n v="6027"/>
    <n v="2832.69"/>
    <n v="0.47"/>
    <x v="2"/>
  </r>
  <r>
    <x v="4"/>
    <n v="1128299"/>
    <x v="403"/>
    <x v="2"/>
    <s v="New Mexico"/>
    <s v="Albuquerque"/>
    <x v="4"/>
    <n v="54"/>
    <n v="111"/>
    <n v="5994"/>
    <n v="2397.6"/>
    <n v="0.4"/>
    <x v="2"/>
  </r>
  <r>
    <x v="4"/>
    <n v="1128299"/>
    <x v="403"/>
    <x v="2"/>
    <s v="New Mexico"/>
    <s v="Albuquerque"/>
    <x v="5"/>
    <n v="59"/>
    <n v="133"/>
    <n v="7847"/>
    <n v="2824.92"/>
    <n v="0.36"/>
    <x v="2"/>
  </r>
  <r>
    <x v="4"/>
    <n v="1128299"/>
    <x v="432"/>
    <x v="2"/>
    <s v="New Mexico"/>
    <s v="Albuquerque"/>
    <x v="0"/>
    <n v="48"/>
    <n v="165"/>
    <n v="7920"/>
    <n v="3960"/>
    <n v="0.5"/>
    <x v="2"/>
  </r>
  <r>
    <x v="4"/>
    <n v="1128299"/>
    <x v="432"/>
    <x v="2"/>
    <s v="New Mexico"/>
    <s v="Albuquerque"/>
    <x v="1"/>
    <n v="50"/>
    <n v="149"/>
    <n v="7450"/>
    <n v="3948.5"/>
    <n v="0.53"/>
    <x v="2"/>
  </r>
  <r>
    <x v="4"/>
    <n v="1128299"/>
    <x v="432"/>
    <x v="2"/>
    <s v="New Mexico"/>
    <s v="Albuquerque"/>
    <x v="2"/>
    <n v="48"/>
    <n v="105"/>
    <n v="5040"/>
    <n v="2368.7999999999997"/>
    <n v="0.47"/>
    <x v="2"/>
  </r>
  <r>
    <x v="4"/>
    <n v="1128299"/>
    <x v="432"/>
    <x v="2"/>
    <s v="New Mexico"/>
    <s v="Albuquerque"/>
    <x v="3"/>
    <n v="46"/>
    <n v="95"/>
    <n v="4370"/>
    <n v="2141.3000000000002"/>
    <n v="0.49"/>
    <x v="2"/>
  </r>
  <r>
    <x v="4"/>
    <n v="1128299"/>
    <x v="432"/>
    <x v="2"/>
    <s v="New Mexico"/>
    <s v="Albuquerque"/>
    <x v="4"/>
    <n v="56"/>
    <n v="91"/>
    <n v="5096"/>
    <n v="2242.2400000000002"/>
    <n v="0.44"/>
    <x v="2"/>
  </r>
  <r>
    <x v="4"/>
    <n v="1128299"/>
    <x v="432"/>
    <x v="2"/>
    <s v="New Mexico"/>
    <s v="Albuquerque"/>
    <x v="5"/>
    <n v="68"/>
    <n v="105"/>
    <n v="7140"/>
    <n v="2641.8"/>
    <n v="0.37"/>
    <x v="2"/>
  </r>
  <r>
    <x v="4"/>
    <n v="1128299"/>
    <x v="463"/>
    <x v="2"/>
    <s v="New Mexico"/>
    <s v="Albuquerque"/>
    <x v="0"/>
    <n v="58"/>
    <n v="160"/>
    <n v="9280"/>
    <n v="4547.2"/>
    <n v="0.49"/>
    <x v="2"/>
  </r>
  <r>
    <x v="4"/>
    <n v="1128299"/>
    <x v="463"/>
    <x v="2"/>
    <s v="New Mexico"/>
    <s v="Albuquerque"/>
    <x v="1"/>
    <n v="59"/>
    <n v="150"/>
    <n v="8850"/>
    <n v="4779"/>
    <n v="0.54"/>
    <x v="2"/>
  </r>
  <r>
    <x v="4"/>
    <n v="1128299"/>
    <x v="463"/>
    <x v="2"/>
    <s v="New Mexico"/>
    <s v="Albuquerque"/>
    <x v="2"/>
    <n v="54"/>
    <n v="117"/>
    <n v="6318"/>
    <n v="3032.64"/>
    <n v="0.48"/>
    <x v="2"/>
  </r>
  <r>
    <x v="4"/>
    <n v="1128299"/>
    <x v="463"/>
    <x v="2"/>
    <s v="New Mexico"/>
    <s v="Albuquerque"/>
    <x v="3"/>
    <n v="55"/>
    <n v="115"/>
    <n v="6325"/>
    <n v="2972.75"/>
    <n v="0.47"/>
    <x v="2"/>
  </r>
  <r>
    <x v="4"/>
    <n v="1128299"/>
    <x v="463"/>
    <x v="2"/>
    <s v="New Mexico"/>
    <s v="Albuquerque"/>
    <x v="4"/>
    <n v="65"/>
    <n v="113"/>
    <n v="7345"/>
    <n v="3231.8"/>
    <n v="0.44"/>
    <x v="2"/>
  </r>
  <r>
    <x v="4"/>
    <n v="1128299"/>
    <x v="463"/>
    <x v="2"/>
    <s v="New Mexico"/>
    <s v="Albuquerque"/>
    <x v="5"/>
    <n v="72"/>
    <n v="140"/>
    <n v="10080"/>
    <n v="3931.2000000000003"/>
    <n v="0.39"/>
    <x v="2"/>
  </r>
  <r>
    <x v="4"/>
    <n v="1128299"/>
    <x v="492"/>
    <x v="2"/>
    <s v="New Mexico"/>
    <s v="Albuquerque"/>
    <x v="0"/>
    <n v="55"/>
    <n v="210"/>
    <n v="11550"/>
    <n v="5313"/>
    <n v="0.45999999999999996"/>
    <x v="2"/>
  </r>
  <r>
    <x v="4"/>
    <n v="1128299"/>
    <x v="492"/>
    <x v="2"/>
    <s v="New Mexico"/>
    <s v="Albuquerque"/>
    <x v="1"/>
    <n v="61"/>
    <n v="182"/>
    <n v="11102"/>
    <n v="5551"/>
    <n v="0.5"/>
    <x v="2"/>
  </r>
  <r>
    <x v="2"/>
    <n v="1128299"/>
    <x v="492"/>
    <x v="2"/>
    <s v="New Mexico"/>
    <s v="Albuquerque"/>
    <x v="2"/>
    <n v="59"/>
    <n v="130"/>
    <n v="7670"/>
    <n v="3758.2999999999997"/>
    <n v="0.49"/>
    <x v="2"/>
  </r>
  <r>
    <x v="2"/>
    <n v="1128299"/>
    <x v="492"/>
    <x v="2"/>
    <s v="New Mexico"/>
    <s v="Albuquerque"/>
    <x v="3"/>
    <n v="55"/>
    <n v="145"/>
    <n v="7975"/>
    <n v="3668.4999999999995"/>
    <n v="0.45999999999999996"/>
    <x v="2"/>
  </r>
  <r>
    <x v="2"/>
    <n v="1128299"/>
    <x v="492"/>
    <x v="2"/>
    <s v="New Mexico"/>
    <s v="Albuquerque"/>
    <x v="4"/>
    <n v="64"/>
    <n v="119"/>
    <n v="7616"/>
    <n v="3427.2"/>
    <n v="0.44999999999999996"/>
    <x v="2"/>
  </r>
  <r>
    <x v="2"/>
    <n v="1128299"/>
    <x v="492"/>
    <x v="2"/>
    <s v="New Mexico"/>
    <s v="Albuquerque"/>
    <x v="5"/>
    <n v="72"/>
    <n v="131"/>
    <n v="9432"/>
    <n v="3301.2"/>
    <n v="0.35"/>
    <x v="2"/>
  </r>
  <r>
    <x v="2"/>
    <n v="1128299"/>
    <x v="177"/>
    <x v="2"/>
    <s v="New Mexico"/>
    <s v="Albuquerque"/>
    <x v="0"/>
    <n v="29"/>
    <n v="131"/>
    <n v="3799"/>
    <n v="1937.49"/>
    <n v="0.51"/>
    <x v="2"/>
  </r>
  <r>
    <x v="2"/>
    <n v="1128299"/>
    <x v="177"/>
    <x v="2"/>
    <s v="New Mexico"/>
    <s v="Albuquerque"/>
    <x v="1"/>
    <n v="39"/>
    <n v="135"/>
    <n v="5265"/>
    <n v="2685.15"/>
    <n v="0.51"/>
    <x v="2"/>
  </r>
  <r>
    <x v="2"/>
    <n v="1128299"/>
    <x v="177"/>
    <x v="2"/>
    <s v="New Mexico"/>
    <s v="Albuquerque"/>
    <x v="2"/>
    <n v="38"/>
    <n v="126"/>
    <n v="4788"/>
    <n v="2154.6"/>
    <n v="0.44999999999999996"/>
    <x v="2"/>
  </r>
  <r>
    <x v="2"/>
    <n v="1128299"/>
    <x v="177"/>
    <x v="2"/>
    <s v="New Mexico"/>
    <s v="Albuquerque"/>
    <x v="3"/>
    <n v="39"/>
    <n v="75"/>
    <n v="2925"/>
    <n v="1462.5"/>
    <n v="0.5"/>
    <x v="2"/>
  </r>
  <r>
    <x v="2"/>
    <n v="1128299"/>
    <x v="177"/>
    <x v="2"/>
    <s v="New Mexico"/>
    <s v="Albuquerque"/>
    <x v="4"/>
    <n v="41"/>
    <n v="63"/>
    <n v="2583"/>
    <n v="1162.3499999999999"/>
    <n v="0.44999999999999996"/>
    <x v="2"/>
  </r>
  <r>
    <x v="2"/>
    <n v="1128299"/>
    <x v="177"/>
    <x v="2"/>
    <s v="New Mexico"/>
    <s v="Albuquerque"/>
    <x v="5"/>
    <n v="36"/>
    <n v="117"/>
    <n v="4212"/>
    <n v="1642.68"/>
    <n v="0.39"/>
    <x v="2"/>
  </r>
  <r>
    <x v="2"/>
    <n v="1128299"/>
    <x v="208"/>
    <x v="2"/>
    <s v="New Mexico"/>
    <s v="Albuquerque"/>
    <x v="0"/>
    <n v="29"/>
    <n v="145"/>
    <n v="4205"/>
    <n v="2228.65"/>
    <n v="0.53"/>
    <x v="2"/>
  </r>
  <r>
    <x v="2"/>
    <n v="1128299"/>
    <x v="208"/>
    <x v="2"/>
    <s v="New Mexico"/>
    <s v="Albuquerque"/>
    <x v="1"/>
    <n v="37"/>
    <n v="112"/>
    <n v="4144"/>
    <n v="2279.2000000000003"/>
    <n v="0.55000000000000004"/>
    <x v="2"/>
  </r>
  <r>
    <x v="2"/>
    <n v="1128299"/>
    <x v="208"/>
    <x v="2"/>
    <s v="New Mexico"/>
    <s v="Albuquerque"/>
    <x v="2"/>
    <n v="37"/>
    <n v="104"/>
    <n v="3848"/>
    <n v="1924"/>
    <n v="0.5"/>
    <x v="2"/>
  </r>
  <r>
    <x v="2"/>
    <n v="1128299"/>
    <x v="208"/>
    <x v="4"/>
    <s v="Georgia"/>
    <s v="Atlanta"/>
    <x v="3"/>
    <n v="36"/>
    <n v="63"/>
    <n v="2268"/>
    <n v="1179.3600000000001"/>
    <n v="0.52"/>
    <x v="2"/>
  </r>
  <r>
    <x v="2"/>
    <n v="1128299"/>
    <x v="208"/>
    <x v="4"/>
    <s v="Georgia"/>
    <s v="Atlanta"/>
    <x v="4"/>
    <n v="41"/>
    <n v="51"/>
    <n v="2091"/>
    <n v="1003.68"/>
    <n v="0.48"/>
    <x v="2"/>
  </r>
  <r>
    <x v="2"/>
    <n v="1128299"/>
    <x v="208"/>
    <x v="4"/>
    <s v="Georgia"/>
    <s v="Atlanta"/>
    <x v="5"/>
    <n v="37"/>
    <n v="98"/>
    <n v="3626"/>
    <n v="1305.3599999999999"/>
    <n v="0.36"/>
    <x v="2"/>
  </r>
  <r>
    <x v="2"/>
    <n v="1128299"/>
    <x v="217"/>
    <x v="4"/>
    <s v="Georgia"/>
    <s v="Atlanta"/>
    <x v="0"/>
    <n v="37"/>
    <n v="137"/>
    <n v="5069"/>
    <n v="2534.5"/>
    <n v="0.5"/>
    <x v="2"/>
  </r>
  <r>
    <x v="2"/>
    <n v="1128299"/>
    <x v="217"/>
    <x v="4"/>
    <s v="Georgia"/>
    <s v="Atlanta"/>
    <x v="1"/>
    <n v="46"/>
    <n v="101"/>
    <n v="4646"/>
    <n v="2462.38"/>
    <n v="0.53"/>
    <x v="2"/>
  </r>
  <r>
    <x v="2"/>
    <n v="1128299"/>
    <x v="217"/>
    <x v="4"/>
    <s v="Georgia"/>
    <s v="Atlanta"/>
    <x v="2"/>
    <n v="49"/>
    <n v="113"/>
    <n v="5537"/>
    <n v="2713.13"/>
    <n v="0.49"/>
    <x v="2"/>
  </r>
  <r>
    <x v="2"/>
    <n v="1128299"/>
    <x v="217"/>
    <x v="4"/>
    <s v="Georgia"/>
    <s v="Atlanta"/>
    <x v="3"/>
    <n v="47"/>
    <n v="73"/>
    <n v="3431"/>
    <n v="1784.1200000000001"/>
    <n v="0.52"/>
    <x v="2"/>
  </r>
  <r>
    <x v="2"/>
    <n v="1128299"/>
    <x v="217"/>
    <x v="4"/>
    <s v="Georgia"/>
    <s v="Atlanta"/>
    <x v="4"/>
    <n v="51"/>
    <n v="39"/>
    <n v="1989"/>
    <n v="934.82999999999993"/>
    <n v="0.47"/>
    <x v="2"/>
  </r>
  <r>
    <x v="2"/>
    <n v="1128299"/>
    <x v="217"/>
    <x v="4"/>
    <s v="Georgia"/>
    <s v="Atlanta"/>
    <x v="5"/>
    <n v="48"/>
    <n v="95"/>
    <n v="4560"/>
    <n v="1641.6"/>
    <n v="0.36"/>
    <x v="2"/>
  </r>
  <r>
    <x v="2"/>
    <n v="1128299"/>
    <x v="236"/>
    <x v="4"/>
    <s v="Georgia"/>
    <s v="Atlanta"/>
    <x v="0"/>
    <n v="45"/>
    <n v="142"/>
    <n v="6390"/>
    <n v="3258.9"/>
    <n v="0.51"/>
    <x v="2"/>
  </r>
  <r>
    <x v="2"/>
    <n v="1128299"/>
    <x v="236"/>
    <x v="4"/>
    <s v="Georgia"/>
    <s v="Atlanta"/>
    <x v="1"/>
    <n v="51"/>
    <n v="88"/>
    <n v="4488"/>
    <n v="2244"/>
    <n v="0.5"/>
    <x v="2"/>
  </r>
  <r>
    <x v="2"/>
    <n v="1128299"/>
    <x v="236"/>
    <x v="4"/>
    <s v="Georgia"/>
    <s v="Atlanta"/>
    <x v="2"/>
    <n v="50"/>
    <n v="94"/>
    <n v="4700"/>
    <n v="2350"/>
    <n v="0.5"/>
    <x v="2"/>
  </r>
  <r>
    <x v="2"/>
    <n v="1128299"/>
    <x v="236"/>
    <x v="4"/>
    <s v="Georgia"/>
    <s v="Atlanta"/>
    <x v="3"/>
    <n v="48"/>
    <n v="69"/>
    <n v="3312"/>
    <n v="1821.6000000000001"/>
    <n v="0.55000000000000004"/>
    <x v="2"/>
  </r>
  <r>
    <x v="2"/>
    <n v="1128299"/>
    <x v="236"/>
    <x v="4"/>
    <s v="Georgia"/>
    <s v="Atlanta"/>
    <x v="4"/>
    <n v="52"/>
    <n v="53"/>
    <n v="2756"/>
    <n v="1322.8799999999999"/>
    <n v="0.48"/>
    <x v="2"/>
  </r>
  <r>
    <x v="2"/>
    <n v="1128299"/>
    <x v="236"/>
    <x v="4"/>
    <s v="Georgia"/>
    <s v="Atlanta"/>
    <x v="5"/>
    <n v="63"/>
    <n v="105"/>
    <n v="6615"/>
    <n v="2646"/>
    <n v="0.4"/>
    <x v="2"/>
  </r>
  <r>
    <x v="2"/>
    <n v="1128299"/>
    <x v="267"/>
    <x v="4"/>
    <s v="Georgia"/>
    <s v="Atlanta"/>
    <x v="0"/>
    <n v="47"/>
    <n v="160"/>
    <n v="7520"/>
    <n v="4060.8"/>
    <n v="0.54"/>
    <x v="2"/>
  </r>
  <r>
    <x v="2"/>
    <n v="1128299"/>
    <x v="267"/>
    <x v="4"/>
    <s v="Georgia"/>
    <s v="Atlanta"/>
    <x v="1"/>
    <n v="52"/>
    <n v="108"/>
    <n v="5616"/>
    <n v="2920.32"/>
    <n v="0.52"/>
    <x v="2"/>
  </r>
  <r>
    <x v="2"/>
    <n v="1128299"/>
    <x v="267"/>
    <x v="4"/>
    <s v="Georgia"/>
    <s v="Atlanta"/>
    <x v="2"/>
    <n v="52"/>
    <n v="123"/>
    <n v="6396"/>
    <n v="3198"/>
    <n v="0.5"/>
    <x v="2"/>
  </r>
  <r>
    <x v="2"/>
    <n v="1128299"/>
    <x v="267"/>
    <x v="4"/>
    <s v="Georgia"/>
    <s v="Atlanta"/>
    <x v="3"/>
    <n v="47"/>
    <n v="91"/>
    <n v="4277"/>
    <n v="2309.58"/>
    <n v="0.54"/>
    <x v="2"/>
  </r>
  <r>
    <x v="2"/>
    <n v="1128299"/>
    <x v="267"/>
    <x v="4"/>
    <s v="Georgia"/>
    <s v="Atlanta"/>
    <x v="4"/>
    <n v="50"/>
    <n v="56"/>
    <n v="2800"/>
    <n v="1344"/>
    <n v="0.48"/>
    <x v="2"/>
  </r>
  <r>
    <x v="2"/>
    <n v="1128299"/>
    <x v="267"/>
    <x v="4"/>
    <s v="Georgia"/>
    <s v="Atlanta"/>
    <x v="5"/>
    <n v="64"/>
    <n v="120"/>
    <n v="7680"/>
    <n v="3072"/>
    <n v="0.4"/>
    <x v="2"/>
  </r>
  <r>
    <x v="2"/>
    <n v="1128299"/>
    <x v="297"/>
    <x v="4"/>
    <s v="Georgia"/>
    <s v="Atlanta"/>
    <x v="0"/>
    <n v="46"/>
    <n v="176"/>
    <n v="8096"/>
    <n v="4290.88"/>
    <n v="0.53"/>
    <x v="2"/>
  </r>
  <r>
    <x v="2"/>
    <n v="1128299"/>
    <x v="297"/>
    <x v="4"/>
    <s v="Georgia"/>
    <s v="Atlanta"/>
    <x v="1"/>
    <n v="54"/>
    <n v="147"/>
    <n v="7938"/>
    <n v="4048.38"/>
    <n v="0.51"/>
    <x v="2"/>
  </r>
  <r>
    <x v="2"/>
    <n v="1128299"/>
    <x v="297"/>
    <x v="4"/>
    <s v="Georgia"/>
    <s v="Atlanta"/>
    <x v="2"/>
    <n v="52"/>
    <n v="142"/>
    <n v="7384"/>
    <n v="3544.3199999999997"/>
    <n v="0.48"/>
    <x v="2"/>
  </r>
  <r>
    <x v="2"/>
    <n v="1128299"/>
    <x v="297"/>
    <x v="4"/>
    <s v="Georgia"/>
    <s v="Atlanta"/>
    <x v="3"/>
    <n v="49"/>
    <n v="120"/>
    <n v="5880"/>
    <n v="2998.8"/>
    <n v="0.51"/>
    <x v="2"/>
  </r>
  <r>
    <x v="2"/>
    <n v="1128299"/>
    <x v="297"/>
    <x v="4"/>
    <s v="Georgia"/>
    <s v="Atlanta"/>
    <x v="4"/>
    <n v="51"/>
    <n v="72"/>
    <n v="3672"/>
    <n v="1762.56"/>
    <n v="0.48"/>
    <x v="2"/>
  </r>
  <r>
    <x v="2"/>
    <n v="1128299"/>
    <x v="297"/>
    <x v="4"/>
    <s v="Georgia"/>
    <s v="Atlanta"/>
    <x v="5"/>
    <n v="67"/>
    <n v="150"/>
    <n v="10050"/>
    <n v="3517.5"/>
    <n v="0.35"/>
    <x v="2"/>
  </r>
  <r>
    <x v="2"/>
    <n v="1128299"/>
    <x v="326"/>
    <x v="4"/>
    <s v="Georgia"/>
    <s v="Atlanta"/>
    <x v="0"/>
    <n v="47"/>
    <n v="196"/>
    <n v="9212"/>
    <n v="4606"/>
    <n v="0.5"/>
    <x v="2"/>
  </r>
  <r>
    <x v="2"/>
    <n v="1128299"/>
    <x v="326"/>
    <x v="4"/>
    <s v="Georgia"/>
    <s v="Atlanta"/>
    <x v="1"/>
    <n v="51"/>
    <n v="173"/>
    <n v="8823"/>
    <n v="4499.7300000000005"/>
    <n v="0.51"/>
    <x v="2"/>
  </r>
  <r>
    <x v="2"/>
    <n v="1128299"/>
    <x v="326"/>
    <x v="4"/>
    <s v="Georgia"/>
    <s v="Atlanta"/>
    <x v="2"/>
    <n v="50"/>
    <n v="137"/>
    <n v="6850"/>
    <n v="3425"/>
    <n v="0.5"/>
    <x v="2"/>
  </r>
  <r>
    <x v="2"/>
    <n v="1128299"/>
    <x v="326"/>
    <x v="4"/>
    <s v="Georgia"/>
    <s v="Atlanta"/>
    <x v="3"/>
    <n v="46"/>
    <n v="128"/>
    <n v="5888"/>
    <n v="3002.88"/>
    <n v="0.51"/>
    <x v="2"/>
  </r>
  <r>
    <x v="2"/>
    <n v="1128299"/>
    <x v="326"/>
    <x v="4"/>
    <s v="Georgia"/>
    <s v="Atlanta"/>
    <x v="4"/>
    <n v="54"/>
    <n v="138"/>
    <n v="7452"/>
    <n v="3576.96"/>
    <n v="0.48"/>
    <x v="2"/>
  </r>
  <r>
    <x v="2"/>
    <n v="1128299"/>
    <x v="326"/>
    <x v="4"/>
    <s v="Georgia"/>
    <s v="Atlanta"/>
    <x v="5"/>
    <n v="67"/>
    <n v="143"/>
    <n v="9581"/>
    <n v="3640.78"/>
    <n v="0.38"/>
    <x v="2"/>
  </r>
  <r>
    <x v="2"/>
    <n v="1128299"/>
    <x v="358"/>
    <x v="4"/>
    <s v="Georgia"/>
    <s v="Atlanta"/>
    <x v="0"/>
    <n v="53"/>
    <n v="182"/>
    <n v="9646"/>
    <n v="4919.46"/>
    <n v="0.51"/>
    <x v="2"/>
  </r>
  <r>
    <x v="2"/>
    <n v="1128299"/>
    <x v="358"/>
    <x v="4"/>
    <s v="Georgia"/>
    <s v="Atlanta"/>
    <x v="1"/>
    <n v="58"/>
    <n v="175"/>
    <n v="10150"/>
    <n v="5278"/>
    <n v="0.52"/>
    <x v="2"/>
  </r>
  <r>
    <x v="2"/>
    <n v="1128299"/>
    <x v="358"/>
    <x v="4"/>
    <s v="Georgia"/>
    <s v="Atlanta"/>
    <x v="2"/>
    <n v="54"/>
    <n v="150"/>
    <n v="8100"/>
    <n v="3725.9999999999995"/>
    <n v="0.45999999999999996"/>
    <x v="2"/>
  </r>
  <r>
    <x v="2"/>
    <n v="1128299"/>
    <x v="358"/>
    <x v="4"/>
    <s v="Georgia"/>
    <s v="Atlanta"/>
    <x v="3"/>
    <n v="53"/>
    <n v="113"/>
    <n v="5989"/>
    <n v="3114.28"/>
    <n v="0.52"/>
    <x v="2"/>
  </r>
  <r>
    <x v="2"/>
    <n v="1128299"/>
    <x v="358"/>
    <x v="4"/>
    <s v="Georgia"/>
    <s v="Atlanta"/>
    <x v="4"/>
    <n v="60"/>
    <n v="126"/>
    <n v="7560"/>
    <n v="3628.7999999999997"/>
    <n v="0.48"/>
    <x v="2"/>
  </r>
  <r>
    <x v="2"/>
    <n v="1128299"/>
    <x v="358"/>
    <x v="4"/>
    <s v="Georgia"/>
    <s v="Atlanta"/>
    <x v="5"/>
    <n v="68"/>
    <n v="119"/>
    <n v="8092"/>
    <n v="2832.2"/>
    <n v="0.35"/>
    <x v="2"/>
  </r>
  <r>
    <x v="2"/>
    <n v="1128299"/>
    <x v="390"/>
    <x v="4"/>
    <s v="Georgia"/>
    <s v="Atlanta"/>
    <x v="0"/>
    <n v="43"/>
    <n v="180"/>
    <n v="7740"/>
    <n v="4179.6000000000004"/>
    <n v="0.54"/>
    <x v="2"/>
  </r>
  <r>
    <x v="2"/>
    <n v="1128299"/>
    <x v="390"/>
    <x v="4"/>
    <s v="Georgia"/>
    <s v="Atlanta"/>
    <x v="1"/>
    <n v="47"/>
    <n v="156"/>
    <n v="7332"/>
    <n v="4032.6000000000004"/>
    <n v="0.55000000000000004"/>
    <x v="2"/>
  </r>
  <r>
    <x v="2"/>
    <n v="1128299"/>
    <x v="390"/>
    <x v="4"/>
    <s v="Georgia"/>
    <s v="Atlanta"/>
    <x v="2"/>
    <n v="42"/>
    <n v="135"/>
    <n v="5670"/>
    <n v="2664.8999999999996"/>
    <n v="0.47"/>
    <x v="2"/>
  </r>
  <r>
    <x v="2"/>
    <n v="1128299"/>
    <x v="390"/>
    <x v="4"/>
    <s v="Georgia"/>
    <s v="Atlanta"/>
    <x v="3"/>
    <n v="43"/>
    <n v="120"/>
    <n v="5160"/>
    <n v="2786.4"/>
    <n v="0.54"/>
    <x v="2"/>
  </r>
  <r>
    <x v="2"/>
    <n v="1128299"/>
    <x v="390"/>
    <x v="4"/>
    <s v="Georgia"/>
    <s v="Atlanta"/>
    <x v="4"/>
    <n v="54"/>
    <n v="100"/>
    <n v="5400"/>
    <n v="2592"/>
    <n v="0.48"/>
    <x v="2"/>
  </r>
  <r>
    <x v="2"/>
    <n v="1128299"/>
    <x v="390"/>
    <x v="4"/>
    <s v="Georgia"/>
    <s v="Atlanta"/>
    <x v="5"/>
    <n v="59"/>
    <n v="131"/>
    <n v="7729"/>
    <n v="3091.6000000000004"/>
    <n v="0.4"/>
    <x v="2"/>
  </r>
  <r>
    <x v="2"/>
    <n v="1128299"/>
    <x v="419"/>
    <x v="4"/>
    <s v="Georgia"/>
    <s v="Atlanta"/>
    <x v="0"/>
    <n v="42"/>
    <n v="131"/>
    <n v="5502"/>
    <n v="2806.02"/>
    <n v="0.51"/>
    <x v="2"/>
  </r>
  <r>
    <x v="2"/>
    <n v="1128299"/>
    <x v="419"/>
    <x v="4"/>
    <s v="Georgia"/>
    <s v="Atlanta"/>
    <x v="1"/>
    <n v="47"/>
    <n v="142"/>
    <n v="6674"/>
    <n v="3470.48"/>
    <n v="0.52"/>
    <x v="2"/>
  </r>
  <r>
    <x v="2"/>
    <n v="1128299"/>
    <x v="419"/>
    <x v="4"/>
    <s v="Georgia"/>
    <s v="Atlanta"/>
    <x v="2"/>
    <n v="42"/>
    <n v="105"/>
    <n v="4410"/>
    <n v="2072.6999999999998"/>
    <n v="0.47"/>
    <x v="2"/>
  </r>
  <r>
    <x v="2"/>
    <n v="1128299"/>
    <x v="419"/>
    <x v="4"/>
    <s v="Georgia"/>
    <s v="Atlanta"/>
    <x v="3"/>
    <n v="44"/>
    <n v="88"/>
    <n v="3872"/>
    <n v="1936"/>
    <n v="0.5"/>
    <x v="2"/>
  </r>
  <r>
    <x v="2"/>
    <n v="1128299"/>
    <x v="419"/>
    <x v="4"/>
    <s v="Georgia"/>
    <s v="Atlanta"/>
    <x v="4"/>
    <n v="50"/>
    <n v="90"/>
    <n v="4500"/>
    <n v="2070"/>
    <n v="0.45999999999999996"/>
    <x v="2"/>
  </r>
  <r>
    <x v="2"/>
    <n v="1128299"/>
    <x v="419"/>
    <x v="4"/>
    <s v="Georgia"/>
    <s v="Atlanta"/>
    <x v="5"/>
    <n v="64"/>
    <n v="102"/>
    <n v="6528"/>
    <n v="2545.92"/>
    <n v="0.39"/>
    <x v="2"/>
  </r>
  <r>
    <x v="2"/>
    <n v="1128299"/>
    <x v="450"/>
    <x v="4"/>
    <s v="Georgia"/>
    <s v="Atlanta"/>
    <x v="0"/>
    <n v="51"/>
    <n v="137"/>
    <n v="6987"/>
    <n v="3563.37"/>
    <n v="0.51"/>
    <x v="2"/>
  </r>
  <r>
    <x v="2"/>
    <n v="1128299"/>
    <x v="450"/>
    <x v="4"/>
    <s v="Georgia"/>
    <s v="Atlanta"/>
    <x v="1"/>
    <n v="58"/>
    <n v="173"/>
    <n v="10034"/>
    <n v="5418.3600000000006"/>
    <n v="0.54"/>
    <x v="2"/>
  </r>
  <r>
    <x v="2"/>
    <n v="1128299"/>
    <x v="450"/>
    <x v="4"/>
    <s v="Georgia"/>
    <s v="Atlanta"/>
    <x v="2"/>
    <n v="54"/>
    <n v="115"/>
    <n v="6210"/>
    <n v="2918.7"/>
    <n v="0.47"/>
    <x v="2"/>
  </r>
  <r>
    <x v="2"/>
    <n v="1128299"/>
    <x v="450"/>
    <x v="4"/>
    <s v="Georgia"/>
    <s v="Atlanta"/>
    <x v="3"/>
    <n v="51"/>
    <n v="116"/>
    <n v="5916"/>
    <n v="3076.32"/>
    <n v="0.52"/>
    <x v="2"/>
  </r>
  <r>
    <x v="2"/>
    <n v="1128299"/>
    <x v="450"/>
    <x v="4"/>
    <s v="Georgia"/>
    <s v="Atlanta"/>
    <x v="4"/>
    <n v="60"/>
    <n v="102"/>
    <n v="6120"/>
    <n v="2876.3999999999996"/>
    <n v="0.47"/>
    <x v="2"/>
  </r>
  <r>
    <x v="2"/>
    <n v="1128299"/>
    <x v="450"/>
    <x v="4"/>
    <s v="Georgia"/>
    <s v="Atlanta"/>
    <x v="5"/>
    <n v="65"/>
    <n v="124"/>
    <n v="8060"/>
    <n v="2821"/>
    <n v="0.35"/>
    <x v="2"/>
  </r>
  <r>
    <x v="2"/>
    <n v="1128299"/>
    <x v="479"/>
    <x v="4"/>
    <s v="Georgia"/>
    <s v="Atlanta"/>
    <x v="0"/>
    <n v="50"/>
    <n v="203"/>
    <n v="10150"/>
    <n v="5582.5"/>
    <n v="0.55000000000000004"/>
    <x v="2"/>
  </r>
  <r>
    <x v="2"/>
    <n v="1128299"/>
    <x v="479"/>
    <x v="4"/>
    <s v="Georgia"/>
    <s v="Atlanta"/>
    <x v="1"/>
    <n v="58"/>
    <n v="189"/>
    <n v="10962"/>
    <n v="5809.8600000000006"/>
    <n v="0.53"/>
    <x v="2"/>
  </r>
  <r>
    <x v="0"/>
    <n v="1128299"/>
    <x v="479"/>
    <x v="4"/>
    <s v="Georgia"/>
    <s v="Atlanta"/>
    <x v="2"/>
    <n v="53"/>
    <n v="138"/>
    <n v="7314"/>
    <n v="3657"/>
    <n v="0.5"/>
    <x v="2"/>
  </r>
  <r>
    <x v="0"/>
    <n v="1128299"/>
    <x v="479"/>
    <x v="4"/>
    <s v="Georgia"/>
    <s v="Atlanta"/>
    <x v="3"/>
    <n v="51"/>
    <n v="128"/>
    <n v="6528"/>
    <n v="3264"/>
    <n v="0.5"/>
    <x v="2"/>
  </r>
  <r>
    <x v="0"/>
    <n v="1128299"/>
    <x v="479"/>
    <x v="4"/>
    <s v="Georgia"/>
    <s v="Atlanta"/>
    <x v="4"/>
    <n v="64"/>
    <n v="116"/>
    <n v="7424"/>
    <n v="3712"/>
    <n v="0.5"/>
    <x v="2"/>
  </r>
  <r>
    <x v="0"/>
    <n v="1128299"/>
    <x v="479"/>
    <x v="4"/>
    <s v="Georgia"/>
    <s v="Atlanta"/>
    <x v="5"/>
    <n v="64"/>
    <n v="135"/>
    <n v="8640"/>
    <n v="3024"/>
    <n v="0.35"/>
    <x v="2"/>
  </r>
  <r>
    <x v="0"/>
    <n v="1185732"/>
    <x v="173"/>
    <x v="4"/>
    <s v="Georgia"/>
    <s v="Atlanta"/>
    <x v="0"/>
    <n v="39"/>
    <n v="256"/>
    <n v="9984"/>
    <n v="5790.7200000000012"/>
    <n v="0.58000000000000007"/>
    <x v="2"/>
  </r>
  <r>
    <x v="0"/>
    <n v="1185732"/>
    <x v="173"/>
    <x v="4"/>
    <s v="Georgia"/>
    <s v="Atlanta"/>
    <x v="1"/>
    <n v="37"/>
    <n v="206"/>
    <n v="7622"/>
    <n v="3429.8999999999996"/>
    <n v="0.44999999999999996"/>
    <x v="2"/>
  </r>
  <r>
    <x v="0"/>
    <n v="1185732"/>
    <x v="173"/>
    <x v="4"/>
    <s v="Georgia"/>
    <s v="Atlanta"/>
    <x v="2"/>
    <n v="29"/>
    <n v="248"/>
    <n v="7192"/>
    <n v="2804.88"/>
    <n v="0.39"/>
    <x v="2"/>
  </r>
  <r>
    <x v="0"/>
    <n v="1185732"/>
    <x v="173"/>
    <x v="4"/>
    <s v="Georgia"/>
    <s v="Atlanta"/>
    <x v="3"/>
    <n v="34"/>
    <n v="203"/>
    <n v="6902"/>
    <n v="3036.88"/>
    <n v="0.44"/>
    <x v="2"/>
  </r>
  <r>
    <x v="0"/>
    <n v="1185732"/>
    <x v="173"/>
    <x v="4"/>
    <s v="Georgia"/>
    <s v="Atlanta"/>
    <x v="4"/>
    <n v="47"/>
    <n v="189"/>
    <n v="8883"/>
    <n v="4175.01"/>
    <n v="0.47"/>
    <x v="2"/>
  </r>
  <r>
    <x v="0"/>
    <n v="1185732"/>
    <x v="173"/>
    <x v="4"/>
    <s v="Georgia"/>
    <s v="Atlanta"/>
    <x v="5"/>
    <n v="37"/>
    <n v="239"/>
    <n v="8843"/>
    <n v="5305.8"/>
    <n v="0.6"/>
    <x v="2"/>
  </r>
  <r>
    <x v="0"/>
    <n v="1185732"/>
    <x v="202"/>
    <x v="4"/>
    <s v="Georgia"/>
    <s v="Atlanta"/>
    <x v="0"/>
    <n v="38"/>
    <n v="312"/>
    <n v="11856"/>
    <n v="6995.0400000000009"/>
    <n v="0.59000000000000008"/>
    <x v="2"/>
  </r>
  <r>
    <x v="0"/>
    <n v="1185732"/>
    <x v="202"/>
    <x v="4"/>
    <s v="Georgia"/>
    <s v="Atlanta"/>
    <x v="1"/>
    <n v="39"/>
    <n v="218"/>
    <n v="8502"/>
    <n v="3910.9199999999996"/>
    <n v="0.45999999999999996"/>
    <x v="2"/>
  </r>
  <r>
    <x v="0"/>
    <n v="1185732"/>
    <x v="202"/>
    <x v="4"/>
    <s v="Georgia"/>
    <s v="Atlanta"/>
    <x v="2"/>
    <n v="29"/>
    <n v="217"/>
    <n v="6293"/>
    <n v="2328.41"/>
    <n v="0.37"/>
    <x v="2"/>
  </r>
  <r>
    <x v="0"/>
    <n v="1185732"/>
    <x v="202"/>
    <x v="4"/>
    <s v="South Carolina"/>
    <s v="Charleston"/>
    <x v="3"/>
    <n v="33"/>
    <n v="169"/>
    <n v="5577"/>
    <n v="2509.6499999999996"/>
    <n v="0.44999999999999996"/>
    <x v="2"/>
  </r>
  <r>
    <x v="0"/>
    <n v="1185732"/>
    <x v="202"/>
    <x v="4"/>
    <s v="South Carolina"/>
    <s v="Charleston"/>
    <x v="4"/>
    <n v="49"/>
    <n v="189"/>
    <n v="9261"/>
    <n v="4352.67"/>
    <n v="0.47"/>
    <x v="2"/>
  </r>
  <r>
    <x v="0"/>
    <n v="1185732"/>
    <x v="202"/>
    <x v="4"/>
    <s v="South Carolina"/>
    <s v="Charleston"/>
    <x v="5"/>
    <n v="34"/>
    <n v="216"/>
    <n v="7344"/>
    <n v="4773.6000000000004"/>
    <n v="0.65"/>
    <x v="2"/>
  </r>
  <r>
    <x v="0"/>
    <n v="1185732"/>
    <x v="707"/>
    <x v="4"/>
    <s v="South Carolina"/>
    <s v="Charleston"/>
    <x v="0"/>
    <n v="33"/>
    <n v="265"/>
    <n v="8745"/>
    <n v="5072.1000000000004"/>
    <n v="0.58000000000000007"/>
    <x v="2"/>
  </r>
  <r>
    <x v="0"/>
    <n v="1185732"/>
    <x v="707"/>
    <x v="4"/>
    <s v="South Carolina"/>
    <s v="Charleston"/>
    <x v="1"/>
    <n v="32"/>
    <n v="210"/>
    <n v="6720"/>
    <n v="3292.7999999999997"/>
    <n v="0.49"/>
    <x v="2"/>
  </r>
  <r>
    <x v="0"/>
    <n v="1185732"/>
    <x v="707"/>
    <x v="4"/>
    <s v="South Carolina"/>
    <s v="Charleston"/>
    <x v="2"/>
    <n v="24"/>
    <n v="181"/>
    <n v="4344"/>
    <n v="1650.72"/>
    <n v="0.38"/>
    <x v="2"/>
  </r>
  <r>
    <x v="0"/>
    <n v="1185732"/>
    <x v="707"/>
    <x v="4"/>
    <s v="South Carolina"/>
    <s v="Charleston"/>
    <x v="3"/>
    <n v="27"/>
    <n v="144"/>
    <n v="3888"/>
    <n v="1632.96"/>
    <n v="0.42"/>
    <x v="2"/>
  </r>
  <r>
    <x v="0"/>
    <n v="1185732"/>
    <x v="707"/>
    <x v="4"/>
    <s v="South Carolina"/>
    <s v="Charleston"/>
    <x v="4"/>
    <n v="41"/>
    <n v="181"/>
    <n v="7421"/>
    <n v="3562.08"/>
    <n v="0.48"/>
    <x v="2"/>
  </r>
  <r>
    <x v="0"/>
    <n v="1185732"/>
    <x v="707"/>
    <x v="4"/>
    <s v="South Carolina"/>
    <s v="Charleston"/>
    <x v="5"/>
    <n v="32"/>
    <n v="189"/>
    <n v="6048"/>
    <n v="3810.2400000000002"/>
    <n v="0.63"/>
    <x v="2"/>
  </r>
  <r>
    <x v="0"/>
    <n v="1185732"/>
    <x v="229"/>
    <x v="4"/>
    <s v="South Carolina"/>
    <s v="Charleston"/>
    <x v="0"/>
    <n v="33"/>
    <n v="283"/>
    <n v="9339"/>
    <n v="5323.2300000000005"/>
    <n v="0.57000000000000006"/>
    <x v="2"/>
  </r>
  <r>
    <x v="0"/>
    <n v="1185732"/>
    <x v="229"/>
    <x v="4"/>
    <s v="South Carolina"/>
    <s v="Charleston"/>
    <x v="1"/>
    <n v="34"/>
    <n v="182"/>
    <n v="6188"/>
    <n v="2846.4799999999996"/>
    <n v="0.45999999999999996"/>
    <x v="2"/>
  </r>
  <r>
    <x v="0"/>
    <n v="1185732"/>
    <x v="229"/>
    <x v="4"/>
    <s v="South Carolina"/>
    <s v="Charleston"/>
    <x v="2"/>
    <n v="24"/>
    <n v="182"/>
    <n v="4368"/>
    <n v="1659.84"/>
    <n v="0.38"/>
    <x v="2"/>
  </r>
  <r>
    <x v="0"/>
    <n v="1185732"/>
    <x v="229"/>
    <x v="4"/>
    <s v="South Carolina"/>
    <s v="Charleston"/>
    <x v="3"/>
    <n v="27"/>
    <n v="180"/>
    <n v="4860"/>
    <n v="2089.8000000000002"/>
    <n v="0.43"/>
    <x v="2"/>
  </r>
  <r>
    <x v="0"/>
    <n v="1185732"/>
    <x v="229"/>
    <x v="4"/>
    <s v="South Carolina"/>
    <s v="Charleston"/>
    <x v="4"/>
    <n v="47"/>
    <n v="188"/>
    <n v="8836"/>
    <n v="4418"/>
    <n v="0.5"/>
    <x v="2"/>
  </r>
  <r>
    <x v="0"/>
    <n v="1185732"/>
    <x v="229"/>
    <x v="4"/>
    <s v="South Carolina"/>
    <s v="Charleston"/>
    <x v="5"/>
    <n v="39"/>
    <n v="209"/>
    <n v="8151"/>
    <n v="5135.13"/>
    <n v="0.63"/>
    <x v="2"/>
  </r>
  <r>
    <x v="0"/>
    <n v="1185732"/>
    <x v="258"/>
    <x v="4"/>
    <s v="South Carolina"/>
    <s v="Charleston"/>
    <x v="0"/>
    <n v="48"/>
    <n v="282"/>
    <n v="13536"/>
    <n v="7444.8"/>
    <n v="0.55000000000000004"/>
    <x v="2"/>
  </r>
  <r>
    <x v="0"/>
    <n v="1185732"/>
    <x v="258"/>
    <x v="4"/>
    <s v="South Carolina"/>
    <s v="Charleston"/>
    <x v="1"/>
    <n v="45"/>
    <n v="188"/>
    <n v="8460"/>
    <n v="3806.9999999999995"/>
    <n v="0.44999999999999996"/>
    <x v="2"/>
  </r>
  <r>
    <x v="0"/>
    <n v="1185732"/>
    <x v="258"/>
    <x v="4"/>
    <s v="South Carolina"/>
    <s v="Charleston"/>
    <x v="2"/>
    <n v="41"/>
    <n v="210"/>
    <n v="8610"/>
    <n v="3185.7"/>
    <n v="0.37"/>
    <x v="2"/>
  </r>
  <r>
    <x v="0"/>
    <n v="1185732"/>
    <x v="258"/>
    <x v="4"/>
    <s v="South Carolina"/>
    <s v="Charleston"/>
    <x v="3"/>
    <n v="43"/>
    <n v="182"/>
    <n v="7826"/>
    <n v="3286.92"/>
    <n v="0.42"/>
    <x v="2"/>
  </r>
  <r>
    <x v="0"/>
    <n v="1185732"/>
    <x v="258"/>
    <x v="4"/>
    <s v="South Carolina"/>
    <s v="Charleston"/>
    <x v="4"/>
    <n v="53"/>
    <n v="196"/>
    <n v="10388"/>
    <n v="5194"/>
    <n v="0.5"/>
    <x v="2"/>
  </r>
  <r>
    <x v="0"/>
    <n v="1185732"/>
    <x v="258"/>
    <x v="4"/>
    <s v="South Carolina"/>
    <s v="Charleston"/>
    <x v="5"/>
    <n v="59"/>
    <n v="200"/>
    <n v="11800"/>
    <n v="7080"/>
    <n v="0.6"/>
    <x v="2"/>
  </r>
  <r>
    <x v="0"/>
    <n v="1185732"/>
    <x v="291"/>
    <x v="4"/>
    <s v="South Carolina"/>
    <s v="Charleston"/>
    <x v="0"/>
    <n v="51"/>
    <n v="273"/>
    <n v="13923"/>
    <n v="7796.880000000001"/>
    <n v="0.56000000000000005"/>
    <x v="2"/>
  </r>
  <r>
    <x v="0"/>
    <n v="1185732"/>
    <x v="291"/>
    <x v="4"/>
    <s v="South Carolina"/>
    <s v="Charleston"/>
    <x v="1"/>
    <n v="49"/>
    <n v="200"/>
    <n v="9800"/>
    <n v="4410"/>
    <n v="0.44999999999999996"/>
    <x v="2"/>
  </r>
  <r>
    <x v="0"/>
    <n v="1185732"/>
    <x v="291"/>
    <x v="4"/>
    <s v="South Carolina"/>
    <s v="Charleston"/>
    <x v="2"/>
    <n v="47"/>
    <n v="209"/>
    <n v="9823"/>
    <n v="3536.2799999999997"/>
    <n v="0.36"/>
    <x v="2"/>
  </r>
  <r>
    <x v="0"/>
    <n v="1185732"/>
    <x v="291"/>
    <x v="4"/>
    <s v="South Carolina"/>
    <s v="Charleston"/>
    <x v="3"/>
    <n v="47"/>
    <n v="218"/>
    <n v="10246"/>
    <n v="4610.7"/>
    <n v="0.44999999999999996"/>
    <x v="2"/>
  </r>
  <r>
    <x v="0"/>
    <n v="1185732"/>
    <x v="291"/>
    <x v="4"/>
    <s v="South Carolina"/>
    <s v="Charleston"/>
    <x v="4"/>
    <n v="62"/>
    <n v="195"/>
    <n v="12090"/>
    <n v="5440.4999999999991"/>
    <n v="0.44999999999999996"/>
    <x v="2"/>
  </r>
  <r>
    <x v="0"/>
    <n v="1185732"/>
    <x v="291"/>
    <x v="4"/>
    <s v="South Carolina"/>
    <s v="Charleston"/>
    <x v="5"/>
    <n v="65"/>
    <n v="250"/>
    <n v="16250"/>
    <n v="10400"/>
    <n v="0.64"/>
    <x v="2"/>
  </r>
  <r>
    <x v="0"/>
    <n v="1185732"/>
    <x v="319"/>
    <x v="4"/>
    <s v="South Carolina"/>
    <s v="Charleston"/>
    <x v="0"/>
    <n v="63"/>
    <n v="311"/>
    <n v="19593"/>
    <n v="11559.87"/>
    <n v="0.59000000000000008"/>
    <x v="2"/>
  </r>
  <r>
    <x v="0"/>
    <n v="1185732"/>
    <x v="319"/>
    <x v="4"/>
    <s v="South Carolina"/>
    <s v="Charleston"/>
    <x v="1"/>
    <n v="58"/>
    <n v="270"/>
    <n v="15660"/>
    <n v="7673.4"/>
    <n v="0.49"/>
    <x v="2"/>
  </r>
  <r>
    <x v="0"/>
    <n v="1185732"/>
    <x v="319"/>
    <x v="4"/>
    <s v="South Carolina"/>
    <s v="Charleston"/>
    <x v="2"/>
    <n v="51"/>
    <n v="248"/>
    <n v="12648"/>
    <n v="4553.28"/>
    <n v="0.36"/>
    <x v="2"/>
  </r>
  <r>
    <x v="0"/>
    <n v="1185732"/>
    <x v="319"/>
    <x v="4"/>
    <s v="South Carolina"/>
    <s v="Charleston"/>
    <x v="3"/>
    <n v="52"/>
    <n v="202"/>
    <n v="10504"/>
    <n v="4411.68"/>
    <n v="0.42"/>
    <x v="2"/>
  </r>
  <r>
    <x v="0"/>
    <n v="1185732"/>
    <x v="319"/>
    <x v="4"/>
    <s v="South Carolina"/>
    <s v="Charleston"/>
    <x v="4"/>
    <n v="64"/>
    <n v="240"/>
    <n v="15360"/>
    <n v="6911.9999999999991"/>
    <n v="0.44999999999999996"/>
    <x v="2"/>
  </r>
  <r>
    <x v="0"/>
    <n v="1185732"/>
    <x v="319"/>
    <x v="4"/>
    <s v="South Carolina"/>
    <s v="Charleston"/>
    <x v="5"/>
    <n v="66"/>
    <n v="244"/>
    <n v="16104"/>
    <n v="10467.6"/>
    <n v="0.65"/>
    <x v="2"/>
  </r>
  <r>
    <x v="0"/>
    <n v="1185732"/>
    <x v="351"/>
    <x v="4"/>
    <s v="South Carolina"/>
    <s v="Charleston"/>
    <x v="0"/>
    <n v="62"/>
    <n v="326"/>
    <n v="20212"/>
    <n v="11520.840000000002"/>
    <n v="0.57000000000000006"/>
    <x v="2"/>
  </r>
  <r>
    <x v="0"/>
    <n v="1185732"/>
    <x v="351"/>
    <x v="4"/>
    <s v="South Carolina"/>
    <s v="Charleston"/>
    <x v="1"/>
    <n v="54"/>
    <n v="243"/>
    <n v="13122"/>
    <n v="6429.78"/>
    <n v="0.49"/>
    <x v="2"/>
  </r>
  <r>
    <x v="0"/>
    <n v="1185732"/>
    <x v="351"/>
    <x v="4"/>
    <s v="South Carolina"/>
    <s v="Charleston"/>
    <x v="2"/>
    <n v="50"/>
    <n v="231"/>
    <n v="11550"/>
    <n v="4620"/>
    <n v="0.4"/>
    <x v="2"/>
  </r>
  <r>
    <x v="0"/>
    <n v="1185732"/>
    <x v="351"/>
    <x v="4"/>
    <s v="South Carolina"/>
    <s v="Charleston"/>
    <x v="3"/>
    <n v="44"/>
    <n v="233"/>
    <n v="10252"/>
    <n v="4203.32"/>
    <n v="0.41"/>
    <x v="2"/>
  </r>
  <r>
    <x v="0"/>
    <n v="1185732"/>
    <x v="351"/>
    <x v="4"/>
    <s v="South Carolina"/>
    <s v="Charleston"/>
    <x v="4"/>
    <n v="51"/>
    <n v="225"/>
    <n v="11475"/>
    <n v="5278.5"/>
    <n v="0.45999999999999996"/>
    <x v="2"/>
  </r>
  <r>
    <x v="0"/>
    <n v="1185732"/>
    <x v="351"/>
    <x v="4"/>
    <s v="South Carolina"/>
    <s v="Charleston"/>
    <x v="5"/>
    <n v="58"/>
    <n v="278"/>
    <n v="16124"/>
    <n v="9835.64"/>
    <n v="0.61"/>
    <x v="2"/>
  </r>
  <r>
    <x v="0"/>
    <n v="1185732"/>
    <x v="381"/>
    <x v="4"/>
    <s v="South Carolina"/>
    <s v="Charleston"/>
    <x v="0"/>
    <n v="51"/>
    <n v="287"/>
    <n v="14637"/>
    <n v="8489.4600000000009"/>
    <n v="0.58000000000000007"/>
    <x v="2"/>
  </r>
  <r>
    <x v="0"/>
    <n v="1185732"/>
    <x v="381"/>
    <x v="4"/>
    <s v="South Carolina"/>
    <s v="Charleston"/>
    <x v="1"/>
    <n v="48"/>
    <n v="223"/>
    <n v="10704"/>
    <n v="5137.92"/>
    <n v="0.48"/>
    <x v="2"/>
  </r>
  <r>
    <x v="0"/>
    <n v="1185732"/>
    <x v="381"/>
    <x v="4"/>
    <s v="South Carolina"/>
    <s v="Charleston"/>
    <x v="2"/>
    <n v="38"/>
    <n v="196"/>
    <n v="7448"/>
    <n v="2904.7200000000003"/>
    <n v="0.39"/>
    <x v="2"/>
  </r>
  <r>
    <x v="0"/>
    <n v="1185732"/>
    <x v="381"/>
    <x v="4"/>
    <s v="South Carolina"/>
    <s v="Charleston"/>
    <x v="3"/>
    <n v="39"/>
    <n v="210"/>
    <n v="8190"/>
    <n v="3276"/>
    <n v="0.4"/>
    <x v="2"/>
  </r>
  <r>
    <x v="0"/>
    <n v="1185732"/>
    <x v="381"/>
    <x v="4"/>
    <s v="South Carolina"/>
    <s v="Charleston"/>
    <x v="4"/>
    <n v="48"/>
    <n v="175"/>
    <n v="8400"/>
    <n v="3863.9999999999995"/>
    <n v="0.45999999999999996"/>
    <x v="2"/>
  </r>
  <r>
    <x v="0"/>
    <n v="1185732"/>
    <x v="381"/>
    <x v="4"/>
    <s v="South Carolina"/>
    <s v="Charleston"/>
    <x v="5"/>
    <n v="52"/>
    <n v="232"/>
    <n v="12064"/>
    <n v="7238.4"/>
    <n v="0.6"/>
    <x v="2"/>
  </r>
  <r>
    <x v="0"/>
    <n v="1185732"/>
    <x v="413"/>
    <x v="4"/>
    <s v="South Carolina"/>
    <s v="Charleston"/>
    <x v="0"/>
    <n v="50"/>
    <n v="244"/>
    <n v="12200"/>
    <n v="7320"/>
    <n v="0.6"/>
    <x v="2"/>
  </r>
  <r>
    <x v="0"/>
    <n v="1185732"/>
    <x v="413"/>
    <x v="4"/>
    <s v="South Carolina"/>
    <s v="Charleston"/>
    <x v="1"/>
    <n v="42"/>
    <n v="208"/>
    <n v="8736"/>
    <n v="4368"/>
    <n v="0.5"/>
    <x v="2"/>
  </r>
  <r>
    <x v="0"/>
    <n v="1185732"/>
    <x v="413"/>
    <x v="4"/>
    <s v="South Carolina"/>
    <s v="Charleston"/>
    <x v="2"/>
    <n v="41"/>
    <n v="176"/>
    <n v="7216"/>
    <n v="2814.2400000000002"/>
    <n v="0.39"/>
    <x v="2"/>
  </r>
  <r>
    <x v="0"/>
    <n v="1185732"/>
    <x v="413"/>
    <x v="4"/>
    <s v="South Carolina"/>
    <s v="Charleston"/>
    <x v="3"/>
    <n v="41"/>
    <n v="176"/>
    <n v="7216"/>
    <n v="2886.4"/>
    <n v="0.4"/>
    <x v="2"/>
  </r>
  <r>
    <x v="0"/>
    <n v="1185732"/>
    <x v="413"/>
    <x v="4"/>
    <s v="South Carolina"/>
    <s v="Charleston"/>
    <x v="4"/>
    <n v="52"/>
    <n v="189"/>
    <n v="9828"/>
    <n v="4717.4399999999996"/>
    <n v="0.48"/>
    <x v="2"/>
  </r>
  <r>
    <x v="0"/>
    <n v="1185732"/>
    <x v="413"/>
    <x v="4"/>
    <s v="South Carolina"/>
    <s v="Charleston"/>
    <x v="5"/>
    <n v="56"/>
    <n v="225"/>
    <n v="12600"/>
    <n v="8190"/>
    <n v="0.65"/>
    <x v="2"/>
  </r>
  <r>
    <x v="0"/>
    <n v="1185732"/>
    <x v="443"/>
    <x v="4"/>
    <s v="South Carolina"/>
    <s v="Charleston"/>
    <x v="0"/>
    <n v="50"/>
    <n v="278"/>
    <n v="13900"/>
    <n v="7923.0000000000009"/>
    <n v="0.57000000000000006"/>
    <x v="2"/>
  </r>
  <r>
    <x v="0"/>
    <n v="1185732"/>
    <x v="443"/>
    <x v="4"/>
    <s v="South Carolina"/>
    <s v="Charleston"/>
    <x v="1"/>
    <n v="44"/>
    <n v="188"/>
    <n v="8272"/>
    <n v="3722.3999999999996"/>
    <n v="0.44999999999999996"/>
    <x v="2"/>
  </r>
  <r>
    <x v="0"/>
    <n v="1185732"/>
    <x v="443"/>
    <x v="4"/>
    <s v="South Carolina"/>
    <s v="Charleston"/>
    <x v="2"/>
    <n v="43"/>
    <n v="202"/>
    <n v="8686"/>
    <n v="3040.1"/>
    <n v="0.35"/>
    <x v="2"/>
  </r>
  <r>
    <x v="0"/>
    <n v="1185732"/>
    <x v="443"/>
    <x v="4"/>
    <s v="South Carolina"/>
    <s v="Charleston"/>
    <x v="3"/>
    <n v="53"/>
    <n v="225"/>
    <n v="11925"/>
    <n v="5008.5"/>
    <n v="0.42"/>
    <x v="2"/>
  </r>
  <r>
    <x v="0"/>
    <n v="1185732"/>
    <x v="443"/>
    <x v="4"/>
    <s v="South Carolina"/>
    <s v="Charleston"/>
    <x v="4"/>
    <n v="66"/>
    <n v="196"/>
    <n v="12936"/>
    <n v="6079.92"/>
    <n v="0.47"/>
    <x v="2"/>
  </r>
  <r>
    <x v="0"/>
    <n v="1185732"/>
    <x v="443"/>
    <x v="4"/>
    <s v="South Carolina"/>
    <s v="Charleston"/>
    <x v="5"/>
    <n v="74"/>
    <n v="206"/>
    <n v="15244"/>
    <n v="9603.7199999999993"/>
    <n v="0.63"/>
    <x v="2"/>
  </r>
  <r>
    <x v="0"/>
    <n v="1185732"/>
    <x v="472"/>
    <x v="4"/>
    <s v="South Carolina"/>
    <s v="Charleston"/>
    <x v="0"/>
    <n v="67"/>
    <n v="290"/>
    <n v="19430"/>
    <n v="11658"/>
    <n v="0.6"/>
    <x v="2"/>
  </r>
  <r>
    <x v="0"/>
    <n v="1185732"/>
    <x v="472"/>
    <x v="4"/>
    <s v="South Carolina"/>
    <s v="Charleston"/>
    <x v="1"/>
    <n v="58"/>
    <n v="219"/>
    <n v="12702"/>
    <n v="5715.9"/>
    <n v="0.44999999999999996"/>
    <x v="2"/>
  </r>
  <r>
    <x v="2"/>
    <n v="1185732"/>
    <x v="472"/>
    <x v="4"/>
    <s v="South Carolina"/>
    <s v="Charleston"/>
    <x v="2"/>
    <n v="56"/>
    <n v="215"/>
    <n v="12040"/>
    <n v="4214"/>
    <n v="0.35"/>
    <x v="2"/>
  </r>
  <r>
    <x v="2"/>
    <n v="1185732"/>
    <x v="472"/>
    <x v="4"/>
    <s v="South Carolina"/>
    <s v="Charleston"/>
    <x v="3"/>
    <n v="59"/>
    <n v="194"/>
    <n v="11446"/>
    <n v="5150.7"/>
    <n v="0.44999999999999996"/>
    <x v="2"/>
  </r>
  <r>
    <x v="2"/>
    <n v="1185732"/>
    <x v="472"/>
    <x v="4"/>
    <s v="South Carolina"/>
    <s v="Charleston"/>
    <x v="4"/>
    <n v="66"/>
    <n v="225"/>
    <n v="14850"/>
    <n v="6682.4999999999991"/>
    <n v="0.44999999999999996"/>
    <x v="2"/>
  </r>
  <r>
    <x v="2"/>
    <n v="1185732"/>
    <x v="472"/>
    <x v="4"/>
    <s v="South Carolina"/>
    <s v="Charleston"/>
    <x v="5"/>
    <n v="68"/>
    <n v="228"/>
    <n v="15504"/>
    <n v="9302.4"/>
    <n v="0.6"/>
    <x v="2"/>
  </r>
  <r>
    <x v="2"/>
    <n v="1185732"/>
    <x v="170"/>
    <x v="4"/>
    <s v="South Carolina"/>
    <s v="Charleston"/>
    <x v="0"/>
    <n v="33"/>
    <n v="231"/>
    <n v="7623"/>
    <n v="3811.5"/>
    <n v="0.5"/>
    <x v="2"/>
  </r>
  <r>
    <x v="2"/>
    <n v="1185732"/>
    <x v="170"/>
    <x v="4"/>
    <s v="South Carolina"/>
    <s v="Charleston"/>
    <x v="1"/>
    <n v="34"/>
    <n v="181"/>
    <n v="6154"/>
    <n v="3077"/>
    <n v="0.5"/>
    <x v="2"/>
  </r>
  <r>
    <x v="2"/>
    <n v="1185732"/>
    <x v="170"/>
    <x v="4"/>
    <s v="South Carolina"/>
    <s v="Charleston"/>
    <x v="2"/>
    <n v="24"/>
    <n v="189"/>
    <n v="4536"/>
    <n v="2449.44"/>
    <n v="0.54"/>
    <x v="2"/>
  </r>
  <r>
    <x v="2"/>
    <n v="1185732"/>
    <x v="170"/>
    <x v="4"/>
    <s v="South Carolina"/>
    <s v="Charleston"/>
    <x v="3"/>
    <n v="29"/>
    <n v="173"/>
    <n v="5017"/>
    <n v="2759.3500000000004"/>
    <n v="0.55000000000000004"/>
    <x v="2"/>
  </r>
  <r>
    <x v="2"/>
    <n v="1185732"/>
    <x v="170"/>
    <x v="4"/>
    <s v="South Carolina"/>
    <s v="Charleston"/>
    <x v="4"/>
    <n v="42"/>
    <n v="156"/>
    <n v="6552"/>
    <n v="3013.9199999999996"/>
    <n v="0.45999999999999996"/>
    <x v="2"/>
  </r>
  <r>
    <x v="2"/>
    <n v="1185732"/>
    <x v="170"/>
    <x v="4"/>
    <s v="South Carolina"/>
    <s v="Charleston"/>
    <x v="5"/>
    <n v="34"/>
    <n v="196"/>
    <n v="6664"/>
    <n v="4264.96"/>
    <n v="0.64"/>
    <x v="2"/>
  </r>
  <r>
    <x v="2"/>
    <n v="1185732"/>
    <x v="199"/>
    <x v="4"/>
    <s v="South Carolina"/>
    <s v="Charleston"/>
    <x v="0"/>
    <n v="34"/>
    <n v="263"/>
    <n v="8942"/>
    <n v="4471"/>
    <n v="0.5"/>
    <x v="2"/>
  </r>
  <r>
    <x v="2"/>
    <n v="1185732"/>
    <x v="199"/>
    <x v="4"/>
    <s v="South Carolina"/>
    <s v="Charleston"/>
    <x v="1"/>
    <n v="34"/>
    <n v="188"/>
    <n v="6392"/>
    <n v="3068.16"/>
    <n v="0.48"/>
    <x v="2"/>
  </r>
  <r>
    <x v="2"/>
    <n v="1185732"/>
    <x v="199"/>
    <x v="4"/>
    <s v="South Carolina"/>
    <s v="Charleston"/>
    <x v="2"/>
    <n v="23"/>
    <n v="169"/>
    <n v="3887"/>
    <n v="2137.8500000000004"/>
    <n v="0.55000000000000004"/>
    <x v="2"/>
  </r>
  <r>
    <x v="2"/>
    <n v="1185732"/>
    <x v="199"/>
    <x v="4"/>
    <s v="North Carolina"/>
    <s v="Charlotte"/>
    <x v="3"/>
    <n v="29"/>
    <n v="142"/>
    <n v="4118"/>
    <n v="2059"/>
    <n v="0.5"/>
    <x v="2"/>
  </r>
  <r>
    <x v="2"/>
    <n v="1185732"/>
    <x v="199"/>
    <x v="4"/>
    <s v="North Carolina"/>
    <s v="Charlotte"/>
    <x v="4"/>
    <n v="44"/>
    <n v="180"/>
    <n v="7920"/>
    <n v="3960"/>
    <n v="0.5"/>
    <x v="2"/>
  </r>
  <r>
    <x v="2"/>
    <n v="1185732"/>
    <x v="199"/>
    <x v="4"/>
    <s v="North Carolina"/>
    <s v="Charlotte"/>
    <x v="5"/>
    <n v="29"/>
    <n v="203"/>
    <n v="5887"/>
    <n v="3532.2"/>
    <n v="0.6"/>
    <x v="2"/>
  </r>
  <r>
    <x v="2"/>
    <n v="1185732"/>
    <x v="704"/>
    <x v="4"/>
    <s v="North Carolina"/>
    <s v="Charlotte"/>
    <x v="0"/>
    <n v="28"/>
    <n v="276"/>
    <n v="7728"/>
    <n v="4173.12"/>
    <n v="0.54"/>
    <x v="2"/>
  </r>
  <r>
    <x v="2"/>
    <n v="1185732"/>
    <x v="704"/>
    <x v="4"/>
    <s v="North Carolina"/>
    <s v="Charlotte"/>
    <x v="1"/>
    <n v="29"/>
    <n v="150"/>
    <n v="4350"/>
    <n v="1957.4999999999998"/>
    <n v="0.44999999999999996"/>
    <x v="2"/>
  </r>
  <r>
    <x v="2"/>
    <n v="1185732"/>
    <x v="704"/>
    <x v="4"/>
    <s v="North Carolina"/>
    <s v="Charlotte"/>
    <x v="2"/>
    <n v="19"/>
    <n v="181"/>
    <n v="3439"/>
    <n v="1788.28"/>
    <n v="0.52"/>
    <x v="2"/>
  </r>
  <r>
    <x v="2"/>
    <n v="1185732"/>
    <x v="704"/>
    <x v="4"/>
    <s v="North Carolina"/>
    <s v="Charlotte"/>
    <x v="3"/>
    <n v="25"/>
    <n v="124"/>
    <n v="3100"/>
    <n v="1674"/>
    <n v="0.54"/>
    <x v="2"/>
  </r>
  <r>
    <x v="2"/>
    <n v="1185732"/>
    <x v="704"/>
    <x v="4"/>
    <s v="North Carolina"/>
    <s v="Charlotte"/>
    <x v="4"/>
    <n v="37"/>
    <n v="158"/>
    <n v="5846"/>
    <n v="2630.7"/>
    <n v="0.44999999999999996"/>
    <x v="2"/>
  </r>
  <r>
    <x v="2"/>
    <n v="1185732"/>
    <x v="704"/>
    <x v="4"/>
    <s v="North Carolina"/>
    <s v="Charlotte"/>
    <x v="5"/>
    <n v="27"/>
    <n v="169"/>
    <n v="4563"/>
    <n v="2829.06"/>
    <n v="0.62"/>
    <x v="2"/>
  </r>
  <r>
    <x v="2"/>
    <n v="1185732"/>
    <x v="721"/>
    <x v="4"/>
    <s v="North Carolina"/>
    <s v="Charlotte"/>
    <x v="0"/>
    <n v="27"/>
    <n v="263"/>
    <n v="7101"/>
    <n v="3834.5400000000004"/>
    <n v="0.54"/>
    <x v="2"/>
  </r>
  <r>
    <x v="2"/>
    <n v="1185732"/>
    <x v="721"/>
    <x v="4"/>
    <s v="North Carolina"/>
    <s v="Charlotte"/>
    <x v="1"/>
    <n v="28"/>
    <n v="155"/>
    <n v="4340"/>
    <n v="2039.8"/>
    <n v="0.47"/>
    <x v="2"/>
  </r>
  <r>
    <x v="2"/>
    <n v="1185732"/>
    <x v="721"/>
    <x v="4"/>
    <s v="North Carolina"/>
    <s v="Charlotte"/>
    <x v="2"/>
    <n v="20"/>
    <n v="144"/>
    <n v="2880"/>
    <n v="1584.0000000000002"/>
    <n v="0.55000000000000004"/>
    <x v="2"/>
  </r>
  <r>
    <x v="2"/>
    <n v="1185732"/>
    <x v="721"/>
    <x v="4"/>
    <s v="North Carolina"/>
    <s v="Charlotte"/>
    <x v="3"/>
    <n v="24"/>
    <n v="140"/>
    <n v="3360"/>
    <n v="1814.4"/>
    <n v="0.54"/>
    <x v="2"/>
  </r>
  <r>
    <x v="2"/>
    <n v="1185732"/>
    <x v="721"/>
    <x v="4"/>
    <s v="North Carolina"/>
    <s v="Charlotte"/>
    <x v="4"/>
    <n v="42"/>
    <n v="131"/>
    <n v="5502"/>
    <n v="2751"/>
    <n v="0.5"/>
    <x v="2"/>
  </r>
  <r>
    <x v="2"/>
    <n v="1185732"/>
    <x v="721"/>
    <x v="4"/>
    <s v="North Carolina"/>
    <s v="Charlotte"/>
    <x v="5"/>
    <n v="32"/>
    <n v="189"/>
    <n v="6048"/>
    <n v="3689.2799999999997"/>
    <n v="0.61"/>
    <x v="2"/>
  </r>
  <r>
    <x v="2"/>
    <n v="1185732"/>
    <x v="255"/>
    <x v="4"/>
    <s v="North Carolina"/>
    <s v="Charlotte"/>
    <x v="0"/>
    <n v="41"/>
    <n v="246"/>
    <n v="10086"/>
    <n v="5547.3"/>
    <n v="0.55000000000000004"/>
    <x v="2"/>
  </r>
  <r>
    <x v="2"/>
    <n v="1185732"/>
    <x v="255"/>
    <x v="4"/>
    <s v="North Carolina"/>
    <s v="Charlotte"/>
    <x v="1"/>
    <n v="42"/>
    <n v="182"/>
    <n v="7644"/>
    <n v="3516.24"/>
    <n v="0.45999999999999996"/>
    <x v="2"/>
  </r>
  <r>
    <x v="2"/>
    <n v="1185732"/>
    <x v="255"/>
    <x v="4"/>
    <s v="North Carolina"/>
    <s v="Charlotte"/>
    <x v="2"/>
    <n v="37"/>
    <n v="169"/>
    <n v="6253"/>
    <n v="3314.09"/>
    <n v="0.53"/>
    <x v="2"/>
  </r>
  <r>
    <x v="2"/>
    <n v="1185732"/>
    <x v="255"/>
    <x v="4"/>
    <s v="North Carolina"/>
    <s v="Charlotte"/>
    <x v="3"/>
    <n v="38"/>
    <n v="150"/>
    <n v="5700"/>
    <n v="3078"/>
    <n v="0.54"/>
    <x v="2"/>
  </r>
  <r>
    <x v="2"/>
    <n v="1185732"/>
    <x v="255"/>
    <x v="4"/>
    <s v="North Carolina"/>
    <s v="Charlotte"/>
    <x v="4"/>
    <n v="46"/>
    <n v="150"/>
    <n v="6900"/>
    <n v="3381"/>
    <n v="0.49"/>
    <x v="2"/>
  </r>
  <r>
    <x v="2"/>
    <n v="1185732"/>
    <x v="255"/>
    <x v="4"/>
    <s v="North Carolina"/>
    <s v="Charlotte"/>
    <x v="5"/>
    <n v="51"/>
    <n v="203"/>
    <n v="10353"/>
    <n v="6418.86"/>
    <n v="0.62"/>
    <x v="2"/>
  </r>
  <r>
    <x v="2"/>
    <n v="1185732"/>
    <x v="288"/>
    <x v="4"/>
    <s v="North Carolina"/>
    <s v="Charlotte"/>
    <x v="0"/>
    <n v="46"/>
    <n v="238"/>
    <n v="10948"/>
    <n v="6021.4000000000005"/>
    <n v="0.55000000000000004"/>
    <x v="2"/>
  </r>
  <r>
    <x v="2"/>
    <n v="1185732"/>
    <x v="288"/>
    <x v="4"/>
    <s v="North Carolina"/>
    <s v="Charlotte"/>
    <x v="1"/>
    <n v="42"/>
    <n v="182"/>
    <n v="7644"/>
    <n v="3592.68"/>
    <n v="0.47"/>
    <x v="2"/>
  </r>
  <r>
    <x v="2"/>
    <n v="1185732"/>
    <x v="288"/>
    <x v="4"/>
    <s v="North Carolina"/>
    <s v="Charlotte"/>
    <x v="2"/>
    <n v="47"/>
    <n v="169"/>
    <n v="7943"/>
    <n v="4289.22"/>
    <n v="0.54"/>
    <x v="2"/>
  </r>
  <r>
    <x v="2"/>
    <n v="1185732"/>
    <x v="288"/>
    <x v="4"/>
    <s v="North Carolina"/>
    <s v="Charlotte"/>
    <x v="3"/>
    <n v="49"/>
    <n v="169"/>
    <n v="8281"/>
    <n v="4223.3100000000004"/>
    <n v="0.51"/>
    <x v="2"/>
  </r>
  <r>
    <x v="2"/>
    <n v="1185732"/>
    <x v="288"/>
    <x v="4"/>
    <s v="North Carolina"/>
    <s v="Charlotte"/>
    <x v="4"/>
    <n v="61"/>
    <n v="163"/>
    <n v="9943"/>
    <n v="4872.07"/>
    <n v="0.49"/>
    <x v="2"/>
  </r>
  <r>
    <x v="2"/>
    <n v="1185732"/>
    <x v="288"/>
    <x v="4"/>
    <s v="North Carolina"/>
    <s v="Charlotte"/>
    <x v="5"/>
    <n v="67"/>
    <n v="231"/>
    <n v="15477"/>
    <n v="9286.1999999999989"/>
    <n v="0.6"/>
    <x v="2"/>
  </r>
  <r>
    <x v="2"/>
    <n v="1185732"/>
    <x v="316"/>
    <x v="4"/>
    <s v="North Carolina"/>
    <s v="Charlotte"/>
    <x v="0"/>
    <n v="60"/>
    <n v="294"/>
    <n v="17640"/>
    <n v="8820"/>
    <n v="0.5"/>
    <x v="2"/>
  </r>
  <r>
    <x v="2"/>
    <n v="1185732"/>
    <x v="316"/>
    <x v="4"/>
    <s v="North Carolina"/>
    <s v="Charlotte"/>
    <x v="1"/>
    <n v="58"/>
    <n v="224"/>
    <n v="12992"/>
    <n v="6496"/>
    <n v="0.5"/>
    <x v="2"/>
  </r>
  <r>
    <x v="2"/>
    <n v="1185732"/>
    <x v="316"/>
    <x v="4"/>
    <s v="North Carolina"/>
    <s v="Charlotte"/>
    <x v="2"/>
    <n v="53"/>
    <n v="196"/>
    <n v="10388"/>
    <n v="5713.4000000000005"/>
    <n v="0.55000000000000004"/>
    <x v="2"/>
  </r>
  <r>
    <x v="2"/>
    <n v="1185732"/>
    <x v="316"/>
    <x v="4"/>
    <s v="North Carolina"/>
    <s v="Charlotte"/>
    <x v="3"/>
    <n v="52"/>
    <n v="203"/>
    <n v="10556"/>
    <n v="5383.56"/>
    <n v="0.51"/>
    <x v="2"/>
  </r>
  <r>
    <x v="2"/>
    <n v="1185732"/>
    <x v="316"/>
    <x v="4"/>
    <s v="North Carolina"/>
    <s v="Charlotte"/>
    <x v="4"/>
    <n v="59"/>
    <n v="182"/>
    <n v="10738"/>
    <n v="5261.62"/>
    <n v="0.49"/>
    <x v="2"/>
  </r>
  <r>
    <x v="2"/>
    <n v="1185732"/>
    <x v="316"/>
    <x v="4"/>
    <s v="North Carolina"/>
    <s v="Charlotte"/>
    <x v="5"/>
    <n v="64"/>
    <n v="263"/>
    <n v="16832"/>
    <n v="10604.16"/>
    <n v="0.63"/>
    <x v="2"/>
  </r>
  <r>
    <x v="2"/>
    <n v="1185732"/>
    <x v="348"/>
    <x v="4"/>
    <s v="North Carolina"/>
    <s v="Charlotte"/>
    <x v="0"/>
    <n v="61"/>
    <n v="308"/>
    <n v="18788"/>
    <n v="9957.6400000000012"/>
    <n v="0.53"/>
    <x v="2"/>
  </r>
  <r>
    <x v="2"/>
    <n v="1185732"/>
    <x v="348"/>
    <x v="4"/>
    <s v="North Carolina"/>
    <s v="Charlotte"/>
    <x v="1"/>
    <n v="58"/>
    <n v="200"/>
    <n v="11600"/>
    <n v="5219.9999999999991"/>
    <n v="0.44999999999999996"/>
    <x v="2"/>
  </r>
  <r>
    <x v="2"/>
    <n v="1185732"/>
    <x v="348"/>
    <x v="4"/>
    <s v="North Carolina"/>
    <s v="Charlotte"/>
    <x v="2"/>
    <n v="54"/>
    <n v="210"/>
    <n v="11340"/>
    <n v="6010.2000000000007"/>
    <n v="0.53"/>
    <x v="2"/>
  </r>
  <r>
    <x v="2"/>
    <n v="1185732"/>
    <x v="348"/>
    <x v="4"/>
    <s v="North Carolina"/>
    <s v="Charlotte"/>
    <x v="3"/>
    <n v="44"/>
    <n v="182"/>
    <n v="8008"/>
    <n v="4244.24"/>
    <n v="0.53"/>
    <x v="2"/>
  </r>
  <r>
    <x v="2"/>
    <n v="1185732"/>
    <x v="348"/>
    <x v="4"/>
    <s v="North Carolina"/>
    <s v="Charlotte"/>
    <x v="4"/>
    <n v="53"/>
    <n v="176"/>
    <n v="9328"/>
    <n v="4477.4399999999996"/>
    <n v="0.48"/>
    <x v="2"/>
  </r>
  <r>
    <x v="2"/>
    <n v="1185732"/>
    <x v="348"/>
    <x v="4"/>
    <s v="North Carolina"/>
    <s v="Charlotte"/>
    <x v="5"/>
    <n v="54"/>
    <n v="231"/>
    <n v="12474"/>
    <n v="7983.3600000000006"/>
    <n v="0.64"/>
    <x v="2"/>
  </r>
  <r>
    <x v="2"/>
    <n v="1185732"/>
    <x v="378"/>
    <x v="4"/>
    <s v="North Carolina"/>
    <s v="Charlotte"/>
    <x v="0"/>
    <n v="53"/>
    <n v="250"/>
    <n v="13250"/>
    <n v="6890"/>
    <n v="0.52"/>
    <x v="2"/>
  </r>
  <r>
    <x v="2"/>
    <n v="1185732"/>
    <x v="378"/>
    <x v="4"/>
    <s v="North Carolina"/>
    <s v="Charlotte"/>
    <x v="1"/>
    <n v="49"/>
    <n v="181"/>
    <n v="8869"/>
    <n v="4434.5"/>
    <n v="0.5"/>
    <x v="2"/>
  </r>
  <r>
    <x v="2"/>
    <n v="1185732"/>
    <x v="378"/>
    <x v="4"/>
    <s v="North Carolina"/>
    <s v="Charlotte"/>
    <x v="2"/>
    <n v="28"/>
    <n v="175"/>
    <n v="4900"/>
    <n v="2499"/>
    <n v="0.51"/>
    <x v="2"/>
  </r>
  <r>
    <x v="2"/>
    <n v="1185732"/>
    <x v="378"/>
    <x v="4"/>
    <s v="North Carolina"/>
    <s v="Charlotte"/>
    <x v="3"/>
    <n v="28"/>
    <n v="150"/>
    <n v="4200"/>
    <n v="2100"/>
    <n v="0.5"/>
    <x v="2"/>
  </r>
  <r>
    <x v="2"/>
    <n v="1185732"/>
    <x v="378"/>
    <x v="4"/>
    <s v="North Carolina"/>
    <s v="Charlotte"/>
    <x v="4"/>
    <n v="38"/>
    <n v="156"/>
    <n v="5928"/>
    <n v="2726.8799999999997"/>
    <n v="0.45999999999999996"/>
    <x v="2"/>
  </r>
  <r>
    <x v="2"/>
    <n v="1185732"/>
    <x v="378"/>
    <x v="4"/>
    <s v="North Carolina"/>
    <s v="Charlotte"/>
    <x v="5"/>
    <n v="41"/>
    <n v="203"/>
    <n v="8323"/>
    <n v="5077.03"/>
    <n v="0.61"/>
    <x v="2"/>
  </r>
  <r>
    <x v="2"/>
    <n v="1185732"/>
    <x v="410"/>
    <x v="4"/>
    <s v="North Carolina"/>
    <s v="Charlotte"/>
    <x v="0"/>
    <n v="42"/>
    <n v="245"/>
    <n v="10290"/>
    <n v="5556.6"/>
    <n v="0.54"/>
    <x v="2"/>
  </r>
  <r>
    <x v="2"/>
    <n v="1185732"/>
    <x v="410"/>
    <x v="4"/>
    <s v="North Carolina"/>
    <s v="Charlotte"/>
    <x v="1"/>
    <n v="33"/>
    <n v="196"/>
    <n v="6468"/>
    <n v="2975.2799999999997"/>
    <n v="0.45999999999999996"/>
    <x v="2"/>
  </r>
  <r>
    <x v="2"/>
    <n v="1185732"/>
    <x v="410"/>
    <x v="4"/>
    <s v="North Carolina"/>
    <s v="Charlotte"/>
    <x v="2"/>
    <n v="34"/>
    <n v="150"/>
    <n v="5100"/>
    <n v="2601"/>
    <n v="0.51"/>
    <x v="2"/>
  </r>
  <r>
    <x v="2"/>
    <n v="1185732"/>
    <x v="410"/>
    <x v="4"/>
    <s v="North Carolina"/>
    <s v="Charlotte"/>
    <x v="3"/>
    <n v="34"/>
    <n v="160"/>
    <n v="5440"/>
    <n v="2937.6000000000004"/>
    <n v="0.54"/>
    <x v="2"/>
  </r>
  <r>
    <x v="2"/>
    <n v="1185732"/>
    <x v="410"/>
    <x v="4"/>
    <s v="North Carolina"/>
    <s v="Charlotte"/>
    <x v="4"/>
    <n v="42"/>
    <n v="149"/>
    <n v="6258"/>
    <n v="2941.2599999999998"/>
    <n v="0.47"/>
    <x v="2"/>
  </r>
  <r>
    <x v="2"/>
    <n v="1185732"/>
    <x v="410"/>
    <x v="4"/>
    <s v="North Carolina"/>
    <s v="Charlotte"/>
    <x v="5"/>
    <n v="48"/>
    <n v="176"/>
    <n v="8448"/>
    <n v="5322.24"/>
    <n v="0.63"/>
    <x v="2"/>
  </r>
  <r>
    <x v="2"/>
    <n v="1185732"/>
    <x v="440"/>
    <x v="4"/>
    <s v="North Carolina"/>
    <s v="Charlotte"/>
    <x v="0"/>
    <n v="44"/>
    <n v="215"/>
    <n v="9460"/>
    <n v="5203"/>
    <n v="0.55000000000000004"/>
    <x v="2"/>
  </r>
  <r>
    <x v="2"/>
    <n v="1185732"/>
    <x v="440"/>
    <x v="4"/>
    <s v="North Carolina"/>
    <s v="Charlotte"/>
    <x v="1"/>
    <n v="32"/>
    <n v="195"/>
    <n v="6240"/>
    <n v="2932.7999999999997"/>
    <n v="0.47"/>
    <x v="2"/>
  </r>
  <r>
    <x v="2"/>
    <n v="1185732"/>
    <x v="440"/>
    <x v="4"/>
    <s v="North Carolina"/>
    <s v="Charlotte"/>
    <x v="2"/>
    <n v="38"/>
    <n v="167"/>
    <n v="6346"/>
    <n v="3426.84"/>
    <n v="0.54"/>
    <x v="2"/>
  </r>
  <r>
    <x v="2"/>
    <n v="1185732"/>
    <x v="440"/>
    <x v="4"/>
    <s v="North Carolina"/>
    <s v="Charlotte"/>
    <x v="3"/>
    <n v="55"/>
    <n v="163"/>
    <n v="8965"/>
    <n v="4572.1499999999996"/>
    <n v="0.51"/>
    <x v="2"/>
  </r>
  <r>
    <x v="2"/>
    <n v="1185732"/>
    <x v="440"/>
    <x v="4"/>
    <s v="North Carolina"/>
    <s v="Charlotte"/>
    <x v="4"/>
    <n v="72"/>
    <n v="163"/>
    <n v="11736"/>
    <n v="5750.64"/>
    <n v="0.49"/>
    <x v="2"/>
  </r>
  <r>
    <x v="2"/>
    <n v="1185732"/>
    <x v="440"/>
    <x v="4"/>
    <s v="North Carolina"/>
    <s v="Charlotte"/>
    <x v="5"/>
    <n v="72"/>
    <n v="210"/>
    <n v="15120"/>
    <n v="9676.8000000000011"/>
    <n v="0.64"/>
    <x v="2"/>
  </r>
  <r>
    <x v="2"/>
    <n v="1185732"/>
    <x v="469"/>
    <x v="4"/>
    <s v="North Carolina"/>
    <s v="Charlotte"/>
    <x v="0"/>
    <n v="64"/>
    <n v="244"/>
    <n v="15616"/>
    <n v="7964.16"/>
    <n v="0.51"/>
    <x v="2"/>
  </r>
  <r>
    <x v="2"/>
    <n v="1185732"/>
    <x v="469"/>
    <x v="4"/>
    <s v="North Carolina"/>
    <s v="Charlotte"/>
    <x v="1"/>
    <n v="55"/>
    <n v="202"/>
    <n v="11110"/>
    <n v="4999.4999999999991"/>
    <n v="0.44999999999999996"/>
    <x v="2"/>
  </r>
  <r>
    <x v="5"/>
    <n v="1185732"/>
    <x v="469"/>
    <x v="4"/>
    <s v="North Carolina"/>
    <s v="Charlotte"/>
    <x v="2"/>
    <n v="55"/>
    <n v="218"/>
    <n v="11990"/>
    <n v="6114.9000000000005"/>
    <n v="0.51"/>
    <x v="2"/>
  </r>
  <r>
    <x v="5"/>
    <n v="1185732"/>
    <x v="469"/>
    <x v="4"/>
    <s v="North Carolina"/>
    <s v="Charlotte"/>
    <x v="3"/>
    <n v="55"/>
    <n v="196"/>
    <n v="10780"/>
    <n v="5821.2000000000007"/>
    <n v="0.54"/>
    <x v="2"/>
  </r>
  <r>
    <x v="5"/>
    <n v="1185732"/>
    <x v="469"/>
    <x v="4"/>
    <s v="North Carolina"/>
    <s v="Charlotte"/>
    <x v="4"/>
    <n v="65"/>
    <n v="169"/>
    <n v="10985"/>
    <n v="5382.65"/>
    <n v="0.49"/>
    <x v="2"/>
  </r>
  <r>
    <x v="5"/>
    <n v="1185732"/>
    <x v="469"/>
    <x v="4"/>
    <s v="North Carolina"/>
    <s v="Charlotte"/>
    <x v="5"/>
    <n v="69"/>
    <n v="225"/>
    <n v="15525"/>
    <n v="10091.25"/>
    <n v="0.65"/>
    <x v="2"/>
  </r>
  <r>
    <x v="5"/>
    <n v="1185732"/>
    <x v="177"/>
    <x v="4"/>
    <s v="North Carolina"/>
    <s v="Charlotte"/>
    <x v="0"/>
    <n v="32"/>
    <n v="194"/>
    <n v="6208"/>
    <n v="3228.1600000000003"/>
    <n v="0.52"/>
    <x v="2"/>
  </r>
  <r>
    <x v="5"/>
    <n v="1185732"/>
    <x v="177"/>
    <x v="4"/>
    <s v="North Carolina"/>
    <s v="Charlotte"/>
    <x v="1"/>
    <n v="33"/>
    <n v="150"/>
    <n v="4950"/>
    <n v="2475"/>
    <n v="0.5"/>
    <x v="2"/>
  </r>
  <r>
    <x v="5"/>
    <n v="1185732"/>
    <x v="177"/>
    <x v="4"/>
    <s v="North Carolina"/>
    <s v="Charlotte"/>
    <x v="2"/>
    <n v="24"/>
    <n v="167"/>
    <n v="4008"/>
    <n v="2164.3200000000002"/>
    <n v="0.54"/>
    <x v="2"/>
  </r>
  <r>
    <x v="5"/>
    <n v="1185732"/>
    <x v="177"/>
    <x v="4"/>
    <s v="North Carolina"/>
    <s v="Charlotte"/>
    <x v="3"/>
    <n v="29"/>
    <n v="123"/>
    <n v="3567"/>
    <n v="1854.8400000000001"/>
    <n v="0.52"/>
    <x v="2"/>
  </r>
  <r>
    <x v="5"/>
    <n v="1185732"/>
    <x v="177"/>
    <x v="4"/>
    <s v="North Carolina"/>
    <s v="Charlotte"/>
    <x v="4"/>
    <n v="44"/>
    <n v="128"/>
    <n v="5632"/>
    <n v="2816"/>
    <n v="0.5"/>
    <x v="2"/>
  </r>
  <r>
    <x v="5"/>
    <n v="1185732"/>
    <x v="177"/>
    <x v="4"/>
    <s v="North Carolina"/>
    <s v="Charlotte"/>
    <x v="5"/>
    <n v="32"/>
    <n v="173"/>
    <n v="5536"/>
    <n v="3598.4"/>
    <n v="0.65"/>
    <x v="2"/>
  </r>
  <r>
    <x v="5"/>
    <n v="1185732"/>
    <x v="206"/>
    <x v="4"/>
    <s v="North Carolina"/>
    <s v="Charlotte"/>
    <x v="0"/>
    <n v="32"/>
    <n v="231"/>
    <n v="7392"/>
    <n v="3696"/>
    <n v="0.5"/>
    <x v="2"/>
  </r>
  <r>
    <x v="5"/>
    <n v="1185732"/>
    <x v="206"/>
    <x v="4"/>
    <s v="North Carolina"/>
    <s v="Charlotte"/>
    <x v="1"/>
    <n v="33"/>
    <n v="143"/>
    <n v="4719"/>
    <n v="2359.5"/>
    <n v="0.5"/>
    <x v="2"/>
  </r>
  <r>
    <x v="5"/>
    <n v="1185732"/>
    <x v="206"/>
    <x v="4"/>
    <s v="North Carolina"/>
    <s v="Charlotte"/>
    <x v="2"/>
    <n v="23"/>
    <n v="158"/>
    <n v="3634"/>
    <n v="1817"/>
    <n v="0.5"/>
    <x v="2"/>
  </r>
  <r>
    <x v="5"/>
    <n v="1185732"/>
    <x v="206"/>
    <x v="3"/>
    <s v="Ohio"/>
    <s v="Columbus"/>
    <x v="3"/>
    <n v="29"/>
    <n v="101"/>
    <n v="2929"/>
    <n v="1464.5"/>
    <n v="0.5"/>
    <x v="2"/>
  </r>
  <r>
    <x v="5"/>
    <n v="1185732"/>
    <x v="206"/>
    <x v="3"/>
    <s v="Ohio"/>
    <s v="Columbus"/>
    <x v="4"/>
    <n v="41"/>
    <n v="122"/>
    <n v="5002"/>
    <n v="2300.9199999999996"/>
    <n v="0.45999999999999996"/>
    <x v="2"/>
  </r>
  <r>
    <x v="5"/>
    <n v="1185732"/>
    <x v="206"/>
    <x v="3"/>
    <s v="Ohio"/>
    <s v="Columbus"/>
    <x v="5"/>
    <n v="29"/>
    <n v="143"/>
    <n v="4147"/>
    <n v="2529.67"/>
    <n v="0.61"/>
    <x v="2"/>
  </r>
  <r>
    <x v="5"/>
    <n v="1185732"/>
    <x v="214"/>
    <x v="3"/>
    <s v="Ohio"/>
    <s v="Columbus"/>
    <x v="0"/>
    <n v="27"/>
    <n v="231"/>
    <n v="6237"/>
    <n v="3243.2400000000002"/>
    <n v="0.52"/>
    <x v="2"/>
  </r>
  <r>
    <x v="5"/>
    <n v="1185732"/>
    <x v="214"/>
    <x v="3"/>
    <s v="Ohio"/>
    <s v="Columbus"/>
    <x v="1"/>
    <n v="27"/>
    <n v="126"/>
    <n v="3402"/>
    <n v="1530.8999999999999"/>
    <n v="0.44999999999999996"/>
    <x v="2"/>
  </r>
  <r>
    <x v="5"/>
    <n v="1185732"/>
    <x v="214"/>
    <x v="3"/>
    <s v="Ohio"/>
    <s v="Columbus"/>
    <x v="2"/>
    <n v="20"/>
    <n v="124"/>
    <n v="2480"/>
    <n v="1314.4"/>
    <n v="0.53"/>
    <x v="2"/>
  </r>
  <r>
    <x v="5"/>
    <n v="1185732"/>
    <x v="214"/>
    <x v="3"/>
    <s v="Ohio"/>
    <s v="Columbus"/>
    <x v="3"/>
    <n v="24"/>
    <n v="98"/>
    <n v="2352"/>
    <n v="1223.04"/>
    <n v="0.52"/>
    <x v="2"/>
  </r>
  <r>
    <x v="5"/>
    <n v="1185732"/>
    <x v="214"/>
    <x v="3"/>
    <s v="Ohio"/>
    <s v="Columbus"/>
    <x v="4"/>
    <n v="37"/>
    <n v="113"/>
    <n v="4181"/>
    <n v="2048.69"/>
    <n v="0.49"/>
    <x v="2"/>
  </r>
  <r>
    <x v="5"/>
    <n v="1185732"/>
    <x v="214"/>
    <x v="3"/>
    <s v="Ohio"/>
    <s v="Columbus"/>
    <x v="5"/>
    <n v="28"/>
    <n v="128"/>
    <n v="3584"/>
    <n v="2186.2399999999998"/>
    <n v="0.61"/>
    <x v="2"/>
  </r>
  <r>
    <x v="5"/>
    <n v="1185732"/>
    <x v="233"/>
    <x v="3"/>
    <s v="Ohio"/>
    <s v="Columbus"/>
    <x v="0"/>
    <n v="28"/>
    <n v="218"/>
    <n v="6104"/>
    <n v="3357.2000000000003"/>
    <n v="0.55000000000000004"/>
    <x v="2"/>
  </r>
  <r>
    <x v="5"/>
    <n v="1185732"/>
    <x v="233"/>
    <x v="3"/>
    <s v="Ohio"/>
    <s v="Columbus"/>
    <x v="1"/>
    <n v="28"/>
    <n v="111"/>
    <n v="3108"/>
    <n v="1522.92"/>
    <n v="0.49"/>
    <x v="2"/>
  </r>
  <r>
    <x v="5"/>
    <n v="1185732"/>
    <x v="233"/>
    <x v="3"/>
    <s v="Ohio"/>
    <s v="Columbus"/>
    <x v="2"/>
    <n v="19"/>
    <n v="106"/>
    <n v="2014"/>
    <n v="1067.42"/>
    <n v="0.53"/>
    <x v="2"/>
  </r>
  <r>
    <x v="5"/>
    <n v="1185732"/>
    <x v="233"/>
    <x v="3"/>
    <s v="Ohio"/>
    <s v="Columbus"/>
    <x v="3"/>
    <n v="24"/>
    <n v="102"/>
    <n v="2448"/>
    <n v="1224"/>
    <n v="0.5"/>
    <x v="2"/>
  </r>
  <r>
    <x v="5"/>
    <n v="1185732"/>
    <x v="233"/>
    <x v="3"/>
    <s v="Ohio"/>
    <s v="Columbus"/>
    <x v="4"/>
    <n v="42"/>
    <n v="101"/>
    <n v="4242"/>
    <n v="1993.7399999999998"/>
    <n v="0.47"/>
    <x v="2"/>
  </r>
  <r>
    <x v="5"/>
    <n v="1185732"/>
    <x v="233"/>
    <x v="3"/>
    <s v="Ohio"/>
    <s v="Columbus"/>
    <x v="5"/>
    <n v="34"/>
    <n v="137"/>
    <n v="4658"/>
    <n v="3027.7000000000003"/>
    <n v="0.65"/>
    <x v="2"/>
  </r>
  <r>
    <x v="5"/>
    <n v="1185732"/>
    <x v="262"/>
    <x v="3"/>
    <s v="Ohio"/>
    <s v="Columbus"/>
    <x v="0"/>
    <n v="42"/>
    <n v="207"/>
    <n v="8694"/>
    <n v="4347"/>
    <n v="0.5"/>
    <x v="2"/>
  </r>
  <r>
    <x v="5"/>
    <n v="1185732"/>
    <x v="262"/>
    <x v="3"/>
    <s v="Ohio"/>
    <s v="Columbus"/>
    <x v="1"/>
    <n v="44"/>
    <n v="135"/>
    <n v="5940"/>
    <n v="2910.6"/>
    <n v="0.49"/>
    <x v="2"/>
  </r>
  <r>
    <x v="5"/>
    <n v="1185732"/>
    <x v="262"/>
    <x v="3"/>
    <s v="Ohio"/>
    <s v="Columbus"/>
    <x v="2"/>
    <n v="39"/>
    <n v="143"/>
    <n v="5577"/>
    <n v="2844.27"/>
    <n v="0.51"/>
    <x v="2"/>
  </r>
  <r>
    <x v="5"/>
    <n v="1185732"/>
    <x v="262"/>
    <x v="3"/>
    <s v="Ohio"/>
    <s v="Columbus"/>
    <x v="3"/>
    <n v="38"/>
    <n v="123"/>
    <n v="4674"/>
    <n v="2570.7000000000003"/>
    <n v="0.55000000000000004"/>
    <x v="2"/>
  </r>
  <r>
    <x v="5"/>
    <n v="1185732"/>
    <x v="262"/>
    <x v="3"/>
    <s v="Ohio"/>
    <s v="Columbus"/>
    <x v="4"/>
    <n v="49"/>
    <n v="126"/>
    <n v="6174"/>
    <n v="2840.04"/>
    <n v="0.45999999999999996"/>
    <x v="2"/>
  </r>
  <r>
    <x v="5"/>
    <n v="1185732"/>
    <x v="262"/>
    <x v="3"/>
    <s v="Ohio"/>
    <s v="Columbus"/>
    <x v="5"/>
    <n v="53"/>
    <n v="143"/>
    <n v="7579"/>
    <n v="4850.5600000000004"/>
    <n v="0.64"/>
    <x v="2"/>
  </r>
  <r>
    <x v="5"/>
    <n v="1185732"/>
    <x v="295"/>
    <x v="3"/>
    <s v="Ohio"/>
    <s v="Columbus"/>
    <x v="0"/>
    <n v="49"/>
    <n v="232"/>
    <n v="11368"/>
    <n v="6025.04"/>
    <n v="0.53"/>
    <x v="2"/>
  </r>
  <r>
    <x v="5"/>
    <n v="1185732"/>
    <x v="295"/>
    <x v="3"/>
    <s v="Ohio"/>
    <s v="Columbus"/>
    <x v="1"/>
    <n v="41"/>
    <n v="138"/>
    <n v="5658"/>
    <n v="2602.6799999999998"/>
    <n v="0.45999999999999996"/>
    <x v="2"/>
  </r>
  <r>
    <x v="5"/>
    <n v="1185732"/>
    <x v="295"/>
    <x v="3"/>
    <s v="Ohio"/>
    <s v="Columbus"/>
    <x v="2"/>
    <n v="49"/>
    <n v="142"/>
    <n v="6958"/>
    <n v="3757.32"/>
    <n v="0.54"/>
    <x v="2"/>
  </r>
  <r>
    <x v="5"/>
    <n v="1185732"/>
    <x v="295"/>
    <x v="3"/>
    <s v="Ohio"/>
    <s v="Columbus"/>
    <x v="3"/>
    <n v="49"/>
    <n v="140"/>
    <n v="6860"/>
    <n v="3498.6"/>
    <n v="0.51"/>
    <x v="2"/>
  </r>
  <r>
    <x v="5"/>
    <n v="1185732"/>
    <x v="295"/>
    <x v="3"/>
    <s v="Ohio"/>
    <s v="Columbus"/>
    <x v="4"/>
    <n v="62"/>
    <n v="150"/>
    <n v="9300"/>
    <n v="4371"/>
    <n v="0.47"/>
    <x v="2"/>
  </r>
  <r>
    <x v="5"/>
    <n v="1185732"/>
    <x v="295"/>
    <x v="3"/>
    <s v="Ohio"/>
    <s v="Columbus"/>
    <x v="5"/>
    <n v="64"/>
    <n v="196"/>
    <n v="12544"/>
    <n v="7777.28"/>
    <n v="0.62"/>
    <x v="2"/>
  </r>
  <r>
    <x v="5"/>
    <n v="1185732"/>
    <x v="323"/>
    <x v="3"/>
    <s v="Ohio"/>
    <s v="Columbus"/>
    <x v="0"/>
    <n v="63"/>
    <n v="252"/>
    <n v="15876"/>
    <n v="8255.52"/>
    <n v="0.52"/>
    <x v="2"/>
  </r>
  <r>
    <x v="5"/>
    <n v="1185732"/>
    <x v="323"/>
    <x v="3"/>
    <s v="Ohio"/>
    <s v="Columbus"/>
    <x v="1"/>
    <n v="56"/>
    <n v="195"/>
    <n v="10920"/>
    <n v="5132.3999999999996"/>
    <n v="0.47"/>
    <x v="2"/>
  </r>
  <r>
    <x v="5"/>
    <n v="1185732"/>
    <x v="323"/>
    <x v="3"/>
    <s v="Ohio"/>
    <s v="Columbus"/>
    <x v="2"/>
    <n v="51"/>
    <n v="173"/>
    <n v="8823"/>
    <n v="4499.7300000000005"/>
    <n v="0.51"/>
    <x v="2"/>
  </r>
  <r>
    <x v="5"/>
    <n v="1185732"/>
    <x v="323"/>
    <x v="3"/>
    <s v="Ohio"/>
    <s v="Columbus"/>
    <x v="3"/>
    <n v="53"/>
    <n v="152"/>
    <n v="8056"/>
    <n v="4350.2400000000007"/>
    <n v="0.54"/>
    <x v="2"/>
  </r>
  <r>
    <x v="5"/>
    <n v="1185732"/>
    <x v="323"/>
    <x v="3"/>
    <s v="Ohio"/>
    <s v="Columbus"/>
    <x v="4"/>
    <n v="59"/>
    <n v="154"/>
    <n v="9086"/>
    <n v="4179.5599999999995"/>
    <n v="0.45999999999999996"/>
    <x v="2"/>
  </r>
  <r>
    <x v="5"/>
    <n v="1185732"/>
    <x v="323"/>
    <x v="3"/>
    <s v="Ohio"/>
    <s v="Columbus"/>
    <x v="5"/>
    <n v="69"/>
    <n v="181"/>
    <n v="12489"/>
    <n v="7868.07"/>
    <n v="0.63"/>
    <x v="2"/>
  </r>
  <r>
    <x v="5"/>
    <n v="1185732"/>
    <x v="355"/>
    <x v="3"/>
    <s v="Ohio"/>
    <s v="Columbus"/>
    <x v="0"/>
    <n v="61"/>
    <n v="228"/>
    <n v="13908"/>
    <n v="6954"/>
    <n v="0.5"/>
    <x v="2"/>
  </r>
  <r>
    <x v="5"/>
    <n v="1185732"/>
    <x v="355"/>
    <x v="3"/>
    <s v="Ohio"/>
    <s v="Columbus"/>
    <x v="1"/>
    <n v="58"/>
    <n v="195"/>
    <n v="11310"/>
    <n v="5202.5999999999995"/>
    <n v="0.45999999999999996"/>
    <x v="2"/>
  </r>
  <r>
    <x v="5"/>
    <n v="1185732"/>
    <x v="355"/>
    <x v="3"/>
    <s v="Ohio"/>
    <s v="Columbus"/>
    <x v="2"/>
    <n v="53"/>
    <n v="150"/>
    <n v="7950"/>
    <n v="4054.5"/>
    <n v="0.51"/>
    <x v="2"/>
  </r>
  <r>
    <x v="5"/>
    <n v="1185732"/>
    <x v="355"/>
    <x v="3"/>
    <s v="Ohio"/>
    <s v="Columbus"/>
    <x v="3"/>
    <n v="41"/>
    <n v="158"/>
    <n v="6478"/>
    <n v="3303.78"/>
    <n v="0.51"/>
    <x v="2"/>
  </r>
  <r>
    <x v="5"/>
    <n v="1185732"/>
    <x v="355"/>
    <x v="3"/>
    <s v="Ohio"/>
    <s v="Columbus"/>
    <x v="4"/>
    <n v="50"/>
    <n v="135"/>
    <n v="6750"/>
    <n v="3307.5"/>
    <n v="0.49"/>
    <x v="2"/>
  </r>
  <r>
    <x v="5"/>
    <n v="1185732"/>
    <x v="355"/>
    <x v="3"/>
    <s v="Ohio"/>
    <s v="Columbus"/>
    <x v="5"/>
    <n v="54"/>
    <n v="169"/>
    <n v="9126"/>
    <n v="5566.86"/>
    <n v="0.61"/>
    <x v="2"/>
  </r>
  <r>
    <x v="5"/>
    <n v="1185732"/>
    <x v="385"/>
    <x v="3"/>
    <s v="Ohio"/>
    <s v="Columbus"/>
    <x v="0"/>
    <n v="50"/>
    <n v="225"/>
    <n v="11250"/>
    <n v="6075"/>
    <n v="0.54"/>
    <x v="2"/>
  </r>
  <r>
    <x v="5"/>
    <n v="1185732"/>
    <x v="385"/>
    <x v="3"/>
    <s v="Ohio"/>
    <s v="Columbus"/>
    <x v="1"/>
    <n v="47"/>
    <n v="173"/>
    <n v="8131"/>
    <n v="3821.5699999999997"/>
    <n v="0.47"/>
    <x v="2"/>
  </r>
  <r>
    <x v="5"/>
    <n v="1185732"/>
    <x v="385"/>
    <x v="3"/>
    <s v="Ohio"/>
    <s v="Columbus"/>
    <x v="2"/>
    <n v="23"/>
    <n v="138"/>
    <n v="3174"/>
    <n v="1745.7"/>
    <n v="0.55000000000000004"/>
    <x v="2"/>
  </r>
  <r>
    <x v="5"/>
    <n v="1185732"/>
    <x v="385"/>
    <x v="3"/>
    <s v="Ohio"/>
    <s v="Columbus"/>
    <x v="3"/>
    <n v="24"/>
    <n v="113"/>
    <n v="2712"/>
    <n v="1383.1200000000001"/>
    <n v="0.51"/>
    <x v="2"/>
  </r>
  <r>
    <x v="5"/>
    <n v="1185732"/>
    <x v="385"/>
    <x v="3"/>
    <s v="Ohio"/>
    <s v="Columbus"/>
    <x v="4"/>
    <n v="32"/>
    <n v="122"/>
    <n v="3904"/>
    <n v="1873.9199999999998"/>
    <n v="0.48"/>
    <x v="2"/>
  </r>
  <r>
    <x v="5"/>
    <n v="1185732"/>
    <x v="385"/>
    <x v="3"/>
    <s v="Ohio"/>
    <s v="Columbus"/>
    <x v="5"/>
    <n v="37"/>
    <n v="138"/>
    <n v="5106"/>
    <n v="3165.72"/>
    <n v="0.62"/>
    <x v="2"/>
  </r>
  <r>
    <x v="5"/>
    <n v="1185732"/>
    <x v="417"/>
    <x v="3"/>
    <s v="Ohio"/>
    <s v="Columbus"/>
    <x v="0"/>
    <n v="36"/>
    <n v="210"/>
    <n v="7560"/>
    <n v="3931.2000000000003"/>
    <n v="0.52"/>
    <x v="2"/>
  </r>
  <r>
    <x v="5"/>
    <n v="1185732"/>
    <x v="417"/>
    <x v="3"/>
    <s v="Ohio"/>
    <s v="Columbus"/>
    <x v="1"/>
    <n v="29"/>
    <n v="138"/>
    <n v="4002"/>
    <n v="1880.9399999999998"/>
    <n v="0.47"/>
    <x v="2"/>
  </r>
  <r>
    <x v="5"/>
    <n v="1185732"/>
    <x v="417"/>
    <x v="3"/>
    <s v="Ohio"/>
    <s v="Columbus"/>
    <x v="2"/>
    <n v="27"/>
    <n v="106"/>
    <n v="2862"/>
    <n v="1516.8600000000001"/>
    <n v="0.53"/>
    <x v="2"/>
  </r>
  <r>
    <x v="5"/>
    <n v="1185732"/>
    <x v="417"/>
    <x v="3"/>
    <s v="Ohio"/>
    <s v="Columbus"/>
    <x v="3"/>
    <n v="29"/>
    <n v="112"/>
    <n v="3248"/>
    <n v="1656.48"/>
    <n v="0.51"/>
    <x v="2"/>
  </r>
  <r>
    <x v="5"/>
    <n v="1185732"/>
    <x v="417"/>
    <x v="3"/>
    <s v="Ohio"/>
    <s v="Columbus"/>
    <x v="4"/>
    <n v="37"/>
    <n v="116"/>
    <n v="4292"/>
    <n v="1974.32"/>
    <n v="0.45999999999999996"/>
    <x v="2"/>
  </r>
  <r>
    <x v="5"/>
    <n v="1185732"/>
    <x v="417"/>
    <x v="3"/>
    <s v="Ohio"/>
    <s v="Columbus"/>
    <x v="5"/>
    <n v="38"/>
    <n v="147"/>
    <n v="5586"/>
    <n v="3519.18"/>
    <n v="0.63"/>
    <x v="2"/>
  </r>
  <r>
    <x v="5"/>
    <n v="1185732"/>
    <x v="447"/>
    <x v="3"/>
    <s v="Ohio"/>
    <s v="Columbus"/>
    <x v="0"/>
    <n v="34"/>
    <n v="169"/>
    <n v="5746"/>
    <n v="2987.92"/>
    <n v="0.52"/>
    <x v="2"/>
  </r>
  <r>
    <x v="5"/>
    <n v="1185732"/>
    <x v="447"/>
    <x v="3"/>
    <s v="Ohio"/>
    <s v="Columbus"/>
    <x v="1"/>
    <n v="24"/>
    <n v="140"/>
    <n v="3360"/>
    <n v="1511.9999999999998"/>
    <n v="0.44999999999999996"/>
    <x v="2"/>
  </r>
  <r>
    <x v="5"/>
    <n v="1185732"/>
    <x v="447"/>
    <x v="3"/>
    <s v="Ohio"/>
    <s v="Columbus"/>
    <x v="2"/>
    <n v="32"/>
    <n v="116"/>
    <n v="3712"/>
    <n v="1856"/>
    <n v="0.5"/>
    <x v="2"/>
  </r>
  <r>
    <x v="5"/>
    <n v="1185732"/>
    <x v="447"/>
    <x v="3"/>
    <s v="Ohio"/>
    <s v="Columbus"/>
    <x v="3"/>
    <n v="59"/>
    <n v="135"/>
    <n v="7965"/>
    <n v="3982.5"/>
    <n v="0.5"/>
    <x v="2"/>
  </r>
  <r>
    <x v="5"/>
    <n v="1185732"/>
    <x v="447"/>
    <x v="3"/>
    <s v="Ohio"/>
    <s v="Columbus"/>
    <x v="4"/>
    <n v="76"/>
    <n v="138"/>
    <n v="10488"/>
    <n v="5139.12"/>
    <n v="0.49"/>
    <x v="2"/>
  </r>
  <r>
    <x v="5"/>
    <n v="1185732"/>
    <x v="447"/>
    <x v="3"/>
    <s v="Ohio"/>
    <s v="Columbus"/>
    <x v="5"/>
    <n v="74"/>
    <n v="167"/>
    <n v="12358"/>
    <n v="7909.12"/>
    <n v="0.64"/>
    <x v="2"/>
  </r>
  <r>
    <x v="5"/>
    <n v="1185732"/>
    <x v="476"/>
    <x v="3"/>
    <s v="Ohio"/>
    <s v="Columbus"/>
    <x v="0"/>
    <n v="70"/>
    <n v="231"/>
    <n v="16170"/>
    <n v="8085"/>
    <n v="0.5"/>
    <x v="2"/>
  </r>
  <r>
    <x v="5"/>
    <n v="1185732"/>
    <x v="476"/>
    <x v="3"/>
    <s v="Ohio"/>
    <s v="Columbus"/>
    <x v="1"/>
    <n v="60"/>
    <n v="181"/>
    <n v="10860"/>
    <n v="5104.2"/>
    <n v="0.47"/>
    <x v="2"/>
  </r>
  <r>
    <x v="3"/>
    <n v="1185732"/>
    <x v="476"/>
    <x v="3"/>
    <s v="Ohio"/>
    <s v="Columbus"/>
    <x v="2"/>
    <n v="59"/>
    <n v="161"/>
    <n v="9499"/>
    <n v="4939.4800000000005"/>
    <n v="0.52"/>
    <x v="2"/>
  </r>
  <r>
    <x v="3"/>
    <n v="1185732"/>
    <x v="476"/>
    <x v="3"/>
    <s v="Ohio"/>
    <s v="Columbus"/>
    <x v="3"/>
    <n v="63"/>
    <n v="147"/>
    <n v="9261"/>
    <n v="4630.5"/>
    <n v="0.5"/>
    <x v="2"/>
  </r>
  <r>
    <x v="3"/>
    <n v="1185732"/>
    <x v="476"/>
    <x v="3"/>
    <s v="Ohio"/>
    <s v="Columbus"/>
    <x v="4"/>
    <n v="68"/>
    <n v="142"/>
    <n v="9656"/>
    <n v="4731.4399999999996"/>
    <n v="0.49"/>
    <x v="2"/>
  </r>
  <r>
    <x v="3"/>
    <n v="1185732"/>
    <x v="476"/>
    <x v="3"/>
    <s v="Ohio"/>
    <s v="Columbus"/>
    <x v="5"/>
    <n v="74"/>
    <n v="156"/>
    <n v="11544"/>
    <n v="6926.4"/>
    <n v="0.6"/>
    <x v="2"/>
  </r>
  <r>
    <x v="5"/>
    <n v="1185732"/>
    <x v="186"/>
    <x v="3"/>
    <s v="Ohio"/>
    <s v="Columbus"/>
    <x v="0"/>
    <n v="37"/>
    <n v="135"/>
    <n v="4995"/>
    <n v="2697.3"/>
    <n v="0.54"/>
    <x v="2"/>
  </r>
  <r>
    <x v="5"/>
    <n v="1185732"/>
    <x v="186"/>
    <x v="3"/>
    <s v="Ohio"/>
    <s v="Columbus"/>
    <x v="1"/>
    <n v="38"/>
    <n v="78"/>
    <n v="2964"/>
    <n v="1393.08"/>
    <n v="0.47"/>
    <x v="2"/>
  </r>
  <r>
    <x v="5"/>
    <n v="1185732"/>
    <x v="186"/>
    <x v="3"/>
    <s v="Ohio"/>
    <s v="Columbus"/>
    <x v="2"/>
    <n v="28"/>
    <n v="75"/>
    <n v="2100"/>
    <n v="1092"/>
    <n v="0.52"/>
    <x v="2"/>
  </r>
  <r>
    <x v="5"/>
    <n v="1185732"/>
    <x v="186"/>
    <x v="3"/>
    <s v="Ohio"/>
    <s v="Columbus"/>
    <x v="3"/>
    <n v="34"/>
    <n v="42"/>
    <n v="1428"/>
    <n v="714"/>
    <n v="0.5"/>
    <x v="2"/>
  </r>
  <r>
    <x v="5"/>
    <n v="1185732"/>
    <x v="186"/>
    <x v="3"/>
    <s v="Ohio"/>
    <s v="Columbus"/>
    <x v="4"/>
    <n v="46"/>
    <n v="52"/>
    <n v="2392"/>
    <n v="1124.24"/>
    <n v="0.47"/>
    <x v="2"/>
  </r>
  <r>
    <x v="5"/>
    <n v="1185732"/>
    <x v="186"/>
    <x v="3"/>
    <s v="Ohio"/>
    <s v="Columbus"/>
    <x v="5"/>
    <n v="37"/>
    <n v="81"/>
    <n v="2997"/>
    <n v="1618.38"/>
    <n v="0.54"/>
    <x v="2"/>
  </r>
  <r>
    <x v="5"/>
    <n v="1185732"/>
    <x v="696"/>
    <x v="3"/>
    <s v="Ohio"/>
    <s v="Columbus"/>
    <x v="0"/>
    <n v="38"/>
    <n v="138"/>
    <n v="5244"/>
    <n v="2779.32"/>
    <n v="0.53"/>
    <x v="2"/>
  </r>
  <r>
    <x v="5"/>
    <n v="1185732"/>
    <x v="696"/>
    <x v="3"/>
    <s v="Ohio"/>
    <s v="Columbus"/>
    <x v="1"/>
    <n v="38"/>
    <n v="58"/>
    <n v="2204"/>
    <n v="1013.8399999999999"/>
    <n v="0.45999999999999996"/>
    <x v="2"/>
  </r>
  <r>
    <x v="5"/>
    <n v="1185732"/>
    <x v="696"/>
    <x v="3"/>
    <s v="Ohio"/>
    <s v="Columbus"/>
    <x v="2"/>
    <n v="29"/>
    <n v="63"/>
    <n v="1827"/>
    <n v="968.31000000000006"/>
    <n v="0.53"/>
    <x v="2"/>
  </r>
  <r>
    <x v="5"/>
    <n v="1185732"/>
    <x v="696"/>
    <x v="4"/>
    <s v="Kentucky"/>
    <s v="Louisville"/>
    <x v="3"/>
    <n v="34"/>
    <n v="34"/>
    <n v="1156"/>
    <n v="624.24"/>
    <n v="0.54"/>
    <x v="2"/>
  </r>
  <r>
    <x v="5"/>
    <n v="1185732"/>
    <x v="696"/>
    <x v="4"/>
    <s v="Kentucky"/>
    <s v="Louisville"/>
    <x v="4"/>
    <n v="48"/>
    <n v="54"/>
    <n v="2592"/>
    <n v="1218.24"/>
    <n v="0.47"/>
    <x v="2"/>
  </r>
  <r>
    <x v="5"/>
    <n v="1185732"/>
    <x v="696"/>
    <x v="4"/>
    <s v="Kentucky"/>
    <s v="Louisville"/>
    <x v="5"/>
    <n v="39"/>
    <n v="78"/>
    <n v="3042"/>
    <n v="1551.42"/>
    <n v="0.51"/>
    <x v="2"/>
  </r>
  <r>
    <x v="5"/>
    <n v="1185732"/>
    <x v="226"/>
    <x v="4"/>
    <s v="Kentucky"/>
    <s v="Louisville"/>
    <x v="0"/>
    <n v="41"/>
    <n v="156"/>
    <n v="6396"/>
    <n v="3261.96"/>
    <n v="0.51"/>
    <x v="2"/>
  </r>
  <r>
    <x v="5"/>
    <n v="1185732"/>
    <x v="226"/>
    <x v="4"/>
    <s v="Kentucky"/>
    <s v="Louisville"/>
    <x v="1"/>
    <n v="41"/>
    <n v="59"/>
    <n v="2419"/>
    <n v="1185.31"/>
    <n v="0.49"/>
    <x v="2"/>
  </r>
  <r>
    <x v="5"/>
    <n v="1185732"/>
    <x v="226"/>
    <x v="4"/>
    <s v="Kentucky"/>
    <s v="Louisville"/>
    <x v="2"/>
    <n v="34"/>
    <n v="73"/>
    <n v="2482"/>
    <n v="1241"/>
    <n v="0.5"/>
    <x v="2"/>
  </r>
  <r>
    <x v="5"/>
    <n v="1185732"/>
    <x v="226"/>
    <x v="4"/>
    <s v="Kentucky"/>
    <s v="Louisville"/>
    <x v="3"/>
    <n v="36"/>
    <n v="27"/>
    <n v="972"/>
    <n v="505.44"/>
    <n v="0.52"/>
    <x v="2"/>
  </r>
  <r>
    <x v="5"/>
    <n v="1185732"/>
    <x v="226"/>
    <x v="4"/>
    <s v="Kentucky"/>
    <s v="Louisville"/>
    <x v="4"/>
    <n v="52"/>
    <n v="44"/>
    <n v="2288"/>
    <n v="1052.48"/>
    <n v="0.45999999999999996"/>
    <x v="2"/>
  </r>
  <r>
    <x v="5"/>
    <n v="1185732"/>
    <x v="226"/>
    <x v="4"/>
    <s v="Kentucky"/>
    <s v="Louisville"/>
    <x v="5"/>
    <n v="42"/>
    <n v="65"/>
    <n v="2730"/>
    <n v="1392.3"/>
    <n v="0.51"/>
    <x v="2"/>
  </r>
  <r>
    <x v="5"/>
    <n v="1185732"/>
    <x v="245"/>
    <x v="4"/>
    <s v="Kentucky"/>
    <s v="Louisville"/>
    <x v="0"/>
    <n v="41"/>
    <n v="119"/>
    <n v="4879"/>
    <n v="2683.4500000000003"/>
    <n v="0.55000000000000004"/>
    <x v="2"/>
  </r>
  <r>
    <x v="5"/>
    <n v="1185732"/>
    <x v="245"/>
    <x v="4"/>
    <s v="Kentucky"/>
    <s v="Louisville"/>
    <x v="1"/>
    <n v="41"/>
    <n v="49"/>
    <n v="2009"/>
    <n v="964.31999999999994"/>
    <n v="0.48"/>
    <x v="2"/>
  </r>
  <r>
    <x v="5"/>
    <n v="1185732"/>
    <x v="245"/>
    <x v="4"/>
    <s v="Kentucky"/>
    <s v="Louisville"/>
    <x v="2"/>
    <n v="38"/>
    <n v="49"/>
    <n v="1862"/>
    <n v="1024.1000000000001"/>
    <n v="0.55000000000000004"/>
    <x v="2"/>
  </r>
  <r>
    <x v="5"/>
    <n v="1185732"/>
    <x v="245"/>
    <x v="4"/>
    <s v="Kentucky"/>
    <s v="Louisville"/>
    <x v="3"/>
    <n v="42"/>
    <n v="29"/>
    <n v="1218"/>
    <n v="609"/>
    <n v="0.5"/>
    <x v="2"/>
  </r>
  <r>
    <x v="5"/>
    <n v="1185732"/>
    <x v="245"/>
    <x v="4"/>
    <s v="Kentucky"/>
    <s v="Louisville"/>
    <x v="4"/>
    <n v="47"/>
    <n v="35"/>
    <n v="1645"/>
    <n v="806.05"/>
    <n v="0.49"/>
    <x v="2"/>
  </r>
  <r>
    <x v="5"/>
    <n v="1185732"/>
    <x v="245"/>
    <x v="4"/>
    <s v="Kentucky"/>
    <s v="Louisville"/>
    <x v="5"/>
    <n v="36"/>
    <n v="75"/>
    <n v="2700"/>
    <n v="1350"/>
    <n v="0.5"/>
    <x v="2"/>
  </r>
  <r>
    <x v="5"/>
    <n v="1185732"/>
    <x v="276"/>
    <x v="4"/>
    <s v="Kentucky"/>
    <s v="Louisville"/>
    <x v="0"/>
    <n v="49"/>
    <n v="156"/>
    <n v="7644"/>
    <n v="3898.44"/>
    <n v="0.51"/>
    <x v="2"/>
  </r>
  <r>
    <x v="5"/>
    <n v="1185732"/>
    <x v="276"/>
    <x v="4"/>
    <s v="Kentucky"/>
    <s v="Louisville"/>
    <x v="1"/>
    <n v="42"/>
    <n v="68"/>
    <n v="2856"/>
    <n v="1428"/>
    <n v="0.5"/>
    <x v="2"/>
  </r>
  <r>
    <x v="5"/>
    <n v="1185732"/>
    <x v="276"/>
    <x v="4"/>
    <s v="Kentucky"/>
    <s v="Louisville"/>
    <x v="2"/>
    <n v="38"/>
    <n v="58"/>
    <n v="2204"/>
    <n v="1146.08"/>
    <n v="0.52"/>
    <x v="2"/>
  </r>
  <r>
    <x v="5"/>
    <n v="1185732"/>
    <x v="276"/>
    <x v="4"/>
    <s v="Kentucky"/>
    <s v="Louisville"/>
    <x v="3"/>
    <n v="38"/>
    <n v="38"/>
    <n v="1444"/>
    <n v="779.7600000000001"/>
    <n v="0.54"/>
    <x v="2"/>
  </r>
  <r>
    <x v="5"/>
    <n v="1185732"/>
    <x v="276"/>
    <x v="4"/>
    <s v="Kentucky"/>
    <s v="Louisville"/>
    <x v="4"/>
    <n v="46"/>
    <n v="42"/>
    <n v="1932"/>
    <n v="888.71999999999991"/>
    <n v="0.45999999999999996"/>
    <x v="2"/>
  </r>
  <r>
    <x v="5"/>
    <n v="1185732"/>
    <x v="276"/>
    <x v="4"/>
    <s v="Kentucky"/>
    <s v="Louisville"/>
    <x v="5"/>
    <n v="51"/>
    <n v="83"/>
    <n v="4233"/>
    <n v="2158.83"/>
    <n v="0.51"/>
    <x v="2"/>
  </r>
  <r>
    <x v="5"/>
    <n v="1185732"/>
    <x v="306"/>
    <x v="4"/>
    <s v="Kentucky"/>
    <s v="Louisville"/>
    <x v="0"/>
    <n v="36"/>
    <n v="142"/>
    <n v="5112"/>
    <n v="2556"/>
    <n v="0.5"/>
    <x v="2"/>
  </r>
  <r>
    <x v="5"/>
    <n v="1185732"/>
    <x v="306"/>
    <x v="4"/>
    <s v="Kentucky"/>
    <s v="Louisville"/>
    <x v="1"/>
    <n v="33"/>
    <n v="77"/>
    <n v="2541"/>
    <n v="1245.0899999999999"/>
    <n v="0.49"/>
    <x v="2"/>
  </r>
  <r>
    <x v="5"/>
    <n v="1185732"/>
    <x v="306"/>
    <x v="4"/>
    <s v="Kentucky"/>
    <s v="Louisville"/>
    <x v="2"/>
    <n v="28"/>
    <n v="56"/>
    <n v="1568"/>
    <n v="862.40000000000009"/>
    <n v="0.55000000000000004"/>
    <x v="2"/>
  </r>
  <r>
    <x v="5"/>
    <n v="1185732"/>
    <x v="306"/>
    <x v="4"/>
    <s v="Kentucky"/>
    <s v="Louisville"/>
    <x v="3"/>
    <n v="29"/>
    <n v="52"/>
    <n v="1508"/>
    <n v="829.40000000000009"/>
    <n v="0.55000000000000004"/>
    <x v="2"/>
  </r>
  <r>
    <x v="5"/>
    <n v="1185732"/>
    <x v="306"/>
    <x v="4"/>
    <s v="Kentucky"/>
    <s v="Louisville"/>
    <x v="4"/>
    <n v="49"/>
    <n v="54"/>
    <n v="2646"/>
    <n v="1296.54"/>
    <n v="0.49"/>
    <x v="2"/>
  </r>
  <r>
    <x v="5"/>
    <n v="1185732"/>
    <x v="306"/>
    <x v="4"/>
    <s v="Kentucky"/>
    <s v="Louisville"/>
    <x v="5"/>
    <n v="52"/>
    <n v="101"/>
    <n v="5252"/>
    <n v="2731.04"/>
    <n v="0.52"/>
    <x v="2"/>
  </r>
  <r>
    <x v="5"/>
    <n v="1185732"/>
    <x v="335"/>
    <x v="4"/>
    <s v="Kentucky"/>
    <s v="Louisville"/>
    <x v="0"/>
    <n v="47"/>
    <n v="168"/>
    <n v="7896"/>
    <n v="4342.8"/>
    <n v="0.55000000000000004"/>
    <x v="2"/>
  </r>
  <r>
    <x v="5"/>
    <n v="1185732"/>
    <x v="335"/>
    <x v="4"/>
    <s v="Kentucky"/>
    <s v="Louisville"/>
    <x v="1"/>
    <n v="44"/>
    <n v="95"/>
    <n v="4180"/>
    <n v="2048.1999999999998"/>
    <n v="0.49"/>
    <x v="2"/>
  </r>
  <r>
    <x v="5"/>
    <n v="1185732"/>
    <x v="335"/>
    <x v="4"/>
    <s v="Kentucky"/>
    <s v="Louisville"/>
    <x v="2"/>
    <n v="38"/>
    <n v="69"/>
    <n v="2622"/>
    <n v="1363.44"/>
    <n v="0.52"/>
    <x v="2"/>
  </r>
  <r>
    <x v="5"/>
    <n v="1185732"/>
    <x v="335"/>
    <x v="4"/>
    <s v="Kentucky"/>
    <s v="Louisville"/>
    <x v="3"/>
    <n v="37"/>
    <n v="63"/>
    <n v="2331"/>
    <n v="1258.74"/>
    <n v="0.54"/>
    <x v="2"/>
  </r>
  <r>
    <x v="5"/>
    <n v="1185732"/>
    <x v="335"/>
    <x v="4"/>
    <s v="Kentucky"/>
    <s v="Louisville"/>
    <x v="4"/>
    <n v="46"/>
    <n v="75"/>
    <n v="3450"/>
    <n v="1586.9999999999998"/>
    <n v="0.45999999999999996"/>
    <x v="2"/>
  </r>
  <r>
    <x v="5"/>
    <n v="1185732"/>
    <x v="335"/>
    <x v="4"/>
    <s v="Kentucky"/>
    <s v="Louisville"/>
    <x v="5"/>
    <n v="50"/>
    <n v="115"/>
    <n v="5750"/>
    <n v="3105"/>
    <n v="0.54"/>
    <x v="2"/>
  </r>
  <r>
    <x v="5"/>
    <n v="1185732"/>
    <x v="367"/>
    <x v="4"/>
    <s v="Kentucky"/>
    <s v="Louisville"/>
    <x v="0"/>
    <n v="46"/>
    <n v="167"/>
    <n v="7682"/>
    <n v="4148.2800000000007"/>
    <n v="0.54"/>
    <x v="2"/>
  </r>
  <r>
    <x v="5"/>
    <n v="1185732"/>
    <x v="367"/>
    <x v="4"/>
    <s v="Kentucky"/>
    <s v="Louisville"/>
    <x v="1"/>
    <n v="41"/>
    <n v="91"/>
    <n v="3731"/>
    <n v="1753.57"/>
    <n v="0.47"/>
    <x v="2"/>
  </r>
  <r>
    <x v="5"/>
    <n v="1185732"/>
    <x v="367"/>
    <x v="4"/>
    <s v="Kentucky"/>
    <s v="Louisville"/>
    <x v="2"/>
    <n v="36"/>
    <n v="80"/>
    <n v="2880"/>
    <n v="1555.2"/>
    <n v="0.54"/>
    <x v="2"/>
  </r>
  <r>
    <x v="5"/>
    <n v="1185732"/>
    <x v="367"/>
    <x v="4"/>
    <s v="Kentucky"/>
    <s v="Louisville"/>
    <x v="3"/>
    <n v="38"/>
    <n v="75"/>
    <n v="2850"/>
    <n v="1425"/>
    <n v="0.5"/>
    <x v="2"/>
  </r>
  <r>
    <x v="5"/>
    <n v="1185732"/>
    <x v="367"/>
    <x v="4"/>
    <s v="Kentucky"/>
    <s v="Louisville"/>
    <x v="4"/>
    <n v="49"/>
    <n v="65"/>
    <n v="3185"/>
    <n v="1560.6499999999999"/>
    <n v="0.49"/>
    <x v="2"/>
  </r>
  <r>
    <x v="5"/>
    <n v="1185732"/>
    <x v="367"/>
    <x v="4"/>
    <s v="Kentucky"/>
    <s v="Louisville"/>
    <x v="5"/>
    <n v="51"/>
    <n v="120"/>
    <n v="6120"/>
    <n v="3304.8"/>
    <n v="0.54"/>
    <x v="2"/>
  </r>
  <r>
    <x v="5"/>
    <n v="1185732"/>
    <x v="399"/>
    <x v="4"/>
    <s v="Kentucky"/>
    <s v="Louisville"/>
    <x v="0"/>
    <n v="48"/>
    <n v="137"/>
    <n v="6576"/>
    <n v="3485.28"/>
    <n v="0.53"/>
    <x v="2"/>
  </r>
  <r>
    <x v="5"/>
    <n v="1185732"/>
    <x v="399"/>
    <x v="4"/>
    <s v="Kentucky"/>
    <s v="Louisville"/>
    <x v="1"/>
    <n v="44"/>
    <n v="94"/>
    <n v="4136"/>
    <n v="2026.6399999999999"/>
    <n v="0.49"/>
    <x v="2"/>
  </r>
  <r>
    <x v="5"/>
    <n v="1185732"/>
    <x v="399"/>
    <x v="4"/>
    <s v="Kentucky"/>
    <s v="Louisville"/>
    <x v="2"/>
    <n v="33"/>
    <n v="65"/>
    <n v="2145"/>
    <n v="1136.8500000000001"/>
    <n v="0.53"/>
    <x v="2"/>
  </r>
  <r>
    <x v="5"/>
    <n v="1185732"/>
    <x v="399"/>
    <x v="4"/>
    <s v="Kentucky"/>
    <s v="Louisville"/>
    <x v="3"/>
    <n v="32"/>
    <n v="54"/>
    <n v="1728"/>
    <n v="881.28"/>
    <n v="0.51"/>
    <x v="2"/>
  </r>
  <r>
    <x v="5"/>
    <n v="1185732"/>
    <x v="399"/>
    <x v="4"/>
    <s v="Kentucky"/>
    <s v="Louisville"/>
    <x v="4"/>
    <n v="43"/>
    <n v="58"/>
    <n v="2494"/>
    <n v="1172.1799999999998"/>
    <n v="0.47"/>
    <x v="2"/>
  </r>
  <r>
    <x v="5"/>
    <n v="1185732"/>
    <x v="399"/>
    <x v="4"/>
    <s v="Kentucky"/>
    <s v="Louisville"/>
    <x v="5"/>
    <n v="49"/>
    <n v="74"/>
    <n v="3626"/>
    <n v="1885.52"/>
    <n v="0.52"/>
    <x v="2"/>
  </r>
  <r>
    <x v="5"/>
    <n v="1185732"/>
    <x v="428"/>
    <x v="4"/>
    <s v="Kentucky"/>
    <s v="Louisville"/>
    <x v="0"/>
    <n v="53"/>
    <n v="126"/>
    <n v="6678"/>
    <n v="3672.9"/>
    <n v="0.55000000000000004"/>
    <x v="2"/>
  </r>
  <r>
    <x v="5"/>
    <n v="1185732"/>
    <x v="428"/>
    <x v="4"/>
    <s v="Kentucky"/>
    <s v="Louisville"/>
    <x v="1"/>
    <n v="41"/>
    <n v="83"/>
    <n v="3403"/>
    <n v="1701.5"/>
    <n v="0.5"/>
    <x v="2"/>
  </r>
  <r>
    <x v="5"/>
    <n v="1185732"/>
    <x v="428"/>
    <x v="4"/>
    <s v="Kentucky"/>
    <s v="Louisville"/>
    <x v="2"/>
    <n v="43"/>
    <n v="47"/>
    <n v="2021"/>
    <n v="1091.3400000000001"/>
    <n v="0.54"/>
    <x v="2"/>
  </r>
  <r>
    <x v="5"/>
    <n v="1185732"/>
    <x v="428"/>
    <x v="4"/>
    <s v="Kentucky"/>
    <s v="Louisville"/>
    <x v="3"/>
    <n v="41"/>
    <n v="42"/>
    <n v="1722"/>
    <n v="895.44"/>
    <n v="0.52"/>
    <x v="2"/>
  </r>
  <r>
    <x v="5"/>
    <n v="1185732"/>
    <x v="428"/>
    <x v="4"/>
    <s v="Kentucky"/>
    <s v="Louisville"/>
    <x v="4"/>
    <n v="53"/>
    <n v="41"/>
    <n v="2173"/>
    <n v="1064.77"/>
    <n v="0.49"/>
    <x v="2"/>
  </r>
  <r>
    <x v="5"/>
    <n v="1185732"/>
    <x v="428"/>
    <x v="4"/>
    <s v="Kentucky"/>
    <s v="Louisville"/>
    <x v="5"/>
    <n v="53"/>
    <n v="83"/>
    <n v="4399"/>
    <n v="2199.5"/>
    <n v="0.5"/>
    <x v="2"/>
  </r>
  <r>
    <x v="5"/>
    <n v="1185732"/>
    <x v="459"/>
    <x v="4"/>
    <s v="Kentucky"/>
    <s v="Louisville"/>
    <x v="0"/>
    <n v="48"/>
    <n v="123"/>
    <n v="5904"/>
    <n v="3070.08"/>
    <n v="0.52"/>
    <x v="2"/>
  </r>
  <r>
    <x v="5"/>
    <n v="1185732"/>
    <x v="459"/>
    <x v="4"/>
    <s v="Kentucky"/>
    <s v="Louisville"/>
    <x v="1"/>
    <n v="39"/>
    <n v="72"/>
    <n v="2808"/>
    <n v="1319.76"/>
    <n v="0.47"/>
    <x v="2"/>
  </r>
  <r>
    <x v="5"/>
    <n v="1185732"/>
    <x v="459"/>
    <x v="4"/>
    <s v="Kentucky"/>
    <s v="Louisville"/>
    <x v="2"/>
    <n v="41"/>
    <n v="57"/>
    <n v="2337"/>
    <n v="1191.8700000000001"/>
    <n v="0.51"/>
    <x v="2"/>
  </r>
  <r>
    <x v="0"/>
    <n v="1185732"/>
    <x v="459"/>
    <x v="4"/>
    <s v="Kentucky"/>
    <s v="Louisville"/>
    <x v="3"/>
    <n v="52"/>
    <n v="52"/>
    <n v="2704"/>
    <n v="1352"/>
    <n v="0.5"/>
    <x v="2"/>
  </r>
  <r>
    <x v="0"/>
    <n v="1185732"/>
    <x v="459"/>
    <x v="4"/>
    <s v="Kentucky"/>
    <s v="Louisville"/>
    <x v="4"/>
    <n v="59"/>
    <n v="53"/>
    <n v="3127"/>
    <n v="1500.96"/>
    <n v="0.48"/>
    <x v="2"/>
  </r>
  <r>
    <x v="0"/>
    <n v="1185732"/>
    <x v="459"/>
    <x v="4"/>
    <s v="Kentucky"/>
    <s v="Louisville"/>
    <x v="5"/>
    <n v="66"/>
    <n v="80"/>
    <n v="5280"/>
    <n v="2851.2000000000003"/>
    <n v="0.54"/>
    <x v="2"/>
  </r>
  <r>
    <x v="0"/>
    <n v="1185732"/>
    <x v="488"/>
    <x v="4"/>
    <s v="Kentucky"/>
    <s v="Louisville"/>
    <x v="0"/>
    <n v="59"/>
    <n v="158"/>
    <n v="9322"/>
    <n v="5127.1000000000004"/>
    <n v="0.55000000000000004"/>
    <x v="2"/>
  </r>
  <r>
    <x v="0"/>
    <n v="1185732"/>
    <x v="488"/>
    <x v="4"/>
    <s v="Kentucky"/>
    <s v="Louisville"/>
    <x v="1"/>
    <n v="52"/>
    <n v="98"/>
    <n v="5096"/>
    <n v="2446.08"/>
    <n v="0.48"/>
    <x v="2"/>
  </r>
  <r>
    <x v="0"/>
    <n v="1185732"/>
    <x v="488"/>
    <x v="4"/>
    <s v="Kentucky"/>
    <s v="Louisville"/>
    <x v="2"/>
    <n v="51"/>
    <n v="74"/>
    <n v="3774"/>
    <n v="2075.7000000000003"/>
    <n v="0.55000000000000004"/>
    <x v="2"/>
  </r>
  <r>
    <x v="0"/>
    <n v="1185732"/>
    <x v="488"/>
    <x v="4"/>
    <s v="Kentucky"/>
    <s v="Louisville"/>
    <x v="3"/>
    <n v="49"/>
    <n v="68"/>
    <n v="3332"/>
    <n v="1765.96"/>
    <n v="0.53"/>
    <x v="2"/>
  </r>
  <r>
    <x v="0"/>
    <n v="1185732"/>
    <x v="488"/>
    <x v="4"/>
    <s v="Kentucky"/>
    <s v="Louisville"/>
    <x v="4"/>
    <n v="54"/>
    <n v="68"/>
    <n v="3672"/>
    <n v="1725.84"/>
    <n v="0.47"/>
    <x v="2"/>
  </r>
  <r>
    <x v="0"/>
    <n v="1185732"/>
    <x v="488"/>
    <x v="4"/>
    <s v="Kentucky"/>
    <s v="Louisville"/>
    <x v="5"/>
    <n v="64"/>
    <n v="98"/>
    <n v="6272"/>
    <n v="3324.1600000000003"/>
    <n v="0.53"/>
    <x v="2"/>
  </r>
  <r>
    <x v="0"/>
    <n v="1185732"/>
    <x v="184"/>
    <x v="4"/>
    <s v="Kentucky"/>
    <s v="Louisville"/>
    <x v="0"/>
    <n v="29"/>
    <n v="189"/>
    <n v="5481"/>
    <n v="2959.7400000000002"/>
    <n v="0.54"/>
    <x v="2"/>
  </r>
  <r>
    <x v="0"/>
    <n v="1185732"/>
    <x v="184"/>
    <x v="4"/>
    <s v="Kentucky"/>
    <s v="Louisville"/>
    <x v="1"/>
    <n v="29"/>
    <n v="142"/>
    <n v="4118"/>
    <n v="1853.1"/>
    <n v="0.44999999999999996"/>
    <x v="2"/>
  </r>
  <r>
    <x v="0"/>
    <n v="1185732"/>
    <x v="184"/>
    <x v="4"/>
    <s v="Kentucky"/>
    <s v="Louisville"/>
    <x v="2"/>
    <n v="18"/>
    <n v="158"/>
    <n v="2844"/>
    <n v="1564.2"/>
    <n v="0.55000000000000004"/>
    <x v="2"/>
  </r>
  <r>
    <x v="0"/>
    <n v="1185732"/>
    <x v="184"/>
    <x v="4"/>
    <s v="Kentucky"/>
    <s v="Louisville"/>
    <x v="3"/>
    <n v="23"/>
    <n v="101"/>
    <n v="2323"/>
    <n v="1231.19"/>
    <n v="0.53"/>
    <x v="2"/>
  </r>
  <r>
    <x v="0"/>
    <n v="1185732"/>
    <x v="184"/>
    <x v="4"/>
    <s v="Kentucky"/>
    <s v="Louisville"/>
    <x v="4"/>
    <n v="38"/>
    <n v="115"/>
    <n v="4370"/>
    <n v="2097.6"/>
    <n v="0.48"/>
    <x v="2"/>
  </r>
  <r>
    <x v="0"/>
    <n v="1185732"/>
    <x v="184"/>
    <x v="4"/>
    <s v="Kentucky"/>
    <s v="Louisville"/>
    <x v="5"/>
    <n v="29"/>
    <n v="158"/>
    <n v="4582"/>
    <n v="2840.84"/>
    <n v="0.62"/>
    <x v="2"/>
  </r>
  <r>
    <x v="0"/>
    <n v="1185732"/>
    <x v="213"/>
    <x v="4"/>
    <s v="Kentucky"/>
    <s v="Louisville"/>
    <x v="0"/>
    <n v="28"/>
    <n v="225"/>
    <n v="6300"/>
    <n v="3276"/>
    <n v="0.52"/>
    <x v="2"/>
  </r>
  <r>
    <x v="0"/>
    <n v="1185732"/>
    <x v="213"/>
    <x v="4"/>
    <s v="Kentucky"/>
    <s v="Louisville"/>
    <x v="1"/>
    <n v="27"/>
    <n v="106"/>
    <n v="2862"/>
    <n v="1373.76"/>
    <n v="0.48"/>
    <x v="2"/>
  </r>
  <r>
    <x v="0"/>
    <n v="1185732"/>
    <x v="213"/>
    <x v="4"/>
    <s v="Kentucky"/>
    <s v="Louisville"/>
    <x v="2"/>
    <n v="18"/>
    <n v="124"/>
    <n v="2232"/>
    <n v="1227.6000000000001"/>
    <n v="0.55000000000000004"/>
    <x v="2"/>
  </r>
  <r>
    <x v="0"/>
    <n v="1185732"/>
    <x v="213"/>
    <x v="1"/>
    <s v="Mississippi"/>
    <s v="Jackson"/>
    <x v="3"/>
    <n v="25"/>
    <n v="91"/>
    <n v="2275"/>
    <n v="1137.5"/>
    <n v="0.5"/>
    <x v="2"/>
  </r>
  <r>
    <x v="0"/>
    <n v="1185732"/>
    <x v="213"/>
    <x v="1"/>
    <s v="Mississippi"/>
    <s v="Jackson"/>
    <x v="4"/>
    <n v="39"/>
    <n v="108"/>
    <n v="4212"/>
    <n v="1937.5199999999998"/>
    <n v="0.45999999999999996"/>
    <x v="2"/>
  </r>
  <r>
    <x v="0"/>
    <n v="1185732"/>
    <x v="213"/>
    <x v="1"/>
    <s v="Mississippi"/>
    <s v="Jackson"/>
    <x v="5"/>
    <n v="24"/>
    <n v="125"/>
    <n v="3000"/>
    <n v="1800"/>
    <n v="0.6"/>
    <x v="2"/>
  </r>
  <r>
    <x v="0"/>
    <n v="1185732"/>
    <x v="221"/>
    <x v="1"/>
    <s v="Mississippi"/>
    <s v="Jackson"/>
    <x v="0"/>
    <n v="23"/>
    <n v="187"/>
    <n v="4301"/>
    <n v="2365.5500000000002"/>
    <n v="0.55000000000000004"/>
    <x v="2"/>
  </r>
  <r>
    <x v="0"/>
    <n v="1185732"/>
    <x v="221"/>
    <x v="1"/>
    <s v="Mississippi"/>
    <s v="Jackson"/>
    <x v="1"/>
    <n v="24"/>
    <n v="100"/>
    <n v="2400"/>
    <n v="1128"/>
    <n v="0.47"/>
    <x v="2"/>
  </r>
  <r>
    <x v="0"/>
    <n v="1185732"/>
    <x v="221"/>
    <x v="1"/>
    <s v="Mississippi"/>
    <s v="Jackson"/>
    <x v="2"/>
    <n v="14"/>
    <n v="128"/>
    <n v="1792"/>
    <n v="949.76"/>
    <n v="0.53"/>
    <x v="2"/>
  </r>
  <r>
    <x v="0"/>
    <n v="1185732"/>
    <x v="221"/>
    <x v="1"/>
    <s v="Mississippi"/>
    <s v="Jackson"/>
    <x v="3"/>
    <n v="19"/>
    <n v="80"/>
    <n v="1520"/>
    <n v="790.4"/>
    <n v="0.52"/>
    <x v="2"/>
  </r>
  <r>
    <x v="0"/>
    <n v="1185732"/>
    <x v="221"/>
    <x v="1"/>
    <s v="Mississippi"/>
    <s v="Jackson"/>
    <x v="4"/>
    <n v="32"/>
    <n v="81"/>
    <n v="2592"/>
    <n v="1192.32"/>
    <n v="0.45999999999999996"/>
    <x v="2"/>
  </r>
  <r>
    <x v="0"/>
    <n v="1185732"/>
    <x v="221"/>
    <x v="1"/>
    <s v="Mississippi"/>
    <s v="Jackson"/>
    <x v="5"/>
    <n v="24"/>
    <n v="123"/>
    <n v="2952"/>
    <n v="1830.24"/>
    <n v="0.62"/>
    <x v="2"/>
  </r>
  <r>
    <x v="0"/>
    <n v="1185732"/>
    <x v="240"/>
    <x v="1"/>
    <s v="Mississippi"/>
    <s v="Jackson"/>
    <x v="0"/>
    <n v="23"/>
    <n v="169"/>
    <n v="3887"/>
    <n v="2098.98"/>
    <n v="0.54"/>
    <x v="2"/>
  </r>
  <r>
    <x v="0"/>
    <n v="1185732"/>
    <x v="240"/>
    <x v="1"/>
    <s v="Mississippi"/>
    <s v="Jackson"/>
    <x v="1"/>
    <n v="23"/>
    <n v="109"/>
    <n v="2507"/>
    <n v="1253.5"/>
    <n v="0.5"/>
    <x v="2"/>
  </r>
  <r>
    <x v="0"/>
    <n v="1185732"/>
    <x v="240"/>
    <x v="1"/>
    <s v="Mississippi"/>
    <s v="Jackson"/>
    <x v="2"/>
    <n v="14"/>
    <n v="101"/>
    <n v="1414"/>
    <n v="777.7"/>
    <n v="0.55000000000000004"/>
    <x v="2"/>
  </r>
  <r>
    <x v="0"/>
    <n v="1185732"/>
    <x v="240"/>
    <x v="1"/>
    <s v="Mississippi"/>
    <s v="Jackson"/>
    <x v="3"/>
    <n v="19"/>
    <n v="75"/>
    <n v="1425"/>
    <n v="741"/>
    <n v="0.52"/>
    <x v="2"/>
  </r>
  <r>
    <x v="0"/>
    <n v="1185732"/>
    <x v="240"/>
    <x v="1"/>
    <s v="Mississippi"/>
    <s v="Jackson"/>
    <x v="4"/>
    <n v="38"/>
    <n v="81"/>
    <n v="3078"/>
    <n v="1477.44"/>
    <n v="0.48"/>
    <x v="2"/>
  </r>
  <r>
    <x v="0"/>
    <n v="1185732"/>
    <x v="240"/>
    <x v="1"/>
    <s v="Mississippi"/>
    <s v="Jackson"/>
    <x v="5"/>
    <n v="28"/>
    <n v="124"/>
    <n v="3472"/>
    <n v="2117.92"/>
    <n v="0.61"/>
    <x v="2"/>
  </r>
  <r>
    <x v="0"/>
    <n v="1185732"/>
    <x v="269"/>
    <x v="1"/>
    <s v="Mississippi"/>
    <s v="Jackson"/>
    <x v="0"/>
    <n v="39"/>
    <n v="194"/>
    <n v="7566"/>
    <n v="4161.3"/>
    <n v="0.55000000000000004"/>
    <x v="2"/>
  </r>
  <r>
    <x v="0"/>
    <n v="1185732"/>
    <x v="269"/>
    <x v="1"/>
    <s v="Mississippi"/>
    <s v="Jackson"/>
    <x v="1"/>
    <n v="37"/>
    <n v="131"/>
    <n v="4847"/>
    <n v="2181.1499999999996"/>
    <n v="0.44999999999999996"/>
    <x v="2"/>
  </r>
  <r>
    <x v="0"/>
    <n v="1185732"/>
    <x v="269"/>
    <x v="1"/>
    <s v="Mississippi"/>
    <s v="Jackson"/>
    <x v="2"/>
    <n v="33"/>
    <n v="119"/>
    <n v="3927"/>
    <n v="2120.58"/>
    <n v="0.54"/>
    <x v="2"/>
  </r>
  <r>
    <x v="0"/>
    <n v="1185732"/>
    <x v="269"/>
    <x v="1"/>
    <s v="Mississippi"/>
    <s v="Jackson"/>
    <x v="3"/>
    <n v="33"/>
    <n v="101"/>
    <n v="3333"/>
    <n v="1699.83"/>
    <n v="0.51"/>
    <x v="2"/>
  </r>
  <r>
    <x v="0"/>
    <n v="1185732"/>
    <x v="269"/>
    <x v="1"/>
    <s v="Mississippi"/>
    <s v="Jackson"/>
    <x v="4"/>
    <n v="41"/>
    <n v="116"/>
    <n v="4756"/>
    <n v="2235.3199999999997"/>
    <n v="0.47"/>
    <x v="2"/>
  </r>
  <r>
    <x v="0"/>
    <n v="1185732"/>
    <x v="269"/>
    <x v="1"/>
    <s v="Mississippi"/>
    <s v="Jackson"/>
    <x v="5"/>
    <n v="47"/>
    <n v="140"/>
    <n v="6580"/>
    <n v="4211.2"/>
    <n v="0.64"/>
    <x v="2"/>
  </r>
  <r>
    <x v="0"/>
    <n v="1185732"/>
    <x v="302"/>
    <x v="1"/>
    <s v="Mississippi"/>
    <s v="Jackson"/>
    <x v="0"/>
    <n v="44"/>
    <n v="210"/>
    <n v="9240"/>
    <n v="4804.8"/>
    <n v="0.52"/>
    <x v="2"/>
  </r>
  <r>
    <x v="0"/>
    <n v="1185732"/>
    <x v="302"/>
    <x v="1"/>
    <s v="Mississippi"/>
    <s v="Jackson"/>
    <x v="1"/>
    <n v="37"/>
    <n v="125"/>
    <n v="4625"/>
    <n v="2173.75"/>
    <n v="0.47"/>
    <x v="2"/>
  </r>
  <r>
    <x v="0"/>
    <n v="1185732"/>
    <x v="302"/>
    <x v="1"/>
    <s v="Mississippi"/>
    <s v="Jackson"/>
    <x v="2"/>
    <n v="41"/>
    <n v="143"/>
    <n v="5863"/>
    <n v="3224.65"/>
    <n v="0.55000000000000004"/>
    <x v="2"/>
  </r>
  <r>
    <x v="0"/>
    <n v="1185732"/>
    <x v="302"/>
    <x v="1"/>
    <s v="Mississippi"/>
    <s v="Jackson"/>
    <x v="3"/>
    <n v="43"/>
    <n v="117"/>
    <n v="5031"/>
    <n v="2515.5"/>
    <n v="0.5"/>
    <x v="2"/>
  </r>
  <r>
    <x v="0"/>
    <n v="1185732"/>
    <x v="302"/>
    <x v="1"/>
    <s v="Mississippi"/>
    <s v="Jackson"/>
    <x v="4"/>
    <n v="57"/>
    <n v="135"/>
    <n v="7695"/>
    <n v="3462.7499999999995"/>
    <n v="0.44999999999999996"/>
    <x v="2"/>
  </r>
  <r>
    <x v="0"/>
    <n v="1185732"/>
    <x v="302"/>
    <x v="1"/>
    <s v="Mississippi"/>
    <s v="Jackson"/>
    <x v="5"/>
    <n v="60"/>
    <n v="188"/>
    <n v="11280"/>
    <n v="7106.4"/>
    <n v="0.63"/>
    <x v="2"/>
  </r>
  <r>
    <x v="0"/>
    <n v="1185732"/>
    <x v="330"/>
    <x v="1"/>
    <s v="Mississippi"/>
    <s v="Jackson"/>
    <x v="0"/>
    <n v="58"/>
    <n v="221"/>
    <n v="12818"/>
    <n v="6537.18"/>
    <n v="0.51"/>
    <x v="2"/>
  </r>
  <r>
    <x v="1"/>
    <n v="1185732"/>
    <x v="330"/>
    <x v="1"/>
    <s v="Mississippi"/>
    <s v="Jackson"/>
    <x v="1"/>
    <n v="53"/>
    <n v="156"/>
    <n v="8268"/>
    <n v="3720.5999999999995"/>
    <n v="0.44999999999999996"/>
    <x v="2"/>
  </r>
  <r>
    <x v="1"/>
    <n v="1185732"/>
    <x v="330"/>
    <x v="1"/>
    <s v="Mississippi"/>
    <s v="Jackson"/>
    <x v="2"/>
    <n v="48"/>
    <n v="142"/>
    <n v="6816"/>
    <n v="3408"/>
    <n v="0.5"/>
    <x v="2"/>
  </r>
  <r>
    <x v="1"/>
    <n v="1185732"/>
    <x v="330"/>
    <x v="1"/>
    <s v="Mississippi"/>
    <s v="Jackson"/>
    <x v="3"/>
    <n v="48"/>
    <n v="124"/>
    <n v="5952"/>
    <n v="3154.56"/>
    <n v="0.53"/>
    <x v="2"/>
  </r>
  <r>
    <x v="1"/>
    <n v="1185732"/>
    <x v="330"/>
    <x v="1"/>
    <s v="Mississippi"/>
    <s v="Jackson"/>
    <x v="4"/>
    <n v="59"/>
    <n v="150"/>
    <n v="8850"/>
    <n v="4248"/>
    <n v="0.48"/>
    <x v="2"/>
  </r>
  <r>
    <x v="1"/>
    <n v="1185732"/>
    <x v="330"/>
    <x v="1"/>
    <s v="Mississippi"/>
    <s v="Jackson"/>
    <x v="5"/>
    <n v="61"/>
    <n v="176"/>
    <n v="10736"/>
    <n v="6548.96"/>
    <n v="0.61"/>
    <x v="2"/>
  </r>
  <r>
    <x v="1"/>
    <n v="1185732"/>
    <x v="362"/>
    <x v="1"/>
    <s v="Mississippi"/>
    <s v="Jackson"/>
    <x v="0"/>
    <n v="56"/>
    <n v="215"/>
    <n v="12040"/>
    <n v="6501.6"/>
    <n v="0.54"/>
    <x v="2"/>
  </r>
  <r>
    <x v="1"/>
    <n v="1185732"/>
    <x v="362"/>
    <x v="1"/>
    <s v="Mississippi"/>
    <s v="Jackson"/>
    <x v="1"/>
    <n v="50"/>
    <n v="168"/>
    <n v="8400"/>
    <n v="4032"/>
    <n v="0.48"/>
    <x v="2"/>
  </r>
  <r>
    <x v="1"/>
    <n v="1185732"/>
    <x v="362"/>
    <x v="1"/>
    <s v="Mississippi"/>
    <s v="Jackson"/>
    <x v="2"/>
    <n v="48"/>
    <n v="147"/>
    <n v="7056"/>
    <n v="3669.1200000000003"/>
    <n v="0.52"/>
    <x v="2"/>
  </r>
  <r>
    <x v="1"/>
    <n v="1185732"/>
    <x v="362"/>
    <x v="1"/>
    <s v="Mississippi"/>
    <s v="Jackson"/>
    <x v="3"/>
    <n v="39"/>
    <n v="128"/>
    <n v="4992"/>
    <n v="2595.84"/>
    <n v="0.52"/>
    <x v="2"/>
  </r>
  <r>
    <x v="1"/>
    <n v="1185732"/>
    <x v="362"/>
    <x v="1"/>
    <s v="Mississippi"/>
    <s v="Jackson"/>
    <x v="4"/>
    <n v="46"/>
    <n v="122"/>
    <n v="5612"/>
    <n v="2525.3999999999996"/>
    <n v="0.44999999999999996"/>
    <x v="2"/>
  </r>
  <r>
    <x v="1"/>
    <n v="1185732"/>
    <x v="362"/>
    <x v="1"/>
    <s v="Mississippi"/>
    <s v="Jackson"/>
    <x v="5"/>
    <n v="53"/>
    <n v="169"/>
    <n v="8957"/>
    <n v="5822.05"/>
    <n v="0.65"/>
    <x v="2"/>
  </r>
  <r>
    <x v="1"/>
    <n v="1185732"/>
    <x v="392"/>
    <x v="1"/>
    <s v="Mississippi"/>
    <s v="Jackson"/>
    <x v="0"/>
    <n v="47"/>
    <n v="203"/>
    <n v="9541"/>
    <n v="5152.1400000000003"/>
    <n v="0.54"/>
    <x v="2"/>
  </r>
  <r>
    <x v="1"/>
    <n v="1185732"/>
    <x v="392"/>
    <x v="1"/>
    <s v="Mississippi"/>
    <s v="Jackson"/>
    <x v="1"/>
    <n v="42"/>
    <n v="147"/>
    <n v="6174"/>
    <n v="2778.2999999999997"/>
    <n v="0.44999999999999996"/>
    <x v="2"/>
  </r>
  <r>
    <x v="1"/>
    <n v="1185732"/>
    <x v="392"/>
    <x v="1"/>
    <s v="Mississippi"/>
    <s v="Jackson"/>
    <x v="2"/>
    <n v="19"/>
    <n v="123"/>
    <n v="2337"/>
    <n v="1168.5"/>
    <n v="0.5"/>
    <x v="2"/>
  </r>
  <r>
    <x v="1"/>
    <n v="1185732"/>
    <x v="392"/>
    <x v="1"/>
    <s v="Mississippi"/>
    <s v="Jackson"/>
    <x v="3"/>
    <n v="19"/>
    <n v="100"/>
    <n v="1900"/>
    <n v="1045"/>
    <n v="0.55000000000000004"/>
    <x v="2"/>
  </r>
  <r>
    <x v="1"/>
    <n v="1185732"/>
    <x v="392"/>
    <x v="1"/>
    <s v="Mississippi"/>
    <s v="Jackson"/>
    <x v="4"/>
    <n v="29"/>
    <n v="108"/>
    <n v="3132"/>
    <n v="1503.36"/>
    <n v="0.48"/>
    <x v="2"/>
  </r>
  <r>
    <x v="1"/>
    <n v="1185732"/>
    <x v="392"/>
    <x v="1"/>
    <s v="Mississippi"/>
    <s v="Jackson"/>
    <x v="5"/>
    <n v="32"/>
    <n v="130"/>
    <n v="4160"/>
    <n v="2579.1999999999998"/>
    <n v="0.62"/>
    <x v="2"/>
  </r>
  <r>
    <x v="1"/>
    <n v="1185732"/>
    <x v="424"/>
    <x v="1"/>
    <s v="Mississippi"/>
    <s v="Jackson"/>
    <x v="0"/>
    <n v="32"/>
    <n v="176"/>
    <n v="5632"/>
    <n v="3041.28"/>
    <n v="0.54"/>
    <x v="2"/>
  </r>
  <r>
    <x v="1"/>
    <n v="1185732"/>
    <x v="424"/>
    <x v="1"/>
    <s v="Mississippi"/>
    <s v="Jackson"/>
    <x v="1"/>
    <n v="25"/>
    <n v="145"/>
    <n v="3625"/>
    <n v="1631.2499999999998"/>
    <n v="0.44999999999999996"/>
    <x v="2"/>
  </r>
  <r>
    <x v="1"/>
    <n v="1185732"/>
    <x v="424"/>
    <x v="1"/>
    <s v="Mississippi"/>
    <s v="Jackson"/>
    <x v="2"/>
    <n v="24"/>
    <n v="98"/>
    <n v="2352"/>
    <n v="1270.0800000000002"/>
    <n v="0.54"/>
    <x v="2"/>
  </r>
  <r>
    <x v="1"/>
    <n v="1185732"/>
    <x v="424"/>
    <x v="1"/>
    <s v="Mississippi"/>
    <s v="Jackson"/>
    <x v="3"/>
    <n v="23"/>
    <n v="105"/>
    <n v="2415"/>
    <n v="1207.5"/>
    <n v="0.5"/>
    <x v="2"/>
  </r>
  <r>
    <x v="1"/>
    <n v="1185732"/>
    <x v="424"/>
    <x v="1"/>
    <s v="Mississippi"/>
    <s v="Jackson"/>
    <x v="4"/>
    <n v="32"/>
    <n v="98"/>
    <n v="3136"/>
    <n v="1568"/>
    <n v="0.5"/>
    <x v="2"/>
  </r>
  <r>
    <x v="2"/>
    <n v="1185732"/>
    <x v="424"/>
    <x v="1"/>
    <s v="Mississippi"/>
    <s v="Jackson"/>
    <x v="5"/>
    <n v="33"/>
    <n v="124"/>
    <n v="4092"/>
    <n v="2618.88"/>
    <n v="0.64"/>
    <x v="2"/>
  </r>
  <r>
    <x v="2"/>
    <n v="1185732"/>
    <x v="454"/>
    <x v="1"/>
    <s v="Mississippi"/>
    <s v="Jackson"/>
    <x v="0"/>
    <n v="28"/>
    <n v="163"/>
    <n v="4564"/>
    <n v="2464.56"/>
    <n v="0.54"/>
    <x v="2"/>
  </r>
  <r>
    <x v="2"/>
    <n v="1185732"/>
    <x v="454"/>
    <x v="1"/>
    <s v="Mississippi"/>
    <s v="Jackson"/>
    <x v="1"/>
    <n v="18"/>
    <n v="117"/>
    <n v="2106"/>
    <n v="947.69999999999993"/>
    <n v="0.44999999999999996"/>
    <x v="2"/>
  </r>
  <r>
    <x v="2"/>
    <n v="1185732"/>
    <x v="454"/>
    <x v="1"/>
    <s v="Mississippi"/>
    <s v="Jackson"/>
    <x v="2"/>
    <n v="28"/>
    <n v="111"/>
    <n v="3108"/>
    <n v="1678.3200000000002"/>
    <n v="0.54"/>
    <x v="2"/>
  </r>
  <r>
    <x v="2"/>
    <n v="1185732"/>
    <x v="454"/>
    <x v="1"/>
    <s v="Mississippi"/>
    <s v="Jackson"/>
    <x v="3"/>
    <n v="54"/>
    <n v="117"/>
    <n v="6318"/>
    <n v="3348.54"/>
    <n v="0.53"/>
    <x v="2"/>
  </r>
  <r>
    <x v="2"/>
    <n v="1185732"/>
    <x v="454"/>
    <x v="1"/>
    <s v="Mississippi"/>
    <s v="Jackson"/>
    <x v="4"/>
    <n v="71"/>
    <n v="123"/>
    <n v="8733"/>
    <n v="3929.8499999999995"/>
    <n v="0.44999999999999996"/>
    <x v="2"/>
  </r>
  <r>
    <x v="2"/>
    <n v="1185732"/>
    <x v="454"/>
    <x v="1"/>
    <s v="Mississippi"/>
    <s v="Jackson"/>
    <x v="5"/>
    <n v="68"/>
    <n v="158"/>
    <n v="10744"/>
    <n v="6553.84"/>
    <n v="0.61"/>
    <x v="2"/>
  </r>
  <r>
    <x v="2"/>
    <n v="1185732"/>
    <x v="483"/>
    <x v="1"/>
    <s v="Mississippi"/>
    <s v="Jackson"/>
    <x v="0"/>
    <n v="68"/>
    <n v="194"/>
    <n v="13192"/>
    <n v="6991.76"/>
    <n v="0.53"/>
    <x v="2"/>
  </r>
  <r>
    <x v="2"/>
    <n v="1185732"/>
    <x v="483"/>
    <x v="1"/>
    <s v="Mississippi"/>
    <s v="Jackson"/>
    <x v="1"/>
    <n v="58"/>
    <n v="155"/>
    <n v="8990"/>
    <n v="4405.1000000000004"/>
    <n v="0.49"/>
    <x v="2"/>
  </r>
  <r>
    <x v="2"/>
    <n v="1185732"/>
    <x v="483"/>
    <x v="1"/>
    <s v="Mississippi"/>
    <s v="Jackson"/>
    <x v="2"/>
    <n v="59"/>
    <n v="137"/>
    <n v="8083"/>
    <n v="4364.8200000000006"/>
    <n v="0.54"/>
    <x v="2"/>
  </r>
  <r>
    <x v="2"/>
    <n v="1185732"/>
    <x v="483"/>
    <x v="1"/>
    <s v="Mississippi"/>
    <s v="Jackson"/>
    <x v="3"/>
    <n v="56"/>
    <n v="133"/>
    <n v="7448"/>
    <n v="3872.96"/>
    <n v="0.52"/>
    <x v="2"/>
  </r>
  <r>
    <x v="2"/>
    <n v="1185732"/>
    <x v="483"/>
    <x v="1"/>
    <s v="Mississippi"/>
    <s v="Jackson"/>
    <x v="4"/>
    <n v="65"/>
    <n v="124"/>
    <n v="8060"/>
    <n v="4030"/>
    <n v="0.5"/>
    <x v="2"/>
  </r>
  <r>
    <x v="2"/>
    <n v="1185732"/>
    <x v="483"/>
    <x v="1"/>
    <s v="Mississippi"/>
    <s v="Jackson"/>
    <x v="5"/>
    <n v="71"/>
    <n v="144"/>
    <n v="10224"/>
    <n v="6236.6399999999994"/>
    <n v="0.61"/>
    <x v="2"/>
  </r>
  <r>
    <x v="2"/>
    <n v="1197831"/>
    <x v="187"/>
    <x v="1"/>
    <s v="Mississippi"/>
    <s v="Jackson"/>
    <x v="0"/>
    <n v="24"/>
    <n v="176"/>
    <n v="4224"/>
    <n v="2154.2400000000002"/>
    <n v="0.51"/>
    <x v="2"/>
  </r>
  <r>
    <x v="2"/>
    <n v="1197831"/>
    <x v="187"/>
    <x v="1"/>
    <s v="Mississippi"/>
    <s v="Jackson"/>
    <x v="1"/>
    <n v="25"/>
    <n v="131"/>
    <n v="3275"/>
    <n v="1473.7499999999998"/>
    <n v="0.44999999999999996"/>
    <x v="2"/>
  </r>
  <r>
    <x v="2"/>
    <n v="1197831"/>
    <x v="187"/>
    <x v="1"/>
    <s v="Mississippi"/>
    <s v="Jackson"/>
    <x v="2"/>
    <n v="14"/>
    <n v="117"/>
    <n v="1638"/>
    <n v="835.38"/>
    <n v="0.51"/>
    <x v="2"/>
  </r>
  <r>
    <x v="2"/>
    <n v="1197831"/>
    <x v="187"/>
    <x v="1"/>
    <s v="Mississippi"/>
    <s v="Jackson"/>
    <x v="3"/>
    <n v="19"/>
    <n v="78"/>
    <n v="1482"/>
    <n v="785.46"/>
    <n v="0.53"/>
    <x v="2"/>
  </r>
  <r>
    <x v="2"/>
    <n v="1197831"/>
    <x v="187"/>
    <x v="1"/>
    <s v="Mississippi"/>
    <s v="Jackson"/>
    <x v="4"/>
    <n v="34"/>
    <n v="95"/>
    <n v="3230"/>
    <n v="1550.3999999999999"/>
    <n v="0.48"/>
    <x v="2"/>
  </r>
  <r>
    <x v="2"/>
    <n v="1197831"/>
    <x v="187"/>
    <x v="1"/>
    <s v="Mississippi"/>
    <s v="Jackson"/>
    <x v="5"/>
    <n v="23"/>
    <n v="122"/>
    <n v="2806"/>
    <n v="1459.1200000000001"/>
    <n v="0.52"/>
    <x v="2"/>
  </r>
  <r>
    <x v="2"/>
    <n v="1197831"/>
    <x v="695"/>
    <x v="1"/>
    <s v="Mississippi"/>
    <s v="Jackson"/>
    <x v="0"/>
    <n v="24"/>
    <n v="189"/>
    <n v="4536"/>
    <n v="2313.36"/>
    <n v="0.51"/>
    <x v="2"/>
  </r>
  <r>
    <x v="2"/>
    <n v="1197831"/>
    <x v="695"/>
    <x v="1"/>
    <s v="Mississippi"/>
    <s v="Jackson"/>
    <x v="1"/>
    <n v="24"/>
    <n v="105"/>
    <n v="2520"/>
    <n v="1134"/>
    <n v="0.44999999999999996"/>
    <x v="2"/>
  </r>
  <r>
    <x v="2"/>
    <n v="1197831"/>
    <x v="695"/>
    <x v="1"/>
    <s v="Mississippi"/>
    <s v="Jackson"/>
    <x v="2"/>
    <n v="14"/>
    <n v="120"/>
    <n v="1680"/>
    <n v="840"/>
    <n v="0.5"/>
    <x v="2"/>
  </r>
  <r>
    <x v="1"/>
    <n v="1197831"/>
    <x v="695"/>
    <x v="1"/>
    <s v="Arkansas"/>
    <s v="Little Rock"/>
    <x v="3"/>
    <n v="18"/>
    <n v="70"/>
    <n v="1260"/>
    <n v="630"/>
    <n v="0.5"/>
    <x v="2"/>
  </r>
  <r>
    <x v="1"/>
    <n v="1197831"/>
    <x v="695"/>
    <x v="1"/>
    <s v="Arkansas"/>
    <s v="Little Rock"/>
    <x v="4"/>
    <n v="34"/>
    <n v="98"/>
    <n v="3332"/>
    <n v="1499.3999999999999"/>
    <n v="0.44999999999999996"/>
    <x v="2"/>
  </r>
  <r>
    <x v="1"/>
    <n v="1197831"/>
    <x v="695"/>
    <x v="1"/>
    <s v="Arkansas"/>
    <s v="Little Rock"/>
    <x v="5"/>
    <n v="19"/>
    <n v="115"/>
    <n v="2185"/>
    <n v="1179.9000000000001"/>
    <n v="0.54"/>
    <x v="2"/>
  </r>
  <r>
    <x v="1"/>
    <n v="1197831"/>
    <x v="224"/>
    <x v="1"/>
    <s v="Arkansas"/>
    <s v="Little Rock"/>
    <x v="0"/>
    <n v="18"/>
    <n v="181"/>
    <n v="3258"/>
    <n v="1726.74"/>
    <n v="0.53"/>
    <x v="2"/>
  </r>
  <r>
    <x v="1"/>
    <n v="1197831"/>
    <x v="224"/>
    <x v="1"/>
    <s v="Arkansas"/>
    <s v="Little Rock"/>
    <x v="1"/>
    <n v="20"/>
    <n v="98"/>
    <n v="1960"/>
    <n v="881.99999999999989"/>
    <n v="0.44999999999999996"/>
    <x v="2"/>
  </r>
  <r>
    <x v="1"/>
    <n v="1197831"/>
    <x v="224"/>
    <x v="1"/>
    <s v="Arkansas"/>
    <s v="Little Rock"/>
    <x v="2"/>
    <n v="10"/>
    <n v="88"/>
    <n v="880"/>
    <n v="475.20000000000005"/>
    <n v="0.54"/>
    <x v="2"/>
  </r>
  <r>
    <x v="1"/>
    <n v="1197831"/>
    <x v="224"/>
    <x v="1"/>
    <s v="Arkansas"/>
    <s v="Little Rock"/>
    <x v="3"/>
    <n v="19"/>
    <n v="60"/>
    <n v="1140"/>
    <n v="592.80000000000007"/>
    <n v="0.52"/>
    <x v="2"/>
  </r>
  <r>
    <x v="1"/>
    <n v="1197831"/>
    <x v="224"/>
    <x v="1"/>
    <s v="Arkansas"/>
    <s v="Little Rock"/>
    <x v="4"/>
    <n v="32"/>
    <n v="65"/>
    <n v="2080"/>
    <n v="956.8"/>
    <n v="0.45999999999999996"/>
    <x v="2"/>
  </r>
  <r>
    <x v="1"/>
    <n v="1197831"/>
    <x v="224"/>
    <x v="1"/>
    <s v="Arkansas"/>
    <s v="Little Rock"/>
    <x v="5"/>
    <n v="24"/>
    <n v="102"/>
    <n v="2448"/>
    <n v="1248.48"/>
    <n v="0.51"/>
    <x v="2"/>
  </r>
  <r>
    <x v="1"/>
    <n v="1197831"/>
    <x v="243"/>
    <x v="1"/>
    <s v="Arkansas"/>
    <s v="Little Rock"/>
    <x v="0"/>
    <n v="23"/>
    <n v="174"/>
    <n v="4002"/>
    <n v="2161.08"/>
    <n v="0.54"/>
    <x v="2"/>
  </r>
  <r>
    <x v="1"/>
    <n v="1197831"/>
    <x v="243"/>
    <x v="1"/>
    <s v="Arkansas"/>
    <s v="Little Rock"/>
    <x v="1"/>
    <n v="24"/>
    <n v="81"/>
    <n v="1944"/>
    <n v="952.56"/>
    <n v="0.49"/>
    <x v="2"/>
  </r>
  <r>
    <x v="1"/>
    <n v="1197831"/>
    <x v="243"/>
    <x v="1"/>
    <s v="Arkansas"/>
    <s v="Little Rock"/>
    <x v="2"/>
    <n v="14"/>
    <n v="75"/>
    <n v="1050"/>
    <n v="546"/>
    <n v="0.52"/>
    <x v="2"/>
  </r>
  <r>
    <x v="1"/>
    <n v="1197831"/>
    <x v="243"/>
    <x v="1"/>
    <s v="Arkansas"/>
    <s v="Little Rock"/>
    <x v="3"/>
    <n v="20"/>
    <n v="63"/>
    <n v="1260"/>
    <n v="667.80000000000007"/>
    <n v="0.53"/>
    <x v="2"/>
  </r>
  <r>
    <x v="1"/>
    <n v="1197831"/>
    <x v="243"/>
    <x v="1"/>
    <s v="Arkansas"/>
    <s v="Little Rock"/>
    <x v="4"/>
    <n v="37"/>
    <n v="73"/>
    <n v="2701"/>
    <n v="1296.48"/>
    <n v="0.48"/>
    <x v="2"/>
  </r>
  <r>
    <x v="1"/>
    <n v="1197831"/>
    <x v="243"/>
    <x v="1"/>
    <s v="Arkansas"/>
    <s v="Little Rock"/>
    <x v="5"/>
    <n v="28"/>
    <n v="116"/>
    <n v="3248"/>
    <n v="1656.48"/>
    <n v="0.51"/>
    <x v="2"/>
  </r>
  <r>
    <x v="1"/>
    <n v="1197831"/>
    <x v="272"/>
    <x v="1"/>
    <s v="Arkansas"/>
    <s v="Little Rock"/>
    <x v="0"/>
    <n v="39"/>
    <n v="181"/>
    <n v="7059"/>
    <n v="3811.86"/>
    <n v="0.54"/>
    <x v="2"/>
  </r>
  <r>
    <x v="1"/>
    <n v="1197831"/>
    <x v="272"/>
    <x v="1"/>
    <s v="Arkansas"/>
    <s v="Little Rock"/>
    <x v="1"/>
    <n v="38"/>
    <n v="113"/>
    <n v="4294"/>
    <n v="2147"/>
    <n v="0.5"/>
    <x v="2"/>
  </r>
  <r>
    <x v="1"/>
    <n v="1197831"/>
    <x v="272"/>
    <x v="1"/>
    <s v="Arkansas"/>
    <s v="Little Rock"/>
    <x v="2"/>
    <n v="34"/>
    <n v="91"/>
    <n v="3094"/>
    <n v="1701.7"/>
    <n v="0.55000000000000004"/>
    <x v="2"/>
  </r>
  <r>
    <x v="1"/>
    <n v="1197831"/>
    <x v="272"/>
    <x v="1"/>
    <s v="Arkansas"/>
    <s v="Little Rock"/>
    <x v="3"/>
    <n v="34"/>
    <n v="78"/>
    <n v="2652"/>
    <n v="1405.5600000000002"/>
    <n v="0.53"/>
    <x v="2"/>
  </r>
  <r>
    <x v="1"/>
    <n v="1197831"/>
    <x v="272"/>
    <x v="1"/>
    <s v="Arkansas"/>
    <s v="Little Rock"/>
    <x v="4"/>
    <n v="42"/>
    <n v="85"/>
    <n v="3570"/>
    <n v="1677.8999999999999"/>
    <n v="0.47"/>
    <x v="2"/>
  </r>
  <r>
    <x v="1"/>
    <n v="1197831"/>
    <x v="272"/>
    <x v="1"/>
    <s v="Arkansas"/>
    <s v="Little Rock"/>
    <x v="5"/>
    <n v="44"/>
    <n v="111"/>
    <n v="4884"/>
    <n v="2686.2000000000003"/>
    <n v="0.55000000000000004"/>
    <x v="2"/>
  </r>
  <r>
    <x v="1"/>
    <n v="1197831"/>
    <x v="305"/>
    <x v="1"/>
    <s v="Arkansas"/>
    <s v="Little Rock"/>
    <x v="0"/>
    <n v="36"/>
    <n v="203"/>
    <n v="7308"/>
    <n v="3654"/>
    <n v="0.5"/>
    <x v="2"/>
  </r>
  <r>
    <x v="1"/>
    <n v="1197831"/>
    <x v="305"/>
    <x v="1"/>
    <s v="Arkansas"/>
    <s v="Little Rock"/>
    <x v="1"/>
    <n v="32"/>
    <n v="106"/>
    <n v="3392"/>
    <n v="1662.08"/>
    <n v="0.49"/>
    <x v="2"/>
  </r>
  <r>
    <x v="1"/>
    <n v="1197831"/>
    <x v="305"/>
    <x v="1"/>
    <s v="Arkansas"/>
    <s v="Little Rock"/>
    <x v="2"/>
    <n v="38"/>
    <n v="104"/>
    <n v="3952"/>
    <n v="2134.08"/>
    <n v="0.54"/>
    <x v="2"/>
  </r>
  <r>
    <x v="1"/>
    <n v="1197831"/>
    <x v="305"/>
    <x v="1"/>
    <s v="Arkansas"/>
    <s v="Little Rock"/>
    <x v="3"/>
    <n v="37"/>
    <n v="98"/>
    <n v="3626"/>
    <n v="1885.52"/>
    <n v="0.52"/>
    <x v="2"/>
  </r>
  <r>
    <x v="1"/>
    <n v="1197831"/>
    <x v="305"/>
    <x v="1"/>
    <s v="Arkansas"/>
    <s v="Little Rock"/>
    <x v="4"/>
    <n v="54"/>
    <n v="98"/>
    <n v="5292"/>
    <n v="2540.16"/>
    <n v="0.48"/>
    <x v="2"/>
  </r>
  <r>
    <x v="1"/>
    <n v="1197831"/>
    <x v="305"/>
    <x v="1"/>
    <s v="Arkansas"/>
    <s v="Little Rock"/>
    <x v="5"/>
    <n v="54"/>
    <n v="160"/>
    <n v="8640"/>
    <n v="4665.6000000000004"/>
    <n v="0.54"/>
    <x v="2"/>
  </r>
  <r>
    <x v="1"/>
    <n v="1197831"/>
    <x v="333"/>
    <x v="1"/>
    <s v="Arkansas"/>
    <s v="Little Rock"/>
    <x v="0"/>
    <n v="50"/>
    <n v="233"/>
    <n v="11650"/>
    <n v="5825"/>
    <n v="0.5"/>
    <x v="2"/>
  </r>
  <r>
    <x v="1"/>
    <n v="1197831"/>
    <x v="333"/>
    <x v="1"/>
    <s v="Arkansas"/>
    <s v="Little Rock"/>
    <x v="1"/>
    <n v="47"/>
    <n v="147"/>
    <n v="6909"/>
    <n v="3109.0499999999997"/>
    <n v="0.44999999999999996"/>
    <x v="2"/>
  </r>
  <r>
    <x v="1"/>
    <n v="1197831"/>
    <x v="333"/>
    <x v="1"/>
    <s v="Arkansas"/>
    <s v="Little Rock"/>
    <x v="2"/>
    <n v="43"/>
    <n v="126"/>
    <n v="5418"/>
    <n v="2763.18"/>
    <n v="0.51"/>
    <x v="2"/>
  </r>
  <r>
    <x v="1"/>
    <n v="1197831"/>
    <x v="333"/>
    <x v="1"/>
    <s v="Arkansas"/>
    <s v="Little Rock"/>
    <x v="3"/>
    <n v="41"/>
    <n v="116"/>
    <n v="4756"/>
    <n v="2568.2400000000002"/>
    <n v="0.54"/>
    <x v="2"/>
  </r>
  <r>
    <x v="1"/>
    <n v="1197831"/>
    <x v="333"/>
    <x v="1"/>
    <s v="Arkansas"/>
    <s v="Little Rock"/>
    <x v="4"/>
    <n v="55"/>
    <n v="119"/>
    <n v="6545"/>
    <n v="3207.0499999999997"/>
    <n v="0.49"/>
    <x v="2"/>
  </r>
  <r>
    <x v="1"/>
    <n v="1197831"/>
    <x v="333"/>
    <x v="1"/>
    <s v="Arkansas"/>
    <s v="Little Rock"/>
    <x v="5"/>
    <n v="63"/>
    <n v="150"/>
    <n v="9450"/>
    <n v="5103"/>
    <n v="0.54"/>
    <x v="2"/>
  </r>
  <r>
    <x v="1"/>
    <n v="1197831"/>
    <x v="365"/>
    <x v="1"/>
    <s v="Arkansas"/>
    <s v="Little Rock"/>
    <x v="0"/>
    <n v="55"/>
    <n v="210"/>
    <n v="11550"/>
    <n v="6237"/>
    <n v="0.54"/>
    <x v="2"/>
  </r>
  <r>
    <x v="1"/>
    <n v="1197831"/>
    <x v="365"/>
    <x v="1"/>
    <s v="Arkansas"/>
    <s v="Little Rock"/>
    <x v="1"/>
    <n v="50"/>
    <n v="152"/>
    <n v="7600"/>
    <n v="3648"/>
    <n v="0.48"/>
    <x v="2"/>
  </r>
  <r>
    <x v="1"/>
    <n v="1197831"/>
    <x v="365"/>
    <x v="1"/>
    <s v="Arkansas"/>
    <s v="Little Rock"/>
    <x v="2"/>
    <n v="47"/>
    <n v="126"/>
    <n v="5922"/>
    <n v="3079.44"/>
    <n v="0.52"/>
    <x v="2"/>
  </r>
  <r>
    <x v="1"/>
    <n v="1197831"/>
    <x v="365"/>
    <x v="1"/>
    <s v="Arkansas"/>
    <s v="Little Rock"/>
    <x v="3"/>
    <n v="39"/>
    <n v="104"/>
    <n v="4056"/>
    <n v="2028"/>
    <n v="0.5"/>
    <x v="2"/>
  </r>
  <r>
    <x v="1"/>
    <n v="1197831"/>
    <x v="365"/>
    <x v="1"/>
    <s v="Arkansas"/>
    <s v="Little Rock"/>
    <x v="4"/>
    <n v="48"/>
    <n v="113"/>
    <n v="5424"/>
    <n v="2657.7599999999998"/>
    <n v="0.49"/>
    <x v="2"/>
  </r>
  <r>
    <x v="1"/>
    <n v="1197831"/>
    <x v="365"/>
    <x v="1"/>
    <s v="Arkansas"/>
    <s v="Little Rock"/>
    <x v="5"/>
    <n v="50"/>
    <n v="143"/>
    <n v="7150"/>
    <n v="3718"/>
    <n v="0.52"/>
    <x v="2"/>
  </r>
  <r>
    <x v="1"/>
    <n v="1197831"/>
    <x v="395"/>
    <x v="1"/>
    <s v="Arkansas"/>
    <s v="Little Rock"/>
    <x v="0"/>
    <n v="48"/>
    <n v="182"/>
    <n v="8736"/>
    <n v="4542.72"/>
    <n v="0.52"/>
    <x v="2"/>
  </r>
  <r>
    <x v="1"/>
    <n v="1197831"/>
    <x v="395"/>
    <x v="1"/>
    <s v="Arkansas"/>
    <s v="Little Rock"/>
    <x v="1"/>
    <n v="39"/>
    <n v="126"/>
    <n v="4914"/>
    <n v="2358.7199999999998"/>
    <n v="0.48"/>
    <x v="2"/>
  </r>
  <r>
    <x v="1"/>
    <n v="1197831"/>
    <x v="395"/>
    <x v="1"/>
    <s v="Arkansas"/>
    <s v="Little Rock"/>
    <x v="2"/>
    <n v="14"/>
    <n v="88"/>
    <n v="1232"/>
    <n v="640.64"/>
    <n v="0.52"/>
    <x v="2"/>
  </r>
  <r>
    <x v="1"/>
    <n v="1197831"/>
    <x v="395"/>
    <x v="1"/>
    <s v="Arkansas"/>
    <s v="Little Rock"/>
    <x v="3"/>
    <n v="14"/>
    <n v="88"/>
    <n v="1232"/>
    <n v="640.64"/>
    <n v="0.52"/>
    <x v="2"/>
  </r>
  <r>
    <x v="1"/>
    <n v="1197831"/>
    <x v="395"/>
    <x v="1"/>
    <s v="Arkansas"/>
    <s v="Little Rock"/>
    <x v="4"/>
    <n v="23"/>
    <n v="94"/>
    <n v="2162"/>
    <n v="1081"/>
    <n v="0.5"/>
    <x v="2"/>
  </r>
  <r>
    <x v="1"/>
    <n v="1197831"/>
    <x v="395"/>
    <x v="1"/>
    <s v="Arkansas"/>
    <s v="Little Rock"/>
    <x v="5"/>
    <n v="29"/>
    <n v="119"/>
    <n v="3451"/>
    <n v="1863.5400000000002"/>
    <n v="0.54"/>
    <x v="2"/>
  </r>
  <r>
    <x v="1"/>
    <n v="1197831"/>
    <x v="427"/>
    <x v="1"/>
    <s v="Arkansas"/>
    <s v="Little Rock"/>
    <x v="0"/>
    <n v="27"/>
    <n v="150"/>
    <n v="4050"/>
    <n v="2025"/>
    <n v="0.5"/>
    <x v="2"/>
  </r>
  <r>
    <x v="1"/>
    <n v="1197831"/>
    <x v="427"/>
    <x v="1"/>
    <s v="Arkansas"/>
    <s v="Little Rock"/>
    <x v="1"/>
    <n v="19"/>
    <n v="106"/>
    <n v="2014"/>
    <n v="906.3"/>
    <n v="0.44999999999999996"/>
    <x v="2"/>
  </r>
  <r>
    <x v="1"/>
    <n v="1197831"/>
    <x v="427"/>
    <x v="1"/>
    <s v="Arkansas"/>
    <s v="Little Rock"/>
    <x v="2"/>
    <n v="19"/>
    <n v="78"/>
    <n v="1482"/>
    <n v="741"/>
    <n v="0.5"/>
    <x v="2"/>
  </r>
  <r>
    <x v="1"/>
    <n v="1197831"/>
    <x v="427"/>
    <x v="1"/>
    <s v="Arkansas"/>
    <s v="Little Rock"/>
    <x v="3"/>
    <n v="19"/>
    <n v="72"/>
    <n v="1368"/>
    <n v="725.04000000000008"/>
    <n v="0.53"/>
    <x v="2"/>
  </r>
  <r>
    <x v="1"/>
    <n v="1197831"/>
    <x v="427"/>
    <x v="1"/>
    <s v="Arkansas"/>
    <s v="Little Rock"/>
    <x v="4"/>
    <n v="27"/>
    <n v="83"/>
    <n v="2241"/>
    <n v="1053.27"/>
    <n v="0.47"/>
    <x v="2"/>
  </r>
  <r>
    <x v="3"/>
    <n v="1197831"/>
    <x v="427"/>
    <x v="1"/>
    <s v="Arkansas"/>
    <s v="Little Rock"/>
    <x v="5"/>
    <n v="29"/>
    <n v="104"/>
    <n v="3016"/>
    <n v="1598.48"/>
    <n v="0.53"/>
    <x v="2"/>
  </r>
  <r>
    <x v="3"/>
    <n v="1197831"/>
    <x v="457"/>
    <x v="1"/>
    <s v="Arkansas"/>
    <s v="Little Rock"/>
    <x v="0"/>
    <n v="24"/>
    <n v="143"/>
    <n v="3432"/>
    <n v="1716"/>
    <n v="0.5"/>
    <x v="2"/>
  </r>
  <r>
    <x v="3"/>
    <n v="1197831"/>
    <x v="457"/>
    <x v="1"/>
    <s v="Arkansas"/>
    <s v="Little Rock"/>
    <x v="1"/>
    <n v="14"/>
    <n v="94"/>
    <n v="1316"/>
    <n v="658"/>
    <n v="0.5"/>
    <x v="2"/>
  </r>
  <r>
    <x v="3"/>
    <n v="1197831"/>
    <x v="457"/>
    <x v="1"/>
    <s v="Arkansas"/>
    <s v="Little Rock"/>
    <x v="2"/>
    <n v="23"/>
    <n v="90"/>
    <n v="2070"/>
    <n v="1055.7"/>
    <n v="0.51"/>
    <x v="2"/>
  </r>
  <r>
    <x v="3"/>
    <n v="1197831"/>
    <x v="457"/>
    <x v="1"/>
    <s v="Arkansas"/>
    <s v="Little Rock"/>
    <x v="3"/>
    <n v="51"/>
    <n v="109"/>
    <n v="5559"/>
    <n v="2779.5"/>
    <n v="0.5"/>
    <x v="2"/>
  </r>
  <r>
    <x v="3"/>
    <n v="1197831"/>
    <x v="457"/>
    <x v="1"/>
    <s v="Arkansas"/>
    <s v="Little Rock"/>
    <x v="4"/>
    <n v="69"/>
    <n v="91"/>
    <n v="6279"/>
    <n v="2951.1299999999997"/>
    <n v="0.47"/>
    <x v="2"/>
  </r>
  <r>
    <x v="3"/>
    <n v="1197831"/>
    <x v="457"/>
    <x v="1"/>
    <s v="Arkansas"/>
    <s v="Little Rock"/>
    <x v="5"/>
    <n v="73"/>
    <n v="117"/>
    <n v="8541"/>
    <n v="4526.7300000000005"/>
    <n v="0.53"/>
    <x v="2"/>
  </r>
  <r>
    <x v="3"/>
    <n v="1197831"/>
    <x v="486"/>
    <x v="1"/>
    <s v="Arkansas"/>
    <s v="Little Rock"/>
    <x v="0"/>
    <n v="67"/>
    <n v="203"/>
    <n v="13601"/>
    <n v="7480.55"/>
    <n v="0.55000000000000004"/>
    <x v="2"/>
  </r>
  <r>
    <x v="3"/>
    <n v="1197831"/>
    <x v="486"/>
    <x v="1"/>
    <s v="Arkansas"/>
    <s v="Little Rock"/>
    <x v="1"/>
    <n v="54"/>
    <n v="140"/>
    <n v="7560"/>
    <n v="3553.2"/>
    <n v="0.47"/>
    <x v="2"/>
  </r>
  <r>
    <x v="3"/>
    <n v="1197831"/>
    <x v="486"/>
    <x v="1"/>
    <s v="Arkansas"/>
    <s v="Little Rock"/>
    <x v="2"/>
    <n v="55"/>
    <n v="126"/>
    <n v="6930"/>
    <n v="3742.2000000000003"/>
    <n v="0.54"/>
    <x v="2"/>
  </r>
  <r>
    <x v="3"/>
    <n v="1197831"/>
    <x v="486"/>
    <x v="1"/>
    <s v="Arkansas"/>
    <s v="Little Rock"/>
    <x v="3"/>
    <n v="57"/>
    <n v="120"/>
    <n v="6840"/>
    <n v="3488.4"/>
    <n v="0.51"/>
    <x v="2"/>
  </r>
  <r>
    <x v="3"/>
    <n v="1197831"/>
    <x v="486"/>
    <x v="1"/>
    <s v="Arkansas"/>
    <s v="Little Rock"/>
    <x v="4"/>
    <n v="64"/>
    <n v="112"/>
    <n v="7168"/>
    <n v="3512.3199999999997"/>
    <n v="0.49"/>
    <x v="2"/>
  </r>
  <r>
    <x v="3"/>
    <n v="1197831"/>
    <x v="486"/>
    <x v="1"/>
    <s v="Arkansas"/>
    <s v="Little Rock"/>
    <x v="5"/>
    <n v="70"/>
    <n v="150"/>
    <n v="10500"/>
    <n v="5355"/>
    <n v="0.51"/>
    <x v="2"/>
  </r>
  <r>
    <x v="3"/>
    <n v="1197831"/>
    <x v="187"/>
    <x v="1"/>
    <s v="Arkansas"/>
    <s v="Little Rock"/>
    <x v="0"/>
    <n v="24"/>
    <n v="167"/>
    <n v="4008"/>
    <n v="2124.2400000000002"/>
    <n v="0.53"/>
    <x v="2"/>
  </r>
  <r>
    <x v="3"/>
    <n v="1197831"/>
    <x v="187"/>
    <x v="1"/>
    <s v="Arkansas"/>
    <s v="Little Rock"/>
    <x v="1"/>
    <n v="25"/>
    <n v="109"/>
    <n v="2725"/>
    <n v="1226.2499999999998"/>
    <n v="0.44999999999999996"/>
    <x v="2"/>
  </r>
  <r>
    <x v="3"/>
    <n v="1197831"/>
    <x v="187"/>
    <x v="1"/>
    <s v="Arkansas"/>
    <s v="Little Rock"/>
    <x v="2"/>
    <n v="15"/>
    <n v="98"/>
    <n v="1470"/>
    <n v="808.50000000000011"/>
    <n v="0.55000000000000004"/>
    <x v="2"/>
  </r>
  <r>
    <x v="3"/>
    <n v="1197831"/>
    <x v="187"/>
    <x v="1"/>
    <s v="Arkansas"/>
    <s v="Little Rock"/>
    <x v="3"/>
    <n v="18"/>
    <n v="65"/>
    <n v="1170"/>
    <n v="643.5"/>
    <n v="0.55000000000000004"/>
    <x v="2"/>
  </r>
  <r>
    <x v="3"/>
    <n v="1197831"/>
    <x v="187"/>
    <x v="1"/>
    <s v="Arkansas"/>
    <s v="Little Rock"/>
    <x v="4"/>
    <n v="33"/>
    <n v="80"/>
    <n v="2640"/>
    <n v="1320"/>
    <n v="0.5"/>
    <x v="2"/>
  </r>
  <r>
    <x v="3"/>
    <n v="1197831"/>
    <x v="187"/>
    <x v="1"/>
    <s v="Arkansas"/>
    <s v="Little Rock"/>
    <x v="5"/>
    <n v="23"/>
    <n v="101"/>
    <n v="2323"/>
    <n v="1207.96"/>
    <n v="0.52"/>
    <x v="2"/>
  </r>
  <r>
    <x v="3"/>
    <n v="1197831"/>
    <x v="695"/>
    <x v="1"/>
    <s v="Arkansas"/>
    <s v="Little Rock"/>
    <x v="0"/>
    <n v="24"/>
    <n v="169"/>
    <n v="4056"/>
    <n v="2109.12"/>
    <n v="0.52"/>
    <x v="2"/>
  </r>
  <r>
    <x v="3"/>
    <n v="1197831"/>
    <x v="695"/>
    <x v="1"/>
    <s v="Arkansas"/>
    <s v="Little Rock"/>
    <x v="1"/>
    <n v="23"/>
    <n v="80"/>
    <n v="1840"/>
    <n v="846.4"/>
    <n v="0.45999999999999996"/>
    <x v="2"/>
  </r>
  <r>
    <x v="3"/>
    <n v="1197831"/>
    <x v="695"/>
    <x v="1"/>
    <s v="Arkansas"/>
    <s v="Little Rock"/>
    <x v="2"/>
    <n v="15"/>
    <n v="91"/>
    <n v="1365"/>
    <n v="682.5"/>
    <n v="0.5"/>
    <x v="2"/>
  </r>
  <r>
    <x v="3"/>
    <n v="1197831"/>
    <x v="695"/>
    <x v="1"/>
    <s v="Oklahoma"/>
    <s v="Oklahoma City"/>
    <x v="3"/>
    <n v="19"/>
    <n v="49"/>
    <n v="931"/>
    <n v="474.81"/>
    <n v="0.51"/>
    <x v="2"/>
  </r>
  <r>
    <x v="3"/>
    <n v="1197831"/>
    <x v="695"/>
    <x v="1"/>
    <s v="Oklahoma"/>
    <s v="Oklahoma City"/>
    <x v="4"/>
    <n v="34"/>
    <n v="75"/>
    <n v="2550"/>
    <n v="1198.5"/>
    <n v="0.47"/>
    <x v="2"/>
  </r>
  <r>
    <x v="3"/>
    <n v="1197831"/>
    <x v="695"/>
    <x v="1"/>
    <s v="Oklahoma"/>
    <s v="Oklahoma City"/>
    <x v="5"/>
    <n v="18"/>
    <n v="98"/>
    <n v="1764"/>
    <n v="899.64"/>
    <n v="0.51"/>
    <x v="2"/>
  </r>
  <r>
    <x v="3"/>
    <n v="1197831"/>
    <x v="224"/>
    <x v="1"/>
    <s v="Oklahoma"/>
    <s v="Oklahoma City"/>
    <x v="0"/>
    <n v="19"/>
    <n v="154"/>
    <n v="2926"/>
    <n v="1463"/>
    <n v="0.5"/>
    <x v="2"/>
  </r>
  <r>
    <x v="3"/>
    <n v="1197831"/>
    <x v="224"/>
    <x v="1"/>
    <s v="Oklahoma"/>
    <s v="Oklahoma City"/>
    <x v="1"/>
    <n v="19"/>
    <n v="73"/>
    <n v="1387"/>
    <n v="665.76"/>
    <n v="0.48"/>
    <x v="2"/>
  </r>
  <r>
    <x v="3"/>
    <n v="1197831"/>
    <x v="224"/>
    <x v="1"/>
    <s v="Oklahoma"/>
    <s v="Oklahoma City"/>
    <x v="2"/>
    <n v="9"/>
    <n v="80"/>
    <n v="720"/>
    <n v="360"/>
    <n v="0.5"/>
    <x v="2"/>
  </r>
  <r>
    <x v="3"/>
    <n v="1197831"/>
    <x v="224"/>
    <x v="1"/>
    <s v="Oklahoma"/>
    <s v="Oklahoma City"/>
    <x v="3"/>
    <n v="20"/>
    <n v="34"/>
    <n v="680"/>
    <n v="340"/>
    <n v="0.5"/>
    <x v="2"/>
  </r>
  <r>
    <x v="3"/>
    <n v="1197831"/>
    <x v="224"/>
    <x v="1"/>
    <s v="Oklahoma"/>
    <s v="Oklahoma City"/>
    <x v="4"/>
    <n v="34"/>
    <n v="49"/>
    <n v="1666"/>
    <n v="783.02"/>
    <n v="0.47"/>
    <x v="2"/>
  </r>
  <r>
    <x v="3"/>
    <n v="1197831"/>
    <x v="224"/>
    <x v="1"/>
    <s v="Oklahoma"/>
    <s v="Oklahoma City"/>
    <x v="5"/>
    <n v="23"/>
    <n v="69"/>
    <n v="1587"/>
    <n v="856.98"/>
    <n v="0.54"/>
    <x v="2"/>
  </r>
  <r>
    <x v="3"/>
    <n v="1197831"/>
    <x v="243"/>
    <x v="1"/>
    <s v="Oklahoma"/>
    <s v="Oklahoma City"/>
    <x v="0"/>
    <n v="24"/>
    <n v="152"/>
    <n v="3648"/>
    <n v="1933.44"/>
    <n v="0.53"/>
    <x v="2"/>
  </r>
  <r>
    <x v="3"/>
    <n v="1197831"/>
    <x v="243"/>
    <x v="1"/>
    <s v="Oklahoma"/>
    <s v="Oklahoma City"/>
    <x v="1"/>
    <n v="23"/>
    <n v="65"/>
    <n v="1495"/>
    <n v="717.6"/>
    <n v="0.48"/>
    <x v="2"/>
  </r>
  <r>
    <x v="3"/>
    <n v="1197831"/>
    <x v="243"/>
    <x v="1"/>
    <s v="Oklahoma"/>
    <s v="Oklahoma City"/>
    <x v="2"/>
    <n v="14"/>
    <n v="68"/>
    <n v="952"/>
    <n v="504.56"/>
    <n v="0.53"/>
    <x v="2"/>
  </r>
  <r>
    <x v="3"/>
    <n v="1197831"/>
    <x v="243"/>
    <x v="1"/>
    <s v="Oklahoma"/>
    <s v="Oklahoma City"/>
    <x v="3"/>
    <n v="18"/>
    <n v="45"/>
    <n v="810"/>
    <n v="429.3"/>
    <n v="0.53"/>
    <x v="2"/>
  </r>
  <r>
    <x v="3"/>
    <n v="1197831"/>
    <x v="243"/>
    <x v="1"/>
    <s v="Oklahoma"/>
    <s v="Oklahoma City"/>
    <x v="4"/>
    <n v="38"/>
    <n v="53"/>
    <n v="2014"/>
    <n v="1007"/>
    <n v="0.5"/>
    <x v="2"/>
  </r>
  <r>
    <x v="3"/>
    <n v="1197831"/>
    <x v="243"/>
    <x v="1"/>
    <s v="Oklahoma"/>
    <s v="Oklahoma City"/>
    <x v="5"/>
    <n v="28"/>
    <n v="94"/>
    <n v="2632"/>
    <n v="1447.6000000000001"/>
    <n v="0.55000000000000004"/>
    <x v="2"/>
  </r>
  <r>
    <x v="3"/>
    <n v="1197831"/>
    <x v="272"/>
    <x v="1"/>
    <s v="Oklahoma"/>
    <s v="Oklahoma City"/>
    <x v="0"/>
    <n v="36"/>
    <n v="167"/>
    <n v="6012"/>
    <n v="3246.48"/>
    <n v="0.54"/>
    <x v="2"/>
  </r>
  <r>
    <x v="3"/>
    <n v="1197831"/>
    <x v="272"/>
    <x v="1"/>
    <s v="Oklahoma"/>
    <s v="Oklahoma City"/>
    <x v="1"/>
    <n v="39"/>
    <n v="87"/>
    <n v="3393"/>
    <n v="1526.85"/>
    <n v="0.44999999999999996"/>
    <x v="2"/>
  </r>
  <r>
    <x v="3"/>
    <n v="1197831"/>
    <x v="272"/>
    <x v="1"/>
    <s v="Oklahoma"/>
    <s v="Oklahoma City"/>
    <x v="2"/>
    <n v="34"/>
    <n v="72"/>
    <n v="2448"/>
    <n v="1272.96"/>
    <n v="0.52"/>
    <x v="2"/>
  </r>
  <r>
    <x v="3"/>
    <n v="1197831"/>
    <x v="272"/>
    <x v="1"/>
    <s v="Oklahoma"/>
    <s v="Oklahoma City"/>
    <x v="3"/>
    <n v="34"/>
    <n v="59"/>
    <n v="2006"/>
    <n v="1103.3000000000002"/>
    <n v="0.55000000000000004"/>
    <x v="2"/>
  </r>
  <r>
    <x v="3"/>
    <n v="1197831"/>
    <x v="272"/>
    <x v="1"/>
    <s v="Oklahoma"/>
    <s v="Oklahoma City"/>
    <x v="4"/>
    <n v="43"/>
    <n v="75"/>
    <n v="3225"/>
    <n v="1451.2499999999998"/>
    <n v="0.44999999999999996"/>
    <x v="2"/>
  </r>
  <r>
    <x v="3"/>
    <n v="1197831"/>
    <x v="272"/>
    <x v="1"/>
    <s v="Oklahoma"/>
    <s v="Oklahoma City"/>
    <x v="5"/>
    <n v="42"/>
    <n v="98"/>
    <n v="4116"/>
    <n v="2140.3200000000002"/>
    <n v="0.52"/>
    <x v="2"/>
  </r>
  <r>
    <x v="3"/>
    <n v="1197831"/>
    <x v="305"/>
    <x v="1"/>
    <s v="Oklahoma"/>
    <s v="Oklahoma City"/>
    <x v="0"/>
    <n v="38"/>
    <n v="156"/>
    <n v="5928"/>
    <n v="3023.28"/>
    <n v="0.51"/>
    <x v="2"/>
  </r>
  <r>
    <x v="3"/>
    <n v="1197831"/>
    <x v="305"/>
    <x v="1"/>
    <s v="Oklahoma"/>
    <s v="Oklahoma City"/>
    <x v="1"/>
    <n v="33"/>
    <n v="88"/>
    <n v="2904"/>
    <n v="1306.8"/>
    <n v="0.44999999999999996"/>
    <x v="2"/>
  </r>
  <r>
    <x v="3"/>
    <n v="1197831"/>
    <x v="305"/>
    <x v="1"/>
    <s v="Oklahoma"/>
    <s v="Oklahoma City"/>
    <x v="2"/>
    <n v="36"/>
    <n v="88"/>
    <n v="3168"/>
    <n v="1647.3600000000001"/>
    <n v="0.52"/>
    <x v="2"/>
  </r>
  <r>
    <x v="3"/>
    <n v="1197831"/>
    <x v="305"/>
    <x v="1"/>
    <s v="Oklahoma"/>
    <s v="Oklahoma City"/>
    <x v="3"/>
    <n v="38"/>
    <n v="87"/>
    <n v="3306"/>
    <n v="1653"/>
    <n v="0.5"/>
    <x v="2"/>
  </r>
  <r>
    <x v="3"/>
    <n v="1197831"/>
    <x v="305"/>
    <x v="1"/>
    <s v="Oklahoma"/>
    <s v="Oklahoma City"/>
    <x v="4"/>
    <n v="51"/>
    <n v="87"/>
    <n v="4437"/>
    <n v="2085.39"/>
    <n v="0.47"/>
    <x v="2"/>
  </r>
  <r>
    <x v="3"/>
    <n v="1197831"/>
    <x v="305"/>
    <x v="1"/>
    <s v="Oklahoma"/>
    <s v="Oklahoma City"/>
    <x v="5"/>
    <n v="55"/>
    <n v="124"/>
    <n v="6820"/>
    <n v="3478.2000000000003"/>
    <n v="0.51"/>
    <x v="2"/>
  </r>
  <r>
    <x v="3"/>
    <n v="1197831"/>
    <x v="333"/>
    <x v="1"/>
    <s v="Oklahoma"/>
    <s v="Oklahoma City"/>
    <x v="0"/>
    <n v="50"/>
    <n v="182"/>
    <n v="9100"/>
    <n v="4732"/>
    <n v="0.52"/>
    <x v="2"/>
  </r>
  <r>
    <x v="3"/>
    <n v="1197831"/>
    <x v="333"/>
    <x v="1"/>
    <s v="Oklahoma"/>
    <s v="Oklahoma City"/>
    <x v="1"/>
    <n v="45"/>
    <n v="117"/>
    <n v="5265"/>
    <n v="2632.5"/>
    <n v="0.5"/>
    <x v="2"/>
  </r>
  <r>
    <x v="3"/>
    <n v="1197831"/>
    <x v="333"/>
    <x v="1"/>
    <s v="Oklahoma"/>
    <s v="Oklahoma City"/>
    <x v="2"/>
    <n v="44"/>
    <n v="94"/>
    <n v="4136"/>
    <n v="2233.44"/>
    <n v="0.54"/>
    <x v="2"/>
  </r>
  <r>
    <x v="3"/>
    <n v="1197831"/>
    <x v="333"/>
    <x v="1"/>
    <s v="Oklahoma"/>
    <s v="Oklahoma City"/>
    <x v="3"/>
    <n v="41"/>
    <n v="85"/>
    <n v="3485"/>
    <n v="1847.0500000000002"/>
    <n v="0.53"/>
    <x v="2"/>
  </r>
  <r>
    <x v="3"/>
    <n v="1197831"/>
    <x v="333"/>
    <x v="1"/>
    <s v="Oklahoma"/>
    <s v="Oklahoma City"/>
    <x v="4"/>
    <n v="59"/>
    <n v="98"/>
    <n v="5782"/>
    <n v="2659.72"/>
    <n v="0.45999999999999996"/>
    <x v="2"/>
  </r>
  <r>
    <x v="3"/>
    <n v="1197831"/>
    <x v="333"/>
    <x v="1"/>
    <s v="Oklahoma"/>
    <s v="Oklahoma City"/>
    <x v="5"/>
    <n v="61"/>
    <n v="142"/>
    <n v="8662"/>
    <n v="4677.4800000000005"/>
    <n v="0.54"/>
    <x v="2"/>
  </r>
  <r>
    <x v="3"/>
    <n v="1197831"/>
    <x v="365"/>
    <x v="1"/>
    <s v="Oklahoma"/>
    <s v="Oklahoma City"/>
    <x v="0"/>
    <n v="56"/>
    <n v="189"/>
    <n v="10584"/>
    <n v="5397.84"/>
    <n v="0.51"/>
    <x v="2"/>
  </r>
  <r>
    <x v="3"/>
    <n v="1197831"/>
    <x v="365"/>
    <x v="1"/>
    <s v="Oklahoma"/>
    <s v="Oklahoma City"/>
    <x v="1"/>
    <n v="51"/>
    <n v="113"/>
    <n v="5763"/>
    <n v="2708.6099999999997"/>
    <n v="0.47"/>
    <x v="2"/>
  </r>
  <r>
    <x v="3"/>
    <n v="1197831"/>
    <x v="365"/>
    <x v="1"/>
    <s v="Oklahoma"/>
    <s v="Oklahoma City"/>
    <x v="2"/>
    <n v="47"/>
    <n v="113"/>
    <n v="5311"/>
    <n v="2814.83"/>
    <n v="0.53"/>
    <x v="2"/>
  </r>
  <r>
    <x v="3"/>
    <n v="1197831"/>
    <x v="365"/>
    <x v="1"/>
    <s v="Oklahoma"/>
    <s v="Oklahoma City"/>
    <x v="3"/>
    <n v="37"/>
    <n v="88"/>
    <n v="3256"/>
    <n v="1693.1200000000001"/>
    <n v="0.52"/>
    <x v="2"/>
  </r>
  <r>
    <x v="3"/>
    <n v="1197831"/>
    <x v="365"/>
    <x v="1"/>
    <s v="Oklahoma"/>
    <s v="Oklahoma City"/>
    <x v="4"/>
    <n v="47"/>
    <n v="81"/>
    <n v="3807"/>
    <n v="1713.1499999999999"/>
    <n v="0.44999999999999996"/>
    <x v="2"/>
  </r>
  <r>
    <x v="3"/>
    <n v="1197831"/>
    <x v="365"/>
    <x v="1"/>
    <s v="Oklahoma"/>
    <s v="Oklahoma City"/>
    <x v="5"/>
    <n v="50"/>
    <n v="124"/>
    <n v="6200"/>
    <n v="3224"/>
    <n v="0.52"/>
    <x v="2"/>
  </r>
  <r>
    <x v="3"/>
    <n v="1197831"/>
    <x v="395"/>
    <x v="1"/>
    <s v="Oklahoma"/>
    <s v="Oklahoma City"/>
    <x v="0"/>
    <n v="49"/>
    <n v="150"/>
    <n v="7350"/>
    <n v="3969.0000000000005"/>
    <n v="0.54"/>
    <x v="2"/>
  </r>
  <r>
    <x v="3"/>
    <n v="1197831"/>
    <x v="395"/>
    <x v="1"/>
    <s v="Oklahoma"/>
    <s v="Oklahoma City"/>
    <x v="1"/>
    <n v="38"/>
    <n v="98"/>
    <n v="3724"/>
    <n v="1675.7999999999997"/>
    <n v="0.44999999999999996"/>
    <x v="2"/>
  </r>
  <r>
    <x v="3"/>
    <n v="1197831"/>
    <x v="395"/>
    <x v="1"/>
    <s v="Oklahoma"/>
    <s v="Oklahoma City"/>
    <x v="2"/>
    <n v="14"/>
    <n v="69"/>
    <n v="966"/>
    <n v="492.66"/>
    <n v="0.51"/>
    <x v="2"/>
  </r>
  <r>
    <x v="3"/>
    <n v="1197831"/>
    <x v="395"/>
    <x v="1"/>
    <s v="Oklahoma"/>
    <s v="Oklahoma City"/>
    <x v="3"/>
    <n v="14"/>
    <n v="63"/>
    <n v="882"/>
    <n v="449.82"/>
    <n v="0.51"/>
    <x v="2"/>
  </r>
  <r>
    <x v="3"/>
    <n v="1197831"/>
    <x v="395"/>
    <x v="1"/>
    <s v="Oklahoma"/>
    <s v="Oklahoma City"/>
    <x v="4"/>
    <n v="23"/>
    <n v="68"/>
    <n v="1564"/>
    <n v="703.8"/>
    <n v="0.44999999999999996"/>
    <x v="2"/>
  </r>
  <r>
    <x v="3"/>
    <n v="1197831"/>
    <x v="395"/>
    <x v="1"/>
    <s v="Oklahoma"/>
    <s v="Oklahoma City"/>
    <x v="5"/>
    <n v="28"/>
    <n v="91"/>
    <n v="2548"/>
    <n v="1324.96"/>
    <n v="0.52"/>
    <x v="2"/>
  </r>
  <r>
    <x v="3"/>
    <n v="1197831"/>
    <x v="427"/>
    <x v="1"/>
    <s v="Oklahoma"/>
    <s v="Oklahoma City"/>
    <x v="0"/>
    <n v="29"/>
    <n v="137"/>
    <n v="3973"/>
    <n v="2145.42"/>
    <n v="0.54"/>
    <x v="2"/>
  </r>
  <r>
    <x v="3"/>
    <n v="1197831"/>
    <x v="427"/>
    <x v="1"/>
    <s v="Oklahoma"/>
    <s v="Oklahoma City"/>
    <x v="1"/>
    <n v="19"/>
    <n v="88"/>
    <n v="1672"/>
    <n v="769.11999999999989"/>
    <n v="0.45999999999999996"/>
    <x v="2"/>
  </r>
  <r>
    <x v="3"/>
    <n v="1197831"/>
    <x v="427"/>
    <x v="1"/>
    <s v="Oklahoma"/>
    <s v="Oklahoma City"/>
    <x v="2"/>
    <n v="20"/>
    <n v="56"/>
    <n v="1120"/>
    <n v="571.20000000000005"/>
    <n v="0.51"/>
    <x v="2"/>
  </r>
  <r>
    <x v="3"/>
    <n v="1197831"/>
    <x v="427"/>
    <x v="1"/>
    <s v="Oklahoma"/>
    <s v="Oklahoma City"/>
    <x v="3"/>
    <n v="18"/>
    <n v="52"/>
    <n v="936"/>
    <n v="486.72"/>
    <n v="0.52"/>
    <x v="2"/>
  </r>
  <r>
    <x v="3"/>
    <n v="1197831"/>
    <x v="427"/>
    <x v="1"/>
    <s v="Oklahoma"/>
    <s v="Oklahoma City"/>
    <x v="4"/>
    <n v="29"/>
    <n v="50"/>
    <n v="1450"/>
    <n v="696"/>
    <n v="0.48"/>
    <x v="2"/>
  </r>
  <r>
    <x v="4"/>
    <n v="1197831"/>
    <x v="427"/>
    <x v="1"/>
    <s v="Oklahoma"/>
    <s v="Oklahoma City"/>
    <x v="5"/>
    <n v="29"/>
    <n v="91"/>
    <n v="2639"/>
    <n v="1451.45"/>
    <n v="0.55000000000000004"/>
    <x v="2"/>
  </r>
  <r>
    <x v="4"/>
    <n v="1197831"/>
    <x v="457"/>
    <x v="1"/>
    <s v="Oklahoma"/>
    <s v="Oklahoma City"/>
    <x v="0"/>
    <n v="23"/>
    <n v="133"/>
    <n v="3059"/>
    <n v="1651.8600000000001"/>
    <n v="0.54"/>
    <x v="2"/>
  </r>
  <r>
    <x v="4"/>
    <n v="1197831"/>
    <x v="457"/>
    <x v="1"/>
    <s v="Oklahoma"/>
    <s v="Oklahoma City"/>
    <x v="1"/>
    <n v="14"/>
    <n v="78"/>
    <n v="1092"/>
    <n v="513.24"/>
    <n v="0.47"/>
    <x v="2"/>
  </r>
  <r>
    <x v="4"/>
    <n v="1197831"/>
    <x v="457"/>
    <x v="1"/>
    <s v="Oklahoma"/>
    <s v="Oklahoma City"/>
    <x v="2"/>
    <n v="23"/>
    <n v="74"/>
    <n v="1702"/>
    <n v="919.08"/>
    <n v="0.54"/>
    <x v="2"/>
  </r>
  <r>
    <x v="4"/>
    <n v="1197831"/>
    <x v="457"/>
    <x v="1"/>
    <s v="Oklahoma"/>
    <s v="Oklahoma City"/>
    <x v="3"/>
    <n v="52"/>
    <n v="75"/>
    <n v="3900"/>
    <n v="2067"/>
    <n v="0.53"/>
    <x v="2"/>
  </r>
  <r>
    <x v="4"/>
    <n v="1197831"/>
    <x v="457"/>
    <x v="1"/>
    <s v="Oklahoma"/>
    <s v="Oklahoma City"/>
    <x v="4"/>
    <n v="71"/>
    <n v="77"/>
    <n v="5467"/>
    <n v="2678.83"/>
    <n v="0.49"/>
    <x v="2"/>
  </r>
  <r>
    <x v="4"/>
    <n v="1197831"/>
    <x v="457"/>
    <x v="1"/>
    <s v="Oklahoma"/>
    <s v="Oklahoma City"/>
    <x v="5"/>
    <n v="72"/>
    <n v="105"/>
    <n v="7560"/>
    <n v="3780"/>
    <n v="0.5"/>
    <x v="2"/>
  </r>
  <r>
    <x v="4"/>
    <n v="1197831"/>
    <x v="486"/>
    <x v="1"/>
    <s v="Oklahoma"/>
    <s v="Oklahoma City"/>
    <x v="0"/>
    <n v="64"/>
    <n v="169"/>
    <n v="10816"/>
    <n v="5948.8"/>
    <n v="0.55000000000000004"/>
    <x v="2"/>
  </r>
  <r>
    <x v="4"/>
    <n v="1197831"/>
    <x v="486"/>
    <x v="1"/>
    <s v="Oklahoma"/>
    <s v="Oklahoma City"/>
    <x v="1"/>
    <n v="58"/>
    <n v="119"/>
    <n v="6902"/>
    <n v="3105.8999999999996"/>
    <n v="0.44999999999999996"/>
    <x v="2"/>
  </r>
  <r>
    <x v="4"/>
    <n v="1197831"/>
    <x v="486"/>
    <x v="1"/>
    <s v="Oklahoma"/>
    <s v="Oklahoma City"/>
    <x v="2"/>
    <n v="55"/>
    <n v="101"/>
    <n v="5555"/>
    <n v="2777.5"/>
    <n v="0.5"/>
    <x v="2"/>
  </r>
  <r>
    <x v="4"/>
    <n v="1197831"/>
    <x v="486"/>
    <x v="1"/>
    <s v="Oklahoma"/>
    <s v="Oklahoma City"/>
    <x v="3"/>
    <n v="54"/>
    <n v="94"/>
    <n v="5076"/>
    <n v="2690.28"/>
    <n v="0.53"/>
    <x v="2"/>
  </r>
  <r>
    <x v="4"/>
    <n v="1197831"/>
    <x v="486"/>
    <x v="1"/>
    <s v="Oklahoma"/>
    <s v="Oklahoma City"/>
    <x v="4"/>
    <n v="69"/>
    <n v="81"/>
    <n v="5589"/>
    <n v="2682.72"/>
    <n v="0.48"/>
    <x v="2"/>
  </r>
  <r>
    <x v="4"/>
    <n v="1197831"/>
    <x v="486"/>
    <x v="1"/>
    <s v="Oklahoma"/>
    <s v="Oklahoma City"/>
    <x v="5"/>
    <n v="68"/>
    <n v="123"/>
    <n v="8364"/>
    <n v="4182"/>
    <n v="0.5"/>
    <x v="2"/>
  </r>
  <r>
    <x v="4"/>
    <n v="1197831"/>
    <x v="180"/>
    <x v="1"/>
    <s v="Oklahoma"/>
    <s v="Oklahoma City"/>
    <x v="0"/>
    <n v="23"/>
    <n v="149"/>
    <n v="3427"/>
    <n v="1679.23"/>
    <n v="0.49"/>
    <x v="2"/>
  </r>
  <r>
    <x v="4"/>
    <n v="1197831"/>
    <x v="180"/>
    <x v="1"/>
    <s v="Oklahoma"/>
    <s v="Oklahoma City"/>
    <x v="1"/>
    <n v="23"/>
    <n v="91"/>
    <n v="2093"/>
    <n v="1025.57"/>
    <n v="0.49"/>
    <x v="2"/>
  </r>
  <r>
    <x v="4"/>
    <n v="1197831"/>
    <x v="180"/>
    <x v="1"/>
    <s v="Oklahoma"/>
    <s v="Oklahoma City"/>
    <x v="2"/>
    <n v="14"/>
    <n v="88"/>
    <n v="1232"/>
    <n v="591.36"/>
    <n v="0.48"/>
    <x v="2"/>
  </r>
  <r>
    <x v="4"/>
    <n v="1197831"/>
    <x v="180"/>
    <x v="1"/>
    <s v="Oklahoma"/>
    <s v="Oklahoma City"/>
    <x v="3"/>
    <n v="19"/>
    <n v="56"/>
    <n v="1064"/>
    <n v="521.36"/>
    <n v="0.49"/>
    <x v="2"/>
  </r>
  <r>
    <x v="4"/>
    <n v="1197831"/>
    <x v="180"/>
    <x v="1"/>
    <s v="Oklahoma"/>
    <s v="Oklahoma City"/>
    <x v="4"/>
    <n v="33"/>
    <n v="65"/>
    <n v="2145"/>
    <n v="1029.5999999999999"/>
    <n v="0.48"/>
    <x v="2"/>
  </r>
  <r>
    <x v="4"/>
    <n v="1197831"/>
    <x v="180"/>
    <x v="1"/>
    <s v="Oklahoma"/>
    <s v="Oklahoma City"/>
    <x v="5"/>
    <n v="23"/>
    <n v="102"/>
    <n v="2346"/>
    <n v="1173"/>
    <n v="0.5"/>
    <x v="2"/>
  </r>
  <r>
    <x v="4"/>
    <n v="1197831"/>
    <x v="209"/>
    <x v="1"/>
    <s v="Oklahoma"/>
    <s v="Oklahoma City"/>
    <x v="0"/>
    <n v="23"/>
    <n v="162"/>
    <n v="3726"/>
    <n v="1751.2199999999998"/>
    <n v="0.47"/>
    <x v="2"/>
  </r>
  <r>
    <x v="4"/>
    <n v="1197831"/>
    <x v="209"/>
    <x v="1"/>
    <s v="Oklahoma"/>
    <s v="Oklahoma City"/>
    <x v="1"/>
    <n v="23"/>
    <n v="65"/>
    <n v="1495"/>
    <n v="747.5"/>
    <n v="0.5"/>
    <x v="2"/>
  </r>
  <r>
    <x v="4"/>
    <n v="1197831"/>
    <x v="209"/>
    <x v="1"/>
    <s v="Oklahoma"/>
    <s v="Oklahoma City"/>
    <x v="2"/>
    <n v="14"/>
    <n v="75"/>
    <n v="1050"/>
    <n v="514.5"/>
    <n v="0.49"/>
    <x v="2"/>
  </r>
  <r>
    <x v="4"/>
    <n v="1197831"/>
    <x v="209"/>
    <x v="3"/>
    <s v="Kansas"/>
    <s v="Wichita"/>
    <x v="3"/>
    <n v="20"/>
    <n v="42"/>
    <n v="840"/>
    <n v="377.99999999999994"/>
    <n v="0.44999999999999996"/>
    <x v="2"/>
  </r>
  <r>
    <x v="4"/>
    <n v="1197831"/>
    <x v="209"/>
    <x v="3"/>
    <s v="Kansas"/>
    <s v="Wichita"/>
    <x v="4"/>
    <n v="32"/>
    <n v="68"/>
    <n v="2176"/>
    <n v="1044.48"/>
    <n v="0.48"/>
    <x v="2"/>
  </r>
  <r>
    <x v="4"/>
    <n v="1197831"/>
    <x v="209"/>
    <x v="3"/>
    <s v="Kansas"/>
    <s v="Wichita"/>
    <x v="5"/>
    <n v="18"/>
    <n v="98"/>
    <n v="1764"/>
    <n v="864.36"/>
    <n v="0.49"/>
    <x v="2"/>
  </r>
  <r>
    <x v="4"/>
    <n v="1197831"/>
    <x v="217"/>
    <x v="3"/>
    <s v="Kansas"/>
    <s v="Wichita"/>
    <x v="0"/>
    <n v="20"/>
    <n v="153"/>
    <n v="3060"/>
    <n v="1499.3999999999999"/>
    <n v="0.49"/>
    <x v="2"/>
  </r>
  <r>
    <x v="4"/>
    <n v="1197831"/>
    <x v="217"/>
    <x v="3"/>
    <s v="Kansas"/>
    <s v="Wichita"/>
    <x v="1"/>
    <n v="19"/>
    <n v="59"/>
    <n v="1121"/>
    <n v="526.87"/>
    <n v="0.47"/>
    <x v="2"/>
  </r>
  <r>
    <x v="4"/>
    <n v="1197831"/>
    <x v="217"/>
    <x v="3"/>
    <s v="Kansas"/>
    <s v="Wichita"/>
    <x v="2"/>
    <n v="9"/>
    <n v="75"/>
    <n v="675"/>
    <n v="310.5"/>
    <n v="0.45999999999999996"/>
    <x v="2"/>
  </r>
  <r>
    <x v="4"/>
    <n v="1197831"/>
    <x v="217"/>
    <x v="3"/>
    <s v="Kansas"/>
    <s v="Wichita"/>
    <x v="3"/>
    <n v="20"/>
    <n v="26"/>
    <n v="520"/>
    <n v="249.6"/>
    <n v="0.48"/>
    <x v="2"/>
  </r>
  <r>
    <x v="4"/>
    <n v="1197831"/>
    <x v="217"/>
    <x v="3"/>
    <s v="Kansas"/>
    <s v="Wichita"/>
    <x v="4"/>
    <n v="32"/>
    <n v="41"/>
    <n v="1312"/>
    <n v="603.52"/>
    <n v="0.45999999999999996"/>
    <x v="2"/>
  </r>
  <r>
    <x v="4"/>
    <n v="1197831"/>
    <x v="217"/>
    <x v="3"/>
    <s v="Kansas"/>
    <s v="Wichita"/>
    <x v="5"/>
    <n v="23"/>
    <n v="65"/>
    <n v="1495"/>
    <n v="747.5"/>
    <n v="0.5"/>
    <x v="2"/>
  </r>
  <r>
    <x v="4"/>
    <n v="1197831"/>
    <x v="236"/>
    <x v="3"/>
    <s v="Kansas"/>
    <s v="Wichita"/>
    <x v="0"/>
    <n v="24"/>
    <n v="150"/>
    <n v="3600"/>
    <n v="1619.9999999999998"/>
    <n v="0.44999999999999996"/>
    <x v="2"/>
  </r>
  <r>
    <x v="4"/>
    <n v="1197831"/>
    <x v="236"/>
    <x v="3"/>
    <s v="Kansas"/>
    <s v="Wichita"/>
    <x v="1"/>
    <n v="25"/>
    <n v="58"/>
    <n v="1450"/>
    <n v="696"/>
    <n v="0.48"/>
    <x v="2"/>
  </r>
  <r>
    <x v="4"/>
    <n v="1197831"/>
    <x v="236"/>
    <x v="3"/>
    <s v="Kansas"/>
    <s v="Wichita"/>
    <x v="2"/>
    <n v="14"/>
    <n v="60"/>
    <n v="840"/>
    <n v="420"/>
    <n v="0.5"/>
    <x v="2"/>
  </r>
  <r>
    <x v="4"/>
    <n v="1197831"/>
    <x v="236"/>
    <x v="3"/>
    <s v="Kansas"/>
    <s v="Wichita"/>
    <x v="3"/>
    <n v="19"/>
    <n v="35"/>
    <n v="665"/>
    <n v="299.24999999999994"/>
    <n v="0.44999999999999996"/>
    <x v="2"/>
  </r>
  <r>
    <x v="4"/>
    <n v="1197831"/>
    <x v="236"/>
    <x v="3"/>
    <s v="Kansas"/>
    <s v="Wichita"/>
    <x v="4"/>
    <n v="39"/>
    <n v="38"/>
    <n v="1482"/>
    <n v="726.18"/>
    <n v="0.49"/>
    <x v="2"/>
  </r>
  <r>
    <x v="4"/>
    <n v="1197831"/>
    <x v="236"/>
    <x v="3"/>
    <s v="Kansas"/>
    <s v="Wichita"/>
    <x v="5"/>
    <n v="29"/>
    <n v="81"/>
    <n v="2349"/>
    <n v="1151.01"/>
    <n v="0.49"/>
    <x v="2"/>
  </r>
  <r>
    <x v="4"/>
    <n v="1197831"/>
    <x v="265"/>
    <x v="3"/>
    <s v="Kansas"/>
    <s v="Wichita"/>
    <x v="0"/>
    <n v="36"/>
    <n v="143"/>
    <n v="5148"/>
    <n v="2316.6"/>
    <n v="0.44999999999999996"/>
    <x v="2"/>
  </r>
  <r>
    <x v="4"/>
    <n v="1197831"/>
    <x v="265"/>
    <x v="3"/>
    <s v="Kansas"/>
    <s v="Wichita"/>
    <x v="1"/>
    <n v="39"/>
    <n v="77"/>
    <n v="3003"/>
    <n v="1441.44"/>
    <n v="0.48"/>
    <x v="2"/>
  </r>
  <r>
    <x v="4"/>
    <n v="1197831"/>
    <x v="265"/>
    <x v="3"/>
    <s v="Kansas"/>
    <s v="Wichita"/>
    <x v="2"/>
    <n v="32"/>
    <n v="65"/>
    <n v="2080"/>
    <n v="1019.1999999999999"/>
    <n v="0.49"/>
    <x v="2"/>
  </r>
  <r>
    <x v="4"/>
    <n v="1197831"/>
    <x v="265"/>
    <x v="3"/>
    <s v="Kansas"/>
    <s v="Wichita"/>
    <x v="3"/>
    <n v="32"/>
    <n v="58"/>
    <n v="1856"/>
    <n v="928"/>
    <n v="0.5"/>
    <x v="2"/>
  </r>
  <r>
    <x v="4"/>
    <n v="1197831"/>
    <x v="265"/>
    <x v="3"/>
    <s v="Kansas"/>
    <s v="Wichita"/>
    <x v="4"/>
    <n v="43"/>
    <n v="56"/>
    <n v="2408"/>
    <n v="1204"/>
    <n v="0.5"/>
    <x v="2"/>
  </r>
  <r>
    <x v="4"/>
    <n v="1197831"/>
    <x v="265"/>
    <x v="3"/>
    <s v="Kansas"/>
    <s v="Wichita"/>
    <x v="5"/>
    <n v="42"/>
    <n v="94"/>
    <n v="3948"/>
    <n v="1776.6"/>
    <n v="0.44999999999999996"/>
    <x v="2"/>
  </r>
  <r>
    <x v="4"/>
    <n v="1197831"/>
    <x v="298"/>
    <x v="3"/>
    <s v="Kansas"/>
    <s v="Wichita"/>
    <x v="0"/>
    <n v="37"/>
    <n v="144"/>
    <n v="5328"/>
    <n v="2664"/>
    <n v="0.5"/>
    <x v="2"/>
  </r>
  <r>
    <x v="4"/>
    <n v="1197831"/>
    <x v="298"/>
    <x v="3"/>
    <s v="Kansas"/>
    <s v="Wichita"/>
    <x v="1"/>
    <n v="32"/>
    <n v="94"/>
    <n v="3008"/>
    <n v="1443.84"/>
    <n v="0.48"/>
    <x v="2"/>
  </r>
  <r>
    <x v="4"/>
    <n v="1197831"/>
    <x v="298"/>
    <x v="3"/>
    <s v="Kansas"/>
    <s v="Wichita"/>
    <x v="2"/>
    <n v="37"/>
    <n v="81"/>
    <n v="2997"/>
    <n v="1378.62"/>
    <n v="0.45999999999999996"/>
    <x v="2"/>
  </r>
  <r>
    <x v="4"/>
    <n v="1197831"/>
    <x v="298"/>
    <x v="3"/>
    <s v="Kansas"/>
    <s v="Wichita"/>
    <x v="3"/>
    <n v="38"/>
    <n v="80"/>
    <n v="3040"/>
    <n v="1367.9999999999998"/>
    <n v="0.44999999999999996"/>
    <x v="2"/>
  </r>
  <r>
    <x v="4"/>
    <n v="1197831"/>
    <x v="298"/>
    <x v="3"/>
    <s v="Kansas"/>
    <s v="Wichita"/>
    <x v="4"/>
    <n v="54"/>
    <n v="83"/>
    <n v="4482"/>
    <n v="2151.36"/>
    <n v="0.48"/>
    <x v="2"/>
  </r>
  <r>
    <x v="4"/>
    <n v="1197831"/>
    <x v="298"/>
    <x v="3"/>
    <s v="Kansas"/>
    <s v="Wichita"/>
    <x v="5"/>
    <n v="58"/>
    <n v="117"/>
    <n v="6786"/>
    <n v="3325.14"/>
    <n v="0.49"/>
    <x v="2"/>
  </r>
  <r>
    <x v="4"/>
    <n v="1197831"/>
    <x v="326"/>
    <x v="3"/>
    <s v="Kansas"/>
    <s v="Wichita"/>
    <x v="0"/>
    <n v="51"/>
    <n v="182"/>
    <n v="9282"/>
    <n v="4641"/>
    <n v="0.5"/>
    <x v="2"/>
  </r>
  <r>
    <x v="4"/>
    <n v="1197831"/>
    <x v="326"/>
    <x v="3"/>
    <s v="Kansas"/>
    <s v="Wichita"/>
    <x v="1"/>
    <n v="49"/>
    <n v="119"/>
    <n v="5831"/>
    <n v="2915.5"/>
    <n v="0.5"/>
    <x v="2"/>
  </r>
  <r>
    <x v="4"/>
    <n v="1197831"/>
    <x v="326"/>
    <x v="3"/>
    <s v="Kansas"/>
    <s v="Wichita"/>
    <x v="2"/>
    <n v="42"/>
    <n v="102"/>
    <n v="4284"/>
    <n v="1970.6399999999999"/>
    <n v="0.45999999999999996"/>
    <x v="2"/>
  </r>
  <r>
    <x v="4"/>
    <n v="1197831"/>
    <x v="326"/>
    <x v="3"/>
    <s v="Kansas"/>
    <s v="Wichita"/>
    <x v="3"/>
    <n v="43"/>
    <n v="75"/>
    <n v="3225"/>
    <n v="1580.25"/>
    <n v="0.49"/>
    <x v="2"/>
  </r>
  <r>
    <x v="4"/>
    <n v="1197831"/>
    <x v="326"/>
    <x v="3"/>
    <s v="Kansas"/>
    <s v="Wichita"/>
    <x v="4"/>
    <n v="56"/>
    <n v="91"/>
    <n v="5096"/>
    <n v="2344.16"/>
    <n v="0.45999999999999996"/>
    <x v="2"/>
  </r>
  <r>
    <x v="4"/>
    <n v="1197831"/>
    <x v="326"/>
    <x v="3"/>
    <s v="Kansas"/>
    <s v="Wichita"/>
    <x v="5"/>
    <n v="60"/>
    <n v="140"/>
    <n v="8400"/>
    <n v="4116"/>
    <n v="0.49"/>
    <x v="2"/>
  </r>
  <r>
    <x v="4"/>
    <n v="1197831"/>
    <x v="358"/>
    <x v="3"/>
    <s v="Kansas"/>
    <s v="Wichita"/>
    <x v="0"/>
    <n v="56"/>
    <n v="189"/>
    <n v="10584"/>
    <n v="5292"/>
    <n v="0.5"/>
    <x v="2"/>
  </r>
  <r>
    <x v="4"/>
    <n v="1197831"/>
    <x v="358"/>
    <x v="3"/>
    <s v="Kansas"/>
    <s v="Wichita"/>
    <x v="1"/>
    <n v="51"/>
    <n v="111"/>
    <n v="5661"/>
    <n v="2547.4499999999998"/>
    <n v="0.44999999999999996"/>
    <x v="2"/>
  </r>
  <r>
    <x v="4"/>
    <n v="1197831"/>
    <x v="358"/>
    <x v="3"/>
    <s v="Kansas"/>
    <s v="Wichita"/>
    <x v="2"/>
    <n v="47"/>
    <n v="102"/>
    <n v="4794"/>
    <n v="2397"/>
    <n v="0.5"/>
    <x v="2"/>
  </r>
  <r>
    <x v="4"/>
    <n v="1197831"/>
    <x v="358"/>
    <x v="3"/>
    <s v="Kansas"/>
    <s v="Wichita"/>
    <x v="3"/>
    <n v="37"/>
    <n v="90"/>
    <n v="3330"/>
    <n v="1631.7"/>
    <n v="0.49"/>
    <x v="2"/>
  </r>
  <r>
    <x v="4"/>
    <n v="1197831"/>
    <x v="358"/>
    <x v="3"/>
    <s v="Kansas"/>
    <s v="Wichita"/>
    <x v="4"/>
    <n v="47"/>
    <n v="69"/>
    <n v="3243"/>
    <n v="1621.5"/>
    <n v="0.5"/>
    <x v="2"/>
  </r>
  <r>
    <x v="4"/>
    <n v="1197831"/>
    <x v="358"/>
    <x v="3"/>
    <s v="Kansas"/>
    <s v="Wichita"/>
    <x v="5"/>
    <n v="52"/>
    <n v="113"/>
    <n v="5876"/>
    <n v="2938"/>
    <n v="0.5"/>
    <x v="2"/>
  </r>
  <r>
    <x v="4"/>
    <n v="1197831"/>
    <x v="388"/>
    <x v="3"/>
    <s v="Kansas"/>
    <s v="Wichita"/>
    <x v="0"/>
    <n v="47"/>
    <n v="165"/>
    <n v="7755"/>
    <n v="3877.5"/>
    <n v="0.5"/>
    <x v="2"/>
  </r>
  <r>
    <x v="4"/>
    <n v="1197831"/>
    <x v="388"/>
    <x v="3"/>
    <s v="Kansas"/>
    <s v="Wichita"/>
    <x v="1"/>
    <n v="38"/>
    <n v="91"/>
    <n v="3458"/>
    <n v="1556.1"/>
    <n v="0.44999999999999996"/>
    <x v="2"/>
  </r>
  <r>
    <x v="4"/>
    <n v="1197831"/>
    <x v="388"/>
    <x v="3"/>
    <s v="Kansas"/>
    <s v="Wichita"/>
    <x v="2"/>
    <n v="15"/>
    <n v="75"/>
    <n v="1125"/>
    <n v="528.75"/>
    <n v="0.47"/>
    <x v="2"/>
  </r>
  <r>
    <x v="4"/>
    <n v="1197831"/>
    <x v="388"/>
    <x v="3"/>
    <s v="Kansas"/>
    <s v="Wichita"/>
    <x v="3"/>
    <n v="14"/>
    <n v="65"/>
    <n v="910"/>
    <n v="427.7"/>
    <n v="0.47"/>
    <x v="2"/>
  </r>
  <r>
    <x v="4"/>
    <n v="1197831"/>
    <x v="388"/>
    <x v="3"/>
    <s v="Kansas"/>
    <s v="Wichita"/>
    <x v="4"/>
    <n v="24"/>
    <n v="61"/>
    <n v="1464"/>
    <n v="717.36"/>
    <n v="0.49"/>
    <x v="2"/>
  </r>
  <r>
    <x v="4"/>
    <n v="1197831"/>
    <x v="388"/>
    <x v="3"/>
    <s v="Kansas"/>
    <s v="Wichita"/>
    <x v="5"/>
    <n v="29"/>
    <n v="94"/>
    <n v="2726"/>
    <n v="1335.74"/>
    <n v="0.49"/>
    <x v="2"/>
  </r>
  <r>
    <x v="4"/>
    <n v="1197831"/>
    <x v="420"/>
    <x v="3"/>
    <s v="Kansas"/>
    <s v="Wichita"/>
    <x v="0"/>
    <n v="29"/>
    <n v="145"/>
    <n v="4205"/>
    <n v="1934.3"/>
    <n v="0.45999999999999996"/>
    <x v="2"/>
  </r>
  <r>
    <x v="4"/>
    <n v="1197831"/>
    <x v="420"/>
    <x v="3"/>
    <s v="Kansas"/>
    <s v="Wichita"/>
    <x v="1"/>
    <n v="19"/>
    <n v="85"/>
    <n v="1615"/>
    <n v="742.9"/>
    <n v="0.45999999999999996"/>
    <x v="2"/>
  </r>
  <r>
    <x v="4"/>
    <n v="1197831"/>
    <x v="420"/>
    <x v="3"/>
    <s v="Kansas"/>
    <s v="Wichita"/>
    <x v="2"/>
    <n v="19"/>
    <n v="60"/>
    <n v="1140"/>
    <n v="535.79999999999995"/>
    <n v="0.47"/>
    <x v="2"/>
  </r>
  <r>
    <x v="4"/>
    <n v="1197831"/>
    <x v="420"/>
    <x v="3"/>
    <s v="Kansas"/>
    <s v="Wichita"/>
    <x v="3"/>
    <n v="19"/>
    <n v="47"/>
    <n v="893"/>
    <n v="428.64"/>
    <n v="0.48"/>
    <x v="2"/>
  </r>
  <r>
    <x v="4"/>
    <n v="1197831"/>
    <x v="420"/>
    <x v="3"/>
    <s v="Kansas"/>
    <s v="Wichita"/>
    <x v="4"/>
    <n v="29"/>
    <n v="46"/>
    <n v="1334"/>
    <n v="653.66"/>
    <n v="0.49"/>
    <x v="2"/>
  </r>
  <r>
    <x v="0"/>
    <n v="1197831"/>
    <x v="420"/>
    <x v="3"/>
    <s v="Kansas"/>
    <s v="Wichita"/>
    <x v="5"/>
    <n v="28"/>
    <n v="90"/>
    <n v="2520"/>
    <n v="1209.5999999999999"/>
    <n v="0.48"/>
    <x v="2"/>
  </r>
  <r>
    <x v="0"/>
    <n v="1197831"/>
    <x v="450"/>
    <x v="3"/>
    <s v="Kansas"/>
    <s v="Wichita"/>
    <x v="0"/>
    <n v="23"/>
    <n v="122"/>
    <n v="2806"/>
    <n v="1318.82"/>
    <n v="0.47"/>
    <x v="2"/>
  </r>
  <r>
    <x v="0"/>
    <n v="1197831"/>
    <x v="450"/>
    <x v="3"/>
    <s v="Kansas"/>
    <s v="Wichita"/>
    <x v="1"/>
    <n v="14"/>
    <n v="72"/>
    <n v="1008"/>
    <n v="504"/>
    <n v="0.5"/>
    <x v="2"/>
  </r>
  <r>
    <x v="0"/>
    <n v="1197831"/>
    <x v="450"/>
    <x v="3"/>
    <s v="Kansas"/>
    <s v="Wichita"/>
    <x v="2"/>
    <n v="23"/>
    <n v="55"/>
    <n v="1265"/>
    <n v="632.5"/>
    <n v="0.5"/>
    <x v="2"/>
  </r>
  <r>
    <x v="0"/>
    <n v="1197831"/>
    <x v="450"/>
    <x v="3"/>
    <s v="Kansas"/>
    <s v="Wichita"/>
    <x v="3"/>
    <n v="54"/>
    <n v="83"/>
    <n v="4482"/>
    <n v="2151.36"/>
    <n v="0.48"/>
    <x v="2"/>
  </r>
  <r>
    <x v="0"/>
    <n v="1197831"/>
    <x v="450"/>
    <x v="3"/>
    <s v="Kansas"/>
    <s v="Wichita"/>
    <x v="4"/>
    <n v="68"/>
    <n v="70"/>
    <n v="4760"/>
    <n v="2189.6"/>
    <n v="0.45999999999999996"/>
    <x v="2"/>
  </r>
  <r>
    <x v="0"/>
    <n v="1197831"/>
    <x v="450"/>
    <x v="3"/>
    <s v="Kansas"/>
    <s v="Wichita"/>
    <x v="5"/>
    <n v="73"/>
    <n v="88"/>
    <n v="6424"/>
    <n v="2955.04"/>
    <n v="0.45999999999999996"/>
    <x v="2"/>
  </r>
  <r>
    <x v="0"/>
    <n v="1197831"/>
    <x v="479"/>
    <x v="3"/>
    <s v="Kansas"/>
    <s v="Wichita"/>
    <x v="0"/>
    <n v="66"/>
    <n v="150"/>
    <n v="9900"/>
    <n v="4950"/>
    <n v="0.5"/>
    <x v="2"/>
  </r>
  <r>
    <x v="0"/>
    <n v="1197831"/>
    <x v="479"/>
    <x v="3"/>
    <s v="Kansas"/>
    <s v="Wichita"/>
    <x v="1"/>
    <n v="59"/>
    <n v="120"/>
    <n v="7080"/>
    <n v="3540"/>
    <n v="0.5"/>
    <x v="2"/>
  </r>
  <r>
    <x v="0"/>
    <n v="1197831"/>
    <x v="479"/>
    <x v="3"/>
    <s v="Kansas"/>
    <s v="Wichita"/>
    <x v="2"/>
    <n v="58"/>
    <n v="95"/>
    <n v="5510"/>
    <n v="2534.6"/>
    <n v="0.45999999999999996"/>
    <x v="2"/>
  </r>
  <r>
    <x v="0"/>
    <n v="1197831"/>
    <x v="479"/>
    <x v="3"/>
    <s v="Kansas"/>
    <s v="Wichita"/>
    <x v="3"/>
    <n v="59"/>
    <n v="90"/>
    <n v="5310"/>
    <n v="2389.4999999999995"/>
    <n v="0.44999999999999996"/>
    <x v="2"/>
  </r>
  <r>
    <x v="0"/>
    <n v="1197831"/>
    <x v="479"/>
    <x v="3"/>
    <s v="Kansas"/>
    <s v="Wichita"/>
    <x v="4"/>
    <n v="64"/>
    <n v="81"/>
    <n v="5184"/>
    <n v="2592"/>
    <n v="0.5"/>
    <x v="2"/>
  </r>
  <r>
    <x v="0"/>
    <n v="1197831"/>
    <x v="479"/>
    <x v="3"/>
    <s v="Kansas"/>
    <s v="Wichita"/>
    <x v="5"/>
    <n v="68"/>
    <n v="112"/>
    <n v="7616"/>
    <n v="3503.3599999999997"/>
    <n v="0.45999999999999996"/>
    <x v="2"/>
  </r>
  <r>
    <x v="0"/>
    <n v="1185732"/>
    <x v="176"/>
    <x v="3"/>
    <s v="Kansas"/>
    <s v="Wichita"/>
    <x v="0"/>
    <n v="38"/>
    <n v="138"/>
    <n v="5244"/>
    <n v="2569.56"/>
    <n v="0.49"/>
    <x v="2"/>
  </r>
  <r>
    <x v="0"/>
    <n v="1185732"/>
    <x v="176"/>
    <x v="3"/>
    <s v="Kansas"/>
    <s v="Wichita"/>
    <x v="1"/>
    <n v="37"/>
    <n v="80"/>
    <n v="2960"/>
    <n v="1184"/>
    <n v="0.4"/>
    <x v="2"/>
  </r>
  <r>
    <x v="0"/>
    <n v="1185732"/>
    <x v="176"/>
    <x v="3"/>
    <s v="Kansas"/>
    <s v="Wichita"/>
    <x v="2"/>
    <n v="27"/>
    <n v="83"/>
    <n v="2241"/>
    <n v="986.04"/>
    <n v="0.44"/>
    <x v="2"/>
  </r>
  <r>
    <x v="0"/>
    <n v="1185732"/>
    <x v="176"/>
    <x v="3"/>
    <s v="Kansas"/>
    <s v="Wichita"/>
    <x v="3"/>
    <n v="34"/>
    <n v="36"/>
    <n v="1224"/>
    <n v="489.6"/>
    <n v="0.4"/>
    <x v="2"/>
  </r>
  <r>
    <x v="0"/>
    <n v="1185732"/>
    <x v="176"/>
    <x v="3"/>
    <s v="Kansas"/>
    <s v="Wichita"/>
    <x v="4"/>
    <n v="48"/>
    <n v="44"/>
    <n v="2112"/>
    <n v="992.64"/>
    <n v="0.47"/>
    <x v="2"/>
  </r>
  <r>
    <x v="0"/>
    <n v="1185732"/>
    <x v="176"/>
    <x v="3"/>
    <s v="Kansas"/>
    <s v="Wichita"/>
    <x v="5"/>
    <n v="37"/>
    <n v="72"/>
    <n v="2664"/>
    <n v="1465.2"/>
    <n v="0.55000000000000004"/>
    <x v="2"/>
  </r>
  <r>
    <x v="0"/>
    <n v="1185732"/>
    <x v="207"/>
    <x v="3"/>
    <s v="Kansas"/>
    <s v="Wichita"/>
    <x v="0"/>
    <n v="37"/>
    <n v="158"/>
    <n v="5846"/>
    <n v="2923"/>
    <n v="0.5"/>
    <x v="2"/>
  </r>
  <r>
    <x v="0"/>
    <n v="1185732"/>
    <x v="207"/>
    <x v="3"/>
    <s v="Kansas"/>
    <s v="Wichita"/>
    <x v="1"/>
    <n v="39"/>
    <n v="47"/>
    <n v="1833"/>
    <n v="806.52"/>
    <n v="0.44"/>
    <x v="2"/>
  </r>
  <r>
    <x v="0"/>
    <n v="1185732"/>
    <x v="207"/>
    <x v="3"/>
    <s v="Kansas"/>
    <s v="Wichita"/>
    <x v="2"/>
    <n v="29"/>
    <n v="59"/>
    <n v="1711"/>
    <n v="735.73"/>
    <n v="0.43"/>
    <x v="2"/>
  </r>
  <r>
    <x v="0"/>
    <n v="1185732"/>
    <x v="207"/>
    <x v="3"/>
    <s v="South Dakota"/>
    <s v="Sioux Falls"/>
    <x v="3"/>
    <n v="33"/>
    <n v="25"/>
    <n v="825"/>
    <n v="363"/>
    <n v="0.44"/>
    <x v="2"/>
  </r>
  <r>
    <x v="0"/>
    <n v="1185732"/>
    <x v="207"/>
    <x v="3"/>
    <s v="South Dakota"/>
    <s v="Sioux Falls"/>
    <x v="4"/>
    <n v="48"/>
    <n v="46"/>
    <n v="2208"/>
    <n v="993.59999999999991"/>
    <n v="0.44999999999999996"/>
    <x v="2"/>
  </r>
  <r>
    <x v="0"/>
    <n v="1185732"/>
    <x v="207"/>
    <x v="3"/>
    <s v="South Dakota"/>
    <s v="Sioux Falls"/>
    <x v="5"/>
    <n v="32"/>
    <n v="80"/>
    <n v="2560"/>
    <n v="1408"/>
    <n v="0.55000000000000004"/>
    <x v="2"/>
  </r>
  <r>
    <x v="0"/>
    <n v="1185732"/>
    <x v="216"/>
    <x v="3"/>
    <s v="South Dakota"/>
    <s v="Sioux Falls"/>
    <x v="0"/>
    <n v="39"/>
    <n v="124"/>
    <n v="4836"/>
    <n v="2369.64"/>
    <n v="0.49"/>
    <x v="2"/>
  </r>
  <r>
    <x v="0"/>
    <n v="1185732"/>
    <x v="216"/>
    <x v="3"/>
    <s v="South Dakota"/>
    <s v="Sioux Falls"/>
    <x v="1"/>
    <n v="37"/>
    <n v="50"/>
    <n v="1850"/>
    <n v="777"/>
    <n v="0.42"/>
    <x v="2"/>
  </r>
  <r>
    <x v="0"/>
    <n v="1185732"/>
    <x v="216"/>
    <x v="3"/>
    <s v="South Dakota"/>
    <s v="Sioux Falls"/>
    <x v="2"/>
    <n v="27"/>
    <n v="59"/>
    <n v="1593"/>
    <n v="669.06"/>
    <n v="0.42"/>
    <x v="2"/>
  </r>
  <r>
    <x v="0"/>
    <n v="1185732"/>
    <x v="216"/>
    <x v="3"/>
    <s v="South Dakota"/>
    <s v="Sioux Falls"/>
    <x v="3"/>
    <n v="33"/>
    <n v="23"/>
    <n v="759"/>
    <n v="333.96"/>
    <n v="0.44"/>
    <x v="2"/>
  </r>
  <r>
    <x v="0"/>
    <n v="1185732"/>
    <x v="216"/>
    <x v="3"/>
    <s v="South Dakota"/>
    <s v="Sioux Falls"/>
    <x v="4"/>
    <n v="47"/>
    <n v="31"/>
    <n v="1457"/>
    <n v="728.5"/>
    <n v="0.5"/>
    <x v="2"/>
  </r>
  <r>
    <x v="0"/>
    <n v="1185732"/>
    <x v="216"/>
    <x v="3"/>
    <s v="South Dakota"/>
    <s v="Sioux Falls"/>
    <x v="5"/>
    <n v="37"/>
    <n v="59"/>
    <n v="2183"/>
    <n v="1156.99"/>
    <n v="0.53"/>
    <x v="2"/>
  </r>
  <r>
    <x v="0"/>
    <n v="1185732"/>
    <x v="235"/>
    <x v="3"/>
    <s v="South Dakota"/>
    <s v="Sioux Falls"/>
    <x v="0"/>
    <n v="38"/>
    <n v="113"/>
    <n v="4294"/>
    <n v="1975.2399999999998"/>
    <n v="0.45999999999999996"/>
    <x v="2"/>
  </r>
  <r>
    <x v="0"/>
    <n v="1185732"/>
    <x v="235"/>
    <x v="3"/>
    <s v="South Dakota"/>
    <s v="Sioux Falls"/>
    <x v="1"/>
    <n v="39"/>
    <n v="42"/>
    <n v="1638"/>
    <n v="671.57999999999993"/>
    <n v="0.41"/>
    <x v="2"/>
  </r>
  <r>
    <x v="0"/>
    <n v="1185732"/>
    <x v="235"/>
    <x v="3"/>
    <s v="South Dakota"/>
    <s v="Sioux Falls"/>
    <x v="2"/>
    <n v="29"/>
    <n v="45"/>
    <n v="1305"/>
    <n v="522"/>
    <n v="0.4"/>
    <x v="2"/>
  </r>
  <r>
    <x v="0"/>
    <n v="1185732"/>
    <x v="235"/>
    <x v="3"/>
    <s v="South Dakota"/>
    <s v="Sioux Falls"/>
    <x v="3"/>
    <n v="34"/>
    <n v="20"/>
    <n v="680"/>
    <n v="292.39999999999998"/>
    <n v="0.43"/>
    <x v="2"/>
  </r>
  <r>
    <x v="0"/>
    <n v="1185732"/>
    <x v="235"/>
    <x v="3"/>
    <s v="South Dakota"/>
    <s v="Sioux Falls"/>
    <x v="4"/>
    <n v="56"/>
    <n v="29"/>
    <n v="1624"/>
    <n v="747.04"/>
    <n v="0.45999999999999996"/>
    <x v="2"/>
  </r>
  <r>
    <x v="0"/>
    <n v="1185732"/>
    <x v="235"/>
    <x v="3"/>
    <s v="South Dakota"/>
    <s v="Sioux Falls"/>
    <x v="5"/>
    <n v="48"/>
    <n v="61"/>
    <n v="2928"/>
    <n v="1551.8400000000001"/>
    <n v="0.53"/>
    <x v="2"/>
  </r>
  <r>
    <x v="0"/>
    <n v="1185732"/>
    <x v="266"/>
    <x v="3"/>
    <s v="South Dakota"/>
    <s v="Sioux Falls"/>
    <x v="0"/>
    <n v="58"/>
    <n v="139"/>
    <n v="8062"/>
    <n v="3789.14"/>
    <n v="0.47"/>
    <x v="2"/>
  </r>
  <r>
    <x v="0"/>
    <n v="1185732"/>
    <x v="266"/>
    <x v="3"/>
    <s v="South Dakota"/>
    <s v="Sioux Falls"/>
    <x v="1"/>
    <n v="45"/>
    <n v="60"/>
    <n v="2700"/>
    <n v="1214.9999999999998"/>
    <n v="0.44999999999999996"/>
    <x v="2"/>
  </r>
  <r>
    <x v="0"/>
    <n v="1185732"/>
    <x v="266"/>
    <x v="3"/>
    <s v="South Dakota"/>
    <s v="Sioux Falls"/>
    <x v="2"/>
    <n v="43"/>
    <n v="46"/>
    <n v="1978"/>
    <n v="830.76"/>
    <n v="0.42"/>
    <x v="2"/>
  </r>
  <r>
    <x v="0"/>
    <n v="1185732"/>
    <x v="266"/>
    <x v="3"/>
    <s v="South Dakota"/>
    <s v="Sioux Falls"/>
    <x v="3"/>
    <n v="43"/>
    <n v="26"/>
    <n v="1118"/>
    <n v="503.09999999999997"/>
    <n v="0.44999999999999996"/>
    <x v="2"/>
  </r>
  <r>
    <x v="0"/>
    <n v="1185732"/>
    <x v="266"/>
    <x v="3"/>
    <s v="South Dakota"/>
    <s v="Sioux Falls"/>
    <x v="4"/>
    <n v="51"/>
    <n v="38"/>
    <n v="1938"/>
    <n v="969"/>
    <n v="0.5"/>
    <x v="2"/>
  </r>
  <r>
    <x v="0"/>
    <n v="1185732"/>
    <x v="266"/>
    <x v="3"/>
    <s v="South Dakota"/>
    <s v="Sioux Falls"/>
    <x v="5"/>
    <n v="58"/>
    <n v="68"/>
    <n v="3944"/>
    <n v="2011.44"/>
    <n v="0.51"/>
    <x v="2"/>
  </r>
  <r>
    <x v="0"/>
    <n v="1185732"/>
    <x v="296"/>
    <x v="3"/>
    <s v="South Dakota"/>
    <s v="Sioux Falls"/>
    <x v="0"/>
    <n v="41"/>
    <n v="135"/>
    <n v="5535"/>
    <n v="2546.1"/>
    <n v="0.45999999999999996"/>
    <x v="2"/>
  </r>
  <r>
    <x v="0"/>
    <n v="1185732"/>
    <x v="296"/>
    <x v="3"/>
    <s v="South Dakota"/>
    <s v="Sioux Falls"/>
    <x v="1"/>
    <n v="39"/>
    <n v="70"/>
    <n v="2730"/>
    <n v="1092"/>
    <n v="0.4"/>
    <x v="2"/>
  </r>
  <r>
    <x v="0"/>
    <n v="1185732"/>
    <x v="296"/>
    <x v="3"/>
    <s v="South Dakota"/>
    <s v="Sioux Falls"/>
    <x v="2"/>
    <n v="32"/>
    <n v="54"/>
    <n v="1728"/>
    <n v="743.04"/>
    <n v="0.43"/>
    <x v="2"/>
  </r>
  <r>
    <x v="0"/>
    <n v="1185732"/>
    <x v="296"/>
    <x v="3"/>
    <s v="South Dakota"/>
    <s v="Sioux Falls"/>
    <x v="3"/>
    <n v="32"/>
    <n v="49"/>
    <n v="1568"/>
    <n v="705.59999999999991"/>
    <n v="0.44999999999999996"/>
    <x v="2"/>
  </r>
  <r>
    <x v="0"/>
    <n v="1185732"/>
    <x v="296"/>
    <x v="3"/>
    <s v="South Dakota"/>
    <s v="Sioux Falls"/>
    <x v="4"/>
    <n v="41"/>
    <n v="51"/>
    <n v="2091"/>
    <n v="940.94999999999993"/>
    <n v="0.44999999999999996"/>
    <x v="2"/>
  </r>
  <r>
    <x v="0"/>
    <n v="1185732"/>
    <x v="296"/>
    <x v="3"/>
    <s v="South Dakota"/>
    <s v="Sioux Falls"/>
    <x v="5"/>
    <n v="50"/>
    <n v="94"/>
    <n v="4700"/>
    <n v="2491"/>
    <n v="0.53"/>
    <x v="2"/>
  </r>
  <r>
    <x v="0"/>
    <n v="1185732"/>
    <x v="325"/>
    <x v="3"/>
    <s v="South Dakota"/>
    <s v="Sioux Falls"/>
    <x v="0"/>
    <n v="47"/>
    <n v="154"/>
    <n v="7238"/>
    <n v="3329.4799999999996"/>
    <n v="0.45999999999999996"/>
    <x v="2"/>
  </r>
  <r>
    <x v="0"/>
    <n v="1185732"/>
    <x v="325"/>
    <x v="3"/>
    <s v="South Dakota"/>
    <s v="Sioux Falls"/>
    <x v="1"/>
    <n v="44"/>
    <n v="81"/>
    <n v="3564"/>
    <n v="1603.8"/>
    <n v="0.44999999999999996"/>
    <x v="2"/>
  </r>
  <r>
    <x v="0"/>
    <n v="1185732"/>
    <x v="325"/>
    <x v="3"/>
    <s v="South Dakota"/>
    <s v="Sioux Falls"/>
    <x v="2"/>
    <n v="37"/>
    <n v="61"/>
    <n v="2257"/>
    <n v="947.93999999999994"/>
    <n v="0.42"/>
    <x v="2"/>
  </r>
  <r>
    <x v="0"/>
    <n v="1185732"/>
    <x v="325"/>
    <x v="3"/>
    <s v="South Dakota"/>
    <s v="Sioux Falls"/>
    <x v="3"/>
    <n v="38"/>
    <n v="44"/>
    <n v="1672"/>
    <n v="718.96"/>
    <n v="0.43"/>
    <x v="2"/>
  </r>
  <r>
    <x v="0"/>
    <n v="1185732"/>
    <x v="325"/>
    <x v="3"/>
    <s v="South Dakota"/>
    <s v="Sioux Falls"/>
    <x v="4"/>
    <n v="49"/>
    <n v="52"/>
    <n v="2548"/>
    <n v="1172.08"/>
    <n v="0.45999999999999996"/>
    <x v="2"/>
  </r>
  <r>
    <x v="0"/>
    <n v="1185732"/>
    <x v="325"/>
    <x v="3"/>
    <s v="South Dakota"/>
    <s v="Sioux Falls"/>
    <x v="5"/>
    <n v="53"/>
    <n v="94"/>
    <n v="4982"/>
    <n v="2640.46"/>
    <n v="0.53"/>
    <x v="2"/>
  </r>
  <r>
    <x v="0"/>
    <n v="1185732"/>
    <x v="357"/>
    <x v="3"/>
    <s v="South Dakota"/>
    <s v="Sioux Falls"/>
    <x v="0"/>
    <n v="49"/>
    <n v="131"/>
    <n v="6419"/>
    <n v="3081.12"/>
    <n v="0.48"/>
    <x v="2"/>
  </r>
  <r>
    <x v="0"/>
    <n v="1185732"/>
    <x v="357"/>
    <x v="3"/>
    <s v="South Dakota"/>
    <s v="Sioux Falls"/>
    <x v="1"/>
    <n v="42"/>
    <n v="78"/>
    <n v="3276"/>
    <n v="1474.1999999999998"/>
    <n v="0.44999999999999996"/>
    <x v="2"/>
  </r>
  <r>
    <x v="0"/>
    <n v="1185732"/>
    <x v="357"/>
    <x v="3"/>
    <s v="South Dakota"/>
    <s v="Sioux Falls"/>
    <x v="2"/>
    <n v="36"/>
    <n v="65"/>
    <n v="2340"/>
    <n v="936"/>
    <n v="0.4"/>
    <x v="2"/>
  </r>
  <r>
    <x v="0"/>
    <n v="1185732"/>
    <x v="357"/>
    <x v="3"/>
    <s v="South Dakota"/>
    <s v="Sioux Falls"/>
    <x v="3"/>
    <n v="38"/>
    <n v="58"/>
    <n v="2204"/>
    <n v="947.72"/>
    <n v="0.43"/>
    <x v="2"/>
  </r>
  <r>
    <x v="0"/>
    <n v="1185732"/>
    <x v="357"/>
    <x v="3"/>
    <s v="South Dakota"/>
    <s v="Sioux Falls"/>
    <x v="4"/>
    <n v="47"/>
    <n v="46"/>
    <n v="2162"/>
    <n v="994.51999999999987"/>
    <n v="0.45999999999999996"/>
    <x v="2"/>
  </r>
  <r>
    <x v="0"/>
    <n v="1185732"/>
    <x v="357"/>
    <x v="3"/>
    <s v="South Dakota"/>
    <s v="Sioux Falls"/>
    <x v="5"/>
    <n v="53"/>
    <n v="88"/>
    <n v="4664"/>
    <n v="2332"/>
    <n v="0.5"/>
    <x v="2"/>
  </r>
  <r>
    <x v="0"/>
    <n v="1185732"/>
    <x v="389"/>
    <x v="3"/>
    <s v="South Dakota"/>
    <s v="Sioux Falls"/>
    <x v="0"/>
    <n v="42"/>
    <n v="138"/>
    <n v="5796"/>
    <n v="2608.1999999999998"/>
    <n v="0.44999999999999996"/>
    <x v="2"/>
  </r>
  <r>
    <x v="0"/>
    <n v="1185732"/>
    <x v="389"/>
    <x v="3"/>
    <s v="South Dakota"/>
    <s v="Sioux Falls"/>
    <x v="1"/>
    <n v="39"/>
    <n v="80"/>
    <n v="3120"/>
    <n v="1248"/>
    <n v="0.4"/>
    <x v="2"/>
  </r>
  <r>
    <x v="0"/>
    <n v="1185732"/>
    <x v="389"/>
    <x v="3"/>
    <s v="South Dakota"/>
    <s v="Sioux Falls"/>
    <x v="2"/>
    <n v="32"/>
    <n v="53"/>
    <n v="1696"/>
    <n v="678.40000000000009"/>
    <n v="0.4"/>
    <x v="2"/>
  </r>
  <r>
    <x v="0"/>
    <n v="1185732"/>
    <x v="389"/>
    <x v="3"/>
    <s v="South Dakota"/>
    <s v="Sioux Falls"/>
    <x v="3"/>
    <n v="34"/>
    <n v="39"/>
    <n v="1326"/>
    <n v="530.4"/>
    <n v="0.4"/>
    <x v="2"/>
  </r>
  <r>
    <x v="0"/>
    <n v="1185732"/>
    <x v="389"/>
    <x v="3"/>
    <s v="South Dakota"/>
    <s v="Sioux Falls"/>
    <x v="4"/>
    <n v="41"/>
    <n v="42"/>
    <n v="1722"/>
    <n v="861"/>
    <n v="0.5"/>
    <x v="2"/>
  </r>
  <r>
    <x v="0"/>
    <n v="1185732"/>
    <x v="389"/>
    <x v="3"/>
    <s v="South Dakota"/>
    <s v="Sioux Falls"/>
    <x v="5"/>
    <n v="46"/>
    <n v="65"/>
    <n v="2990"/>
    <n v="1495"/>
    <n v="0.5"/>
    <x v="2"/>
  </r>
  <r>
    <x v="0"/>
    <n v="1185732"/>
    <x v="418"/>
    <x v="3"/>
    <s v="South Dakota"/>
    <s v="Sioux Falls"/>
    <x v="0"/>
    <n v="54"/>
    <n v="104"/>
    <n v="5616"/>
    <n v="2583.3599999999997"/>
    <n v="0.45999999999999996"/>
    <x v="2"/>
  </r>
  <r>
    <x v="0"/>
    <n v="1185732"/>
    <x v="418"/>
    <x v="3"/>
    <s v="South Dakota"/>
    <s v="Sioux Falls"/>
    <x v="1"/>
    <n v="41"/>
    <n v="75"/>
    <n v="3075"/>
    <n v="1291.5"/>
    <n v="0.42"/>
    <x v="2"/>
  </r>
  <r>
    <x v="0"/>
    <n v="1185732"/>
    <x v="418"/>
    <x v="3"/>
    <s v="South Dakota"/>
    <s v="Sioux Falls"/>
    <x v="2"/>
    <n v="43"/>
    <n v="42"/>
    <n v="1806"/>
    <n v="722.40000000000009"/>
    <n v="0.4"/>
    <x v="2"/>
  </r>
  <r>
    <x v="0"/>
    <n v="1185732"/>
    <x v="418"/>
    <x v="3"/>
    <s v="South Dakota"/>
    <s v="Sioux Falls"/>
    <x v="3"/>
    <n v="43"/>
    <n v="36"/>
    <n v="1548"/>
    <n v="696.59999999999991"/>
    <n v="0.44999999999999996"/>
    <x v="2"/>
  </r>
  <r>
    <x v="0"/>
    <n v="1185732"/>
    <x v="418"/>
    <x v="3"/>
    <s v="South Dakota"/>
    <s v="Sioux Falls"/>
    <x v="4"/>
    <n v="54"/>
    <n v="38"/>
    <n v="2052"/>
    <n v="964.43999999999994"/>
    <n v="0.47"/>
    <x v="2"/>
  </r>
  <r>
    <x v="2"/>
    <n v="1185732"/>
    <x v="418"/>
    <x v="3"/>
    <s v="South Dakota"/>
    <s v="Sioux Falls"/>
    <x v="5"/>
    <n v="55"/>
    <n v="70"/>
    <n v="3850"/>
    <n v="2117.5"/>
    <n v="0.55000000000000004"/>
    <x v="2"/>
  </r>
  <r>
    <x v="2"/>
    <n v="1185732"/>
    <x v="449"/>
    <x v="3"/>
    <s v="South Dakota"/>
    <s v="Sioux Falls"/>
    <x v="0"/>
    <n v="53"/>
    <n v="104"/>
    <n v="5512"/>
    <n v="2700.88"/>
    <n v="0.49"/>
    <x v="2"/>
  </r>
  <r>
    <x v="2"/>
    <n v="1185732"/>
    <x v="449"/>
    <x v="3"/>
    <s v="South Dakota"/>
    <s v="Sioux Falls"/>
    <x v="1"/>
    <n v="41"/>
    <n v="63"/>
    <n v="2583"/>
    <n v="1059.03"/>
    <n v="0.41"/>
    <x v="2"/>
  </r>
  <r>
    <x v="2"/>
    <n v="1185732"/>
    <x v="449"/>
    <x v="3"/>
    <s v="South Dakota"/>
    <s v="Sioux Falls"/>
    <x v="2"/>
    <n v="43"/>
    <n v="57"/>
    <n v="2451"/>
    <n v="1078.44"/>
    <n v="0.44"/>
    <x v="2"/>
  </r>
  <r>
    <x v="2"/>
    <n v="1185732"/>
    <x v="449"/>
    <x v="3"/>
    <s v="South Dakota"/>
    <s v="Sioux Falls"/>
    <x v="3"/>
    <n v="43"/>
    <n v="44"/>
    <n v="1892"/>
    <n v="832.48"/>
    <n v="0.44"/>
    <x v="2"/>
  </r>
  <r>
    <x v="2"/>
    <n v="1185732"/>
    <x v="449"/>
    <x v="3"/>
    <s v="South Dakota"/>
    <s v="Sioux Falls"/>
    <x v="4"/>
    <n v="59"/>
    <n v="45"/>
    <n v="2655"/>
    <n v="1221.3"/>
    <n v="0.45999999999999996"/>
    <x v="2"/>
  </r>
  <r>
    <x v="2"/>
    <n v="1185732"/>
    <x v="449"/>
    <x v="3"/>
    <s v="South Dakota"/>
    <s v="Sioux Falls"/>
    <x v="5"/>
    <n v="61"/>
    <n v="65"/>
    <n v="3965"/>
    <n v="1982.5"/>
    <n v="0.5"/>
    <x v="2"/>
  </r>
  <r>
    <x v="2"/>
    <n v="1185732"/>
    <x v="478"/>
    <x v="3"/>
    <s v="South Dakota"/>
    <s v="Sioux Falls"/>
    <x v="0"/>
    <n v="58"/>
    <n v="140"/>
    <n v="8120"/>
    <n v="3735.2"/>
    <n v="0.45999999999999996"/>
    <x v="2"/>
  </r>
  <r>
    <x v="2"/>
    <n v="1185732"/>
    <x v="478"/>
    <x v="3"/>
    <s v="South Dakota"/>
    <s v="Sioux Falls"/>
    <x v="1"/>
    <n v="45"/>
    <n v="75"/>
    <n v="3375"/>
    <n v="1451.25"/>
    <n v="0.43"/>
    <x v="2"/>
  </r>
  <r>
    <x v="2"/>
    <n v="1185732"/>
    <x v="478"/>
    <x v="3"/>
    <s v="South Dakota"/>
    <s v="Sioux Falls"/>
    <x v="2"/>
    <n v="45"/>
    <n v="73"/>
    <n v="3285"/>
    <n v="1379.7"/>
    <n v="0.42"/>
    <x v="2"/>
  </r>
  <r>
    <x v="2"/>
    <n v="1185732"/>
    <x v="478"/>
    <x v="3"/>
    <s v="South Dakota"/>
    <s v="Sioux Falls"/>
    <x v="3"/>
    <n v="45"/>
    <n v="50"/>
    <n v="2250"/>
    <n v="1012.4999999999999"/>
    <n v="0.44999999999999996"/>
    <x v="2"/>
  </r>
  <r>
    <x v="2"/>
    <n v="1185732"/>
    <x v="478"/>
    <x v="3"/>
    <s v="South Dakota"/>
    <s v="Sioux Falls"/>
    <x v="4"/>
    <n v="56"/>
    <n v="50"/>
    <n v="2800"/>
    <n v="1259.9999999999998"/>
    <n v="0.44999999999999996"/>
    <x v="2"/>
  </r>
  <r>
    <x v="2"/>
    <n v="1185732"/>
    <x v="478"/>
    <x v="3"/>
    <s v="South Dakota"/>
    <s v="Sioux Falls"/>
    <x v="5"/>
    <n v="64"/>
    <n v="75"/>
    <n v="4800"/>
    <n v="2496"/>
    <n v="0.52"/>
    <x v="2"/>
  </r>
  <r>
    <x v="2"/>
    <n v="1185732"/>
    <x v="173"/>
    <x v="3"/>
    <s v="South Dakota"/>
    <s v="Sioux Falls"/>
    <x v="0"/>
    <n v="33"/>
    <n v="128"/>
    <n v="4224"/>
    <n v="1900.7999999999997"/>
    <n v="0.44999999999999996"/>
    <x v="2"/>
  </r>
  <r>
    <x v="2"/>
    <n v="1185732"/>
    <x v="173"/>
    <x v="3"/>
    <s v="South Dakota"/>
    <s v="Sioux Falls"/>
    <x v="1"/>
    <n v="32"/>
    <n v="74"/>
    <n v="2368"/>
    <n v="1041.92"/>
    <n v="0.44"/>
    <x v="2"/>
  </r>
  <r>
    <x v="2"/>
    <n v="1185732"/>
    <x v="173"/>
    <x v="3"/>
    <s v="South Dakota"/>
    <s v="Sioux Falls"/>
    <x v="2"/>
    <n v="25"/>
    <n v="74"/>
    <n v="1850"/>
    <n v="740"/>
    <n v="0.4"/>
    <x v="2"/>
  </r>
  <r>
    <x v="2"/>
    <n v="1185732"/>
    <x v="173"/>
    <x v="3"/>
    <s v="South Dakota"/>
    <s v="Sioux Falls"/>
    <x v="3"/>
    <n v="28"/>
    <n v="33"/>
    <n v="924"/>
    <n v="415.79999999999995"/>
    <n v="0.44999999999999996"/>
    <x v="2"/>
  </r>
  <r>
    <x v="2"/>
    <n v="1185732"/>
    <x v="173"/>
    <x v="3"/>
    <s v="South Dakota"/>
    <s v="Sioux Falls"/>
    <x v="4"/>
    <n v="43"/>
    <n v="49"/>
    <n v="2107"/>
    <n v="1032.43"/>
    <n v="0.49"/>
    <x v="2"/>
  </r>
  <r>
    <x v="2"/>
    <n v="1185732"/>
    <x v="173"/>
    <x v="3"/>
    <s v="South Dakota"/>
    <s v="Sioux Falls"/>
    <x v="5"/>
    <n v="33"/>
    <n v="72"/>
    <n v="2376"/>
    <n v="1211.76"/>
    <n v="0.51"/>
    <x v="2"/>
  </r>
  <r>
    <x v="2"/>
    <n v="1185732"/>
    <x v="204"/>
    <x v="3"/>
    <s v="South Dakota"/>
    <s v="Sioux Falls"/>
    <x v="0"/>
    <n v="34"/>
    <n v="152"/>
    <n v="5168"/>
    <n v="2325.6"/>
    <n v="0.44999999999999996"/>
    <x v="2"/>
  </r>
  <r>
    <x v="2"/>
    <n v="1185732"/>
    <x v="204"/>
    <x v="3"/>
    <s v="South Dakota"/>
    <s v="Sioux Falls"/>
    <x v="1"/>
    <n v="34"/>
    <n v="51"/>
    <n v="1734"/>
    <n v="745.62"/>
    <n v="0.43"/>
    <x v="2"/>
  </r>
  <r>
    <x v="2"/>
    <n v="1185732"/>
    <x v="204"/>
    <x v="3"/>
    <s v="South Dakota"/>
    <s v="Sioux Falls"/>
    <x v="2"/>
    <n v="24"/>
    <n v="68"/>
    <n v="1632"/>
    <n v="685.43999999999994"/>
    <n v="0.42"/>
    <x v="2"/>
  </r>
  <r>
    <x v="2"/>
    <n v="1185732"/>
    <x v="204"/>
    <x v="3"/>
    <s v="North Dakota"/>
    <s v="Fargo"/>
    <x v="3"/>
    <n v="29"/>
    <n v="30"/>
    <n v="870"/>
    <n v="391.49999999999994"/>
    <n v="0.44999999999999996"/>
    <x v="2"/>
  </r>
  <r>
    <x v="2"/>
    <n v="1185732"/>
    <x v="204"/>
    <x v="3"/>
    <s v="North Dakota"/>
    <s v="Fargo"/>
    <x v="4"/>
    <n v="42"/>
    <n v="51"/>
    <n v="2142"/>
    <n v="1049.58"/>
    <n v="0.49"/>
    <x v="2"/>
  </r>
  <r>
    <x v="2"/>
    <n v="1185732"/>
    <x v="204"/>
    <x v="3"/>
    <s v="North Dakota"/>
    <s v="Fargo"/>
    <x v="5"/>
    <n v="23"/>
    <n v="69"/>
    <n v="1587"/>
    <n v="809.37"/>
    <n v="0.51"/>
    <x v="2"/>
  </r>
  <r>
    <x v="2"/>
    <n v="1185732"/>
    <x v="710"/>
    <x v="3"/>
    <s v="North Dakota"/>
    <s v="Fargo"/>
    <x v="0"/>
    <n v="29"/>
    <n v="134"/>
    <n v="3886"/>
    <n v="1826.4199999999998"/>
    <n v="0.47"/>
    <x v="2"/>
  </r>
  <r>
    <x v="2"/>
    <n v="1185732"/>
    <x v="710"/>
    <x v="3"/>
    <s v="North Dakota"/>
    <s v="Fargo"/>
    <x v="1"/>
    <n v="27"/>
    <n v="58"/>
    <n v="1566"/>
    <n v="657.72"/>
    <n v="0.42"/>
    <x v="2"/>
  </r>
  <r>
    <x v="2"/>
    <n v="1185732"/>
    <x v="710"/>
    <x v="3"/>
    <s v="North Dakota"/>
    <s v="Fargo"/>
    <x v="2"/>
    <n v="19"/>
    <n v="56"/>
    <n v="1064"/>
    <n v="446.88"/>
    <n v="0.42"/>
    <x v="2"/>
  </r>
  <r>
    <x v="2"/>
    <n v="1185732"/>
    <x v="710"/>
    <x v="3"/>
    <s v="North Dakota"/>
    <s v="Fargo"/>
    <x v="3"/>
    <n v="25"/>
    <n v="22"/>
    <n v="550"/>
    <n v="231"/>
    <n v="0.42"/>
    <x v="2"/>
  </r>
  <r>
    <x v="2"/>
    <n v="1185732"/>
    <x v="710"/>
    <x v="3"/>
    <s v="North Dakota"/>
    <s v="Fargo"/>
    <x v="4"/>
    <n v="36"/>
    <n v="36"/>
    <n v="1296"/>
    <n v="648"/>
    <n v="0.5"/>
    <x v="2"/>
  </r>
  <r>
    <x v="2"/>
    <n v="1185732"/>
    <x v="710"/>
    <x v="3"/>
    <s v="North Dakota"/>
    <s v="Fargo"/>
    <x v="5"/>
    <n v="28"/>
    <n v="63"/>
    <n v="1764"/>
    <n v="917.28000000000009"/>
    <n v="0.52"/>
    <x v="2"/>
  </r>
  <r>
    <x v="2"/>
    <n v="1185732"/>
    <x v="232"/>
    <x v="3"/>
    <s v="North Dakota"/>
    <s v="Fargo"/>
    <x v="0"/>
    <n v="28"/>
    <n v="113"/>
    <n v="3164"/>
    <n v="1550.36"/>
    <n v="0.49"/>
    <x v="2"/>
  </r>
  <r>
    <x v="2"/>
    <n v="1185732"/>
    <x v="232"/>
    <x v="3"/>
    <s v="North Dakota"/>
    <s v="Fargo"/>
    <x v="1"/>
    <n v="28"/>
    <n v="44"/>
    <n v="1232"/>
    <n v="529.76"/>
    <n v="0.43"/>
    <x v="2"/>
  </r>
  <r>
    <x v="2"/>
    <n v="1185732"/>
    <x v="232"/>
    <x v="3"/>
    <s v="North Dakota"/>
    <s v="Fargo"/>
    <x v="2"/>
    <n v="19"/>
    <n v="41"/>
    <n v="779"/>
    <n v="327.18"/>
    <n v="0.42"/>
    <x v="2"/>
  </r>
  <r>
    <x v="2"/>
    <n v="1185732"/>
    <x v="232"/>
    <x v="3"/>
    <s v="North Dakota"/>
    <s v="Fargo"/>
    <x v="3"/>
    <n v="24"/>
    <n v="22"/>
    <n v="528"/>
    <n v="227.04"/>
    <n v="0.43"/>
    <x v="2"/>
  </r>
  <r>
    <x v="2"/>
    <n v="1185732"/>
    <x v="232"/>
    <x v="3"/>
    <s v="North Dakota"/>
    <s v="Fargo"/>
    <x v="4"/>
    <n v="58"/>
    <n v="30"/>
    <n v="1740"/>
    <n v="835.19999999999993"/>
    <n v="0.48"/>
    <x v="2"/>
  </r>
  <r>
    <x v="2"/>
    <n v="1185732"/>
    <x v="232"/>
    <x v="3"/>
    <s v="North Dakota"/>
    <s v="Fargo"/>
    <x v="5"/>
    <n v="49"/>
    <n v="68"/>
    <n v="3332"/>
    <n v="1765.96"/>
    <n v="0.53"/>
    <x v="2"/>
  </r>
  <r>
    <x v="2"/>
    <n v="1185732"/>
    <x v="263"/>
    <x v="3"/>
    <s v="North Dakota"/>
    <s v="Fargo"/>
    <x v="0"/>
    <n v="55"/>
    <n v="129"/>
    <n v="7095"/>
    <n v="3405.6"/>
    <n v="0.48"/>
    <x v="2"/>
  </r>
  <r>
    <x v="2"/>
    <n v="1185732"/>
    <x v="263"/>
    <x v="3"/>
    <s v="North Dakota"/>
    <s v="Fargo"/>
    <x v="1"/>
    <n v="41"/>
    <n v="54"/>
    <n v="2214"/>
    <n v="974.16"/>
    <n v="0.44"/>
    <x v="2"/>
  </r>
  <r>
    <x v="2"/>
    <n v="1185732"/>
    <x v="263"/>
    <x v="3"/>
    <s v="North Dakota"/>
    <s v="Fargo"/>
    <x v="2"/>
    <n v="37"/>
    <n v="51"/>
    <n v="1887"/>
    <n v="811.41"/>
    <n v="0.43"/>
    <x v="2"/>
  </r>
  <r>
    <x v="2"/>
    <n v="1185732"/>
    <x v="263"/>
    <x v="3"/>
    <s v="North Dakota"/>
    <s v="Fargo"/>
    <x v="3"/>
    <n v="36"/>
    <n v="26"/>
    <n v="936"/>
    <n v="411.84"/>
    <n v="0.44"/>
    <x v="2"/>
  </r>
  <r>
    <x v="2"/>
    <n v="1185732"/>
    <x v="263"/>
    <x v="3"/>
    <s v="North Dakota"/>
    <s v="Fargo"/>
    <x v="4"/>
    <n v="46"/>
    <n v="31"/>
    <n v="1426"/>
    <n v="684.48"/>
    <n v="0.48"/>
    <x v="2"/>
  </r>
  <r>
    <x v="2"/>
    <n v="1185732"/>
    <x v="263"/>
    <x v="3"/>
    <s v="North Dakota"/>
    <s v="Fargo"/>
    <x v="5"/>
    <n v="52"/>
    <n v="75"/>
    <n v="3900"/>
    <n v="1989"/>
    <n v="0.51"/>
    <x v="2"/>
  </r>
  <r>
    <x v="2"/>
    <n v="1185732"/>
    <x v="293"/>
    <x v="3"/>
    <s v="North Dakota"/>
    <s v="Fargo"/>
    <x v="0"/>
    <n v="36"/>
    <n v="125"/>
    <n v="4500"/>
    <n v="2024.9999999999998"/>
    <n v="0.44999999999999996"/>
    <x v="2"/>
  </r>
  <r>
    <x v="2"/>
    <n v="1185732"/>
    <x v="293"/>
    <x v="3"/>
    <s v="North Dakota"/>
    <s v="Fargo"/>
    <x v="1"/>
    <n v="32"/>
    <n v="65"/>
    <n v="2080"/>
    <n v="894.4"/>
    <n v="0.43"/>
    <x v="2"/>
  </r>
  <r>
    <x v="2"/>
    <n v="1185732"/>
    <x v="293"/>
    <x v="3"/>
    <s v="North Dakota"/>
    <s v="Fargo"/>
    <x v="2"/>
    <n v="27"/>
    <n v="60"/>
    <n v="1620"/>
    <n v="648"/>
    <n v="0.4"/>
    <x v="2"/>
  </r>
  <r>
    <x v="2"/>
    <n v="1185732"/>
    <x v="293"/>
    <x v="3"/>
    <s v="North Dakota"/>
    <s v="Fargo"/>
    <x v="3"/>
    <n v="29"/>
    <n v="51"/>
    <n v="1479"/>
    <n v="621.17999999999995"/>
    <n v="0.42"/>
    <x v="2"/>
  </r>
  <r>
    <x v="2"/>
    <n v="1185732"/>
    <x v="293"/>
    <x v="3"/>
    <s v="North Dakota"/>
    <s v="Fargo"/>
    <x v="4"/>
    <n v="38"/>
    <n v="47"/>
    <n v="1786"/>
    <n v="821.56"/>
    <n v="0.45999999999999996"/>
    <x v="2"/>
  </r>
  <r>
    <x v="2"/>
    <n v="1185732"/>
    <x v="293"/>
    <x v="3"/>
    <s v="North Dakota"/>
    <s v="Fargo"/>
    <x v="5"/>
    <n v="51"/>
    <n v="91"/>
    <n v="4641"/>
    <n v="2506.1400000000003"/>
    <n v="0.54"/>
    <x v="2"/>
  </r>
  <r>
    <x v="2"/>
    <n v="1185732"/>
    <x v="322"/>
    <x v="3"/>
    <s v="North Dakota"/>
    <s v="Fargo"/>
    <x v="0"/>
    <n v="48"/>
    <n v="160"/>
    <n v="7680"/>
    <n v="3763.2"/>
    <n v="0.49"/>
    <x v="2"/>
  </r>
  <r>
    <x v="2"/>
    <n v="1185732"/>
    <x v="322"/>
    <x v="3"/>
    <s v="North Dakota"/>
    <s v="Fargo"/>
    <x v="1"/>
    <n v="44"/>
    <n v="84"/>
    <n v="3696"/>
    <n v="1589.28"/>
    <n v="0.43"/>
    <x v="2"/>
  </r>
  <r>
    <x v="2"/>
    <n v="1185732"/>
    <x v="322"/>
    <x v="3"/>
    <s v="North Dakota"/>
    <s v="Fargo"/>
    <x v="2"/>
    <n v="37"/>
    <n v="59"/>
    <n v="2183"/>
    <n v="873.2"/>
    <n v="0.4"/>
    <x v="2"/>
  </r>
  <r>
    <x v="2"/>
    <n v="1185732"/>
    <x v="322"/>
    <x v="3"/>
    <s v="North Dakota"/>
    <s v="Fargo"/>
    <x v="3"/>
    <n v="38"/>
    <n v="53"/>
    <n v="2014"/>
    <n v="866.02"/>
    <n v="0.43"/>
    <x v="2"/>
  </r>
  <r>
    <x v="2"/>
    <n v="1185732"/>
    <x v="322"/>
    <x v="3"/>
    <s v="North Dakota"/>
    <s v="Fargo"/>
    <x v="4"/>
    <n v="49"/>
    <n v="60"/>
    <n v="2940"/>
    <n v="1352.3999999999999"/>
    <n v="0.45999999999999996"/>
    <x v="2"/>
  </r>
  <r>
    <x v="2"/>
    <n v="1185732"/>
    <x v="322"/>
    <x v="3"/>
    <s v="North Dakota"/>
    <s v="Fargo"/>
    <x v="5"/>
    <n v="54"/>
    <n v="98"/>
    <n v="5292"/>
    <n v="2857.6800000000003"/>
    <n v="0.54"/>
    <x v="2"/>
  </r>
  <r>
    <x v="2"/>
    <n v="1185732"/>
    <x v="354"/>
    <x v="3"/>
    <s v="North Dakota"/>
    <s v="Fargo"/>
    <x v="0"/>
    <n v="46"/>
    <n v="147"/>
    <n v="6762"/>
    <n v="3313.38"/>
    <n v="0.49"/>
    <x v="2"/>
  </r>
  <r>
    <x v="2"/>
    <n v="1185732"/>
    <x v="354"/>
    <x v="3"/>
    <s v="North Dakota"/>
    <s v="Fargo"/>
    <x v="1"/>
    <n v="42"/>
    <n v="90"/>
    <n v="3780"/>
    <n v="1512"/>
    <n v="0.4"/>
    <x v="2"/>
  </r>
  <r>
    <x v="2"/>
    <n v="1185732"/>
    <x v="354"/>
    <x v="3"/>
    <s v="North Dakota"/>
    <s v="Fargo"/>
    <x v="2"/>
    <n v="37"/>
    <n v="63"/>
    <n v="2331"/>
    <n v="955.70999999999992"/>
    <n v="0.41"/>
    <x v="2"/>
  </r>
  <r>
    <x v="2"/>
    <n v="1185732"/>
    <x v="354"/>
    <x v="3"/>
    <s v="North Dakota"/>
    <s v="Fargo"/>
    <x v="3"/>
    <n v="38"/>
    <n v="52"/>
    <n v="1976"/>
    <n v="810.16"/>
    <n v="0.41"/>
    <x v="2"/>
  </r>
  <r>
    <x v="2"/>
    <n v="1185732"/>
    <x v="354"/>
    <x v="3"/>
    <s v="North Dakota"/>
    <s v="Fargo"/>
    <x v="4"/>
    <n v="46"/>
    <n v="44"/>
    <n v="2024"/>
    <n v="931.04"/>
    <n v="0.45999999999999996"/>
    <x v="2"/>
  </r>
  <r>
    <x v="2"/>
    <n v="1185732"/>
    <x v="354"/>
    <x v="3"/>
    <s v="North Dakota"/>
    <s v="Fargo"/>
    <x v="5"/>
    <n v="54"/>
    <n v="95"/>
    <n v="5130"/>
    <n v="2718.9"/>
    <n v="0.53"/>
    <x v="2"/>
  </r>
  <r>
    <x v="2"/>
    <n v="1185732"/>
    <x v="386"/>
    <x v="3"/>
    <s v="North Dakota"/>
    <s v="Fargo"/>
    <x v="0"/>
    <n v="36"/>
    <n v="133"/>
    <n v="4788"/>
    <n v="2394"/>
    <n v="0.5"/>
    <x v="2"/>
  </r>
  <r>
    <x v="2"/>
    <n v="1185732"/>
    <x v="386"/>
    <x v="3"/>
    <s v="North Dakota"/>
    <s v="Fargo"/>
    <x v="1"/>
    <n v="34"/>
    <n v="72"/>
    <n v="2448"/>
    <n v="1052.6399999999999"/>
    <n v="0.43"/>
    <x v="2"/>
  </r>
  <r>
    <x v="2"/>
    <n v="1185732"/>
    <x v="386"/>
    <x v="3"/>
    <s v="North Dakota"/>
    <s v="Fargo"/>
    <x v="2"/>
    <n v="27"/>
    <n v="51"/>
    <n v="1377"/>
    <n v="605.88"/>
    <n v="0.44"/>
    <x v="2"/>
  </r>
  <r>
    <x v="2"/>
    <n v="1185732"/>
    <x v="386"/>
    <x v="3"/>
    <s v="North Dakota"/>
    <s v="Fargo"/>
    <x v="3"/>
    <n v="28"/>
    <n v="44"/>
    <n v="1232"/>
    <n v="505.11999999999995"/>
    <n v="0.41"/>
    <x v="2"/>
  </r>
  <r>
    <x v="2"/>
    <n v="1185732"/>
    <x v="386"/>
    <x v="3"/>
    <s v="North Dakota"/>
    <s v="Fargo"/>
    <x v="4"/>
    <n v="36"/>
    <n v="42"/>
    <n v="1512"/>
    <n v="740.88"/>
    <n v="0.49"/>
    <x v="2"/>
  </r>
  <r>
    <x v="2"/>
    <n v="1185732"/>
    <x v="386"/>
    <x v="3"/>
    <s v="North Dakota"/>
    <s v="Fargo"/>
    <x v="5"/>
    <n v="44"/>
    <n v="63"/>
    <n v="2772"/>
    <n v="1524.6000000000001"/>
    <n v="0.55000000000000004"/>
    <x v="2"/>
  </r>
  <r>
    <x v="2"/>
    <n v="1185732"/>
    <x v="415"/>
    <x v="3"/>
    <s v="North Dakota"/>
    <s v="Fargo"/>
    <x v="0"/>
    <n v="49"/>
    <n v="116"/>
    <n v="5684"/>
    <n v="2671.48"/>
    <n v="0.47"/>
    <x v="2"/>
  </r>
  <r>
    <x v="2"/>
    <n v="1185732"/>
    <x v="415"/>
    <x v="3"/>
    <s v="North Dakota"/>
    <s v="Fargo"/>
    <x v="1"/>
    <n v="36"/>
    <n v="73"/>
    <n v="2628"/>
    <n v="1077.48"/>
    <n v="0.41"/>
    <x v="2"/>
  </r>
  <r>
    <x v="2"/>
    <n v="1185732"/>
    <x v="415"/>
    <x v="3"/>
    <s v="North Dakota"/>
    <s v="Fargo"/>
    <x v="2"/>
    <n v="39"/>
    <n v="39"/>
    <n v="1521"/>
    <n v="669.24"/>
    <n v="0.44"/>
    <x v="2"/>
  </r>
  <r>
    <x v="2"/>
    <n v="1185732"/>
    <x v="415"/>
    <x v="3"/>
    <s v="North Dakota"/>
    <s v="Fargo"/>
    <x v="3"/>
    <n v="38"/>
    <n v="33"/>
    <n v="1254"/>
    <n v="501.6"/>
    <n v="0.4"/>
    <x v="2"/>
  </r>
  <r>
    <x v="2"/>
    <n v="1185732"/>
    <x v="415"/>
    <x v="3"/>
    <s v="North Dakota"/>
    <s v="Fargo"/>
    <x v="4"/>
    <n v="45"/>
    <n v="34"/>
    <n v="1530"/>
    <n v="719.09999999999991"/>
    <n v="0.47"/>
    <x v="2"/>
  </r>
  <r>
    <x v="0"/>
    <n v="1185732"/>
    <x v="415"/>
    <x v="3"/>
    <s v="North Dakota"/>
    <s v="Fargo"/>
    <x v="5"/>
    <n v="53"/>
    <n v="73"/>
    <n v="3869"/>
    <n v="2050.5700000000002"/>
    <n v="0.53"/>
    <x v="2"/>
  </r>
  <r>
    <x v="0"/>
    <n v="1185732"/>
    <x v="446"/>
    <x v="3"/>
    <s v="North Dakota"/>
    <s v="Fargo"/>
    <x v="0"/>
    <n v="49"/>
    <n v="120"/>
    <n v="5880"/>
    <n v="2940"/>
    <n v="0.5"/>
    <x v="2"/>
  </r>
  <r>
    <x v="0"/>
    <n v="1185732"/>
    <x v="446"/>
    <x v="3"/>
    <s v="North Dakota"/>
    <s v="Fargo"/>
    <x v="1"/>
    <n v="36"/>
    <n v="73"/>
    <n v="2628"/>
    <n v="1182.5999999999999"/>
    <n v="0.44999999999999996"/>
    <x v="2"/>
  </r>
  <r>
    <x v="0"/>
    <n v="1185732"/>
    <x v="446"/>
    <x v="3"/>
    <s v="North Dakota"/>
    <s v="Fargo"/>
    <x v="2"/>
    <n v="39"/>
    <n v="53"/>
    <n v="2067"/>
    <n v="909.48"/>
    <n v="0.44"/>
    <x v="2"/>
  </r>
  <r>
    <x v="0"/>
    <n v="1185732"/>
    <x v="446"/>
    <x v="3"/>
    <s v="North Dakota"/>
    <s v="Fargo"/>
    <x v="3"/>
    <n v="39"/>
    <n v="47"/>
    <n v="1833"/>
    <n v="788.18999999999994"/>
    <n v="0.43"/>
    <x v="2"/>
  </r>
  <r>
    <x v="0"/>
    <n v="1185732"/>
    <x v="446"/>
    <x v="3"/>
    <s v="North Dakota"/>
    <s v="Fargo"/>
    <x v="4"/>
    <n v="55"/>
    <n v="44"/>
    <n v="2420"/>
    <n v="1089"/>
    <n v="0.44999999999999996"/>
    <x v="2"/>
  </r>
  <r>
    <x v="0"/>
    <n v="1185732"/>
    <x v="446"/>
    <x v="3"/>
    <s v="North Dakota"/>
    <s v="Fargo"/>
    <x v="5"/>
    <n v="60"/>
    <n v="65"/>
    <n v="3900"/>
    <n v="1989"/>
    <n v="0.51"/>
    <x v="2"/>
  </r>
  <r>
    <x v="0"/>
    <n v="1185732"/>
    <x v="475"/>
    <x v="3"/>
    <s v="North Dakota"/>
    <s v="Fargo"/>
    <x v="0"/>
    <n v="55"/>
    <n v="150"/>
    <n v="8250"/>
    <n v="3794.9999999999995"/>
    <n v="0.45999999999999996"/>
    <x v="2"/>
  </r>
  <r>
    <x v="0"/>
    <n v="1185732"/>
    <x v="475"/>
    <x v="3"/>
    <s v="North Dakota"/>
    <s v="Fargo"/>
    <x v="1"/>
    <n v="46"/>
    <n v="75"/>
    <n v="3450"/>
    <n v="1552.4999999999998"/>
    <n v="0.44999999999999996"/>
    <x v="2"/>
  </r>
  <r>
    <x v="0"/>
    <n v="1185732"/>
    <x v="475"/>
    <x v="3"/>
    <s v="North Dakota"/>
    <s v="Fargo"/>
    <x v="2"/>
    <n v="48"/>
    <n v="73"/>
    <n v="3504"/>
    <n v="1576.8"/>
    <n v="0.44999999999999996"/>
    <x v="2"/>
  </r>
  <r>
    <x v="0"/>
    <n v="1185732"/>
    <x v="475"/>
    <x v="3"/>
    <s v="North Dakota"/>
    <s v="Fargo"/>
    <x v="3"/>
    <n v="47"/>
    <n v="54"/>
    <n v="2538"/>
    <n v="1040.58"/>
    <n v="0.41"/>
    <x v="2"/>
  </r>
  <r>
    <x v="0"/>
    <n v="1185732"/>
    <x v="475"/>
    <x v="3"/>
    <s v="North Dakota"/>
    <s v="Fargo"/>
    <x v="4"/>
    <n v="58"/>
    <n v="54"/>
    <n v="3132"/>
    <n v="1409.3999999999999"/>
    <n v="0.44999999999999996"/>
    <x v="2"/>
  </r>
  <r>
    <x v="0"/>
    <n v="1185732"/>
    <x v="475"/>
    <x v="3"/>
    <s v="North Dakota"/>
    <s v="Fargo"/>
    <x v="5"/>
    <n v="63"/>
    <n v="78"/>
    <n v="4914"/>
    <n v="2604.42"/>
    <n v="0.53"/>
    <x v="2"/>
  </r>
  <r>
    <x v="0"/>
    <n v="1185732"/>
    <x v="170"/>
    <x v="3"/>
    <s v="North Dakota"/>
    <s v="Fargo"/>
    <x v="0"/>
    <n v="27"/>
    <n v="113"/>
    <n v="3051"/>
    <n v="1372.9499999999998"/>
    <n v="0.44999999999999996"/>
    <x v="2"/>
  </r>
  <r>
    <x v="0"/>
    <n v="1185732"/>
    <x v="170"/>
    <x v="3"/>
    <s v="North Dakota"/>
    <s v="Fargo"/>
    <x v="1"/>
    <n v="29"/>
    <n v="70"/>
    <n v="2030"/>
    <n v="933.8"/>
    <n v="0.45999999999999996"/>
    <x v="2"/>
  </r>
  <r>
    <x v="0"/>
    <n v="1185732"/>
    <x v="170"/>
    <x v="3"/>
    <s v="North Dakota"/>
    <s v="Fargo"/>
    <x v="2"/>
    <n v="19"/>
    <n v="68"/>
    <n v="1292"/>
    <n v="581.4"/>
    <n v="0.44999999999999996"/>
    <x v="2"/>
  </r>
  <r>
    <x v="0"/>
    <n v="1185732"/>
    <x v="170"/>
    <x v="3"/>
    <s v="North Dakota"/>
    <s v="Fargo"/>
    <x v="3"/>
    <n v="24"/>
    <n v="26"/>
    <n v="624"/>
    <n v="280.79999999999995"/>
    <n v="0.44999999999999996"/>
    <x v="2"/>
  </r>
  <r>
    <x v="0"/>
    <n v="1185732"/>
    <x v="170"/>
    <x v="3"/>
    <s v="North Dakota"/>
    <s v="Fargo"/>
    <x v="4"/>
    <n v="38"/>
    <n v="42"/>
    <n v="1596"/>
    <n v="1005.48"/>
    <n v="0.63"/>
    <x v="2"/>
  </r>
  <r>
    <x v="0"/>
    <n v="1185732"/>
    <x v="170"/>
    <x v="3"/>
    <s v="North Dakota"/>
    <s v="Fargo"/>
    <x v="5"/>
    <n v="28"/>
    <n v="75"/>
    <n v="2100"/>
    <n v="1092"/>
    <n v="0.52"/>
    <x v="2"/>
  </r>
  <r>
    <x v="0"/>
    <n v="1185732"/>
    <x v="201"/>
    <x v="3"/>
    <s v="North Dakota"/>
    <s v="Fargo"/>
    <x v="0"/>
    <n v="28"/>
    <n v="145"/>
    <n v="4060"/>
    <n v="1786.4"/>
    <n v="0.44"/>
    <x v="2"/>
  </r>
  <r>
    <x v="0"/>
    <n v="1185732"/>
    <x v="201"/>
    <x v="3"/>
    <s v="North Dakota"/>
    <s v="Fargo"/>
    <x v="1"/>
    <n v="28"/>
    <n v="45"/>
    <n v="1260"/>
    <n v="579.59999999999991"/>
    <n v="0.45999999999999996"/>
    <x v="2"/>
  </r>
  <r>
    <x v="0"/>
    <n v="1185732"/>
    <x v="201"/>
    <x v="3"/>
    <s v="North Dakota"/>
    <s v="Fargo"/>
    <x v="2"/>
    <n v="19"/>
    <n v="56"/>
    <n v="1064"/>
    <n v="436.23999999999995"/>
    <n v="0.41"/>
    <x v="2"/>
  </r>
  <r>
    <x v="0"/>
    <n v="1185732"/>
    <x v="201"/>
    <x v="3"/>
    <s v="Iowa"/>
    <s v="Des Moines"/>
    <x v="3"/>
    <n v="25"/>
    <n v="23"/>
    <n v="575"/>
    <n v="253"/>
    <n v="0.44"/>
    <x v="2"/>
  </r>
  <r>
    <x v="0"/>
    <n v="1185732"/>
    <x v="201"/>
    <x v="3"/>
    <s v="Iowa"/>
    <s v="Des Moines"/>
    <x v="4"/>
    <n v="38"/>
    <n v="38"/>
    <n v="1444"/>
    <n v="938.6"/>
    <n v="0.65"/>
    <x v="2"/>
  </r>
  <r>
    <x v="0"/>
    <n v="1185732"/>
    <x v="201"/>
    <x v="3"/>
    <s v="Iowa"/>
    <s v="Des Moines"/>
    <x v="5"/>
    <n v="14"/>
    <n v="68"/>
    <n v="952"/>
    <n v="514.08000000000004"/>
    <n v="0.54"/>
    <x v="2"/>
  </r>
  <r>
    <x v="0"/>
    <n v="1185732"/>
    <x v="707"/>
    <x v="3"/>
    <s v="Iowa"/>
    <s v="Des Moines"/>
    <x v="0"/>
    <n v="19"/>
    <n v="136"/>
    <n v="2584"/>
    <n v="1033.6000000000001"/>
    <n v="0.4"/>
    <x v="2"/>
  </r>
  <r>
    <x v="0"/>
    <n v="1185732"/>
    <x v="707"/>
    <x v="3"/>
    <s v="Iowa"/>
    <s v="Des Moines"/>
    <x v="1"/>
    <n v="19"/>
    <n v="47"/>
    <n v="893"/>
    <n v="401.84999999999997"/>
    <n v="0.44999999999999996"/>
    <x v="2"/>
  </r>
  <r>
    <x v="0"/>
    <n v="1185732"/>
    <x v="707"/>
    <x v="3"/>
    <s v="Iowa"/>
    <s v="Des Moines"/>
    <x v="2"/>
    <n v="9"/>
    <n v="65"/>
    <n v="585"/>
    <n v="234"/>
    <n v="0.4"/>
    <x v="2"/>
  </r>
  <r>
    <x v="0"/>
    <n v="1185732"/>
    <x v="707"/>
    <x v="3"/>
    <s v="Iowa"/>
    <s v="Des Moines"/>
    <x v="3"/>
    <n v="14"/>
    <n v="28"/>
    <n v="392"/>
    <n v="164.64"/>
    <n v="0.42"/>
    <x v="2"/>
  </r>
  <r>
    <x v="0"/>
    <n v="1185732"/>
    <x v="707"/>
    <x v="3"/>
    <s v="Iowa"/>
    <s v="Des Moines"/>
    <x v="4"/>
    <n v="28"/>
    <n v="39"/>
    <n v="1092"/>
    <n v="698.88"/>
    <n v="0.64"/>
    <x v="2"/>
  </r>
  <r>
    <x v="0"/>
    <n v="1185732"/>
    <x v="707"/>
    <x v="3"/>
    <s v="Iowa"/>
    <s v="Des Moines"/>
    <x v="5"/>
    <n v="20"/>
    <n v="68"/>
    <n v="1360"/>
    <n v="720.80000000000007"/>
    <n v="0.53"/>
    <x v="2"/>
  </r>
  <r>
    <x v="0"/>
    <n v="1185732"/>
    <x v="229"/>
    <x v="3"/>
    <s v="Iowa"/>
    <s v="Des Moines"/>
    <x v="0"/>
    <n v="20"/>
    <n v="124"/>
    <n v="2480"/>
    <n v="1116"/>
    <n v="0.44999999999999996"/>
    <x v="2"/>
  </r>
  <r>
    <x v="0"/>
    <n v="1185732"/>
    <x v="229"/>
    <x v="3"/>
    <s v="Iowa"/>
    <s v="Des Moines"/>
    <x v="1"/>
    <n v="18"/>
    <n v="49"/>
    <n v="882"/>
    <n v="432.18"/>
    <n v="0.49"/>
    <x v="2"/>
  </r>
  <r>
    <x v="0"/>
    <n v="1185732"/>
    <x v="229"/>
    <x v="3"/>
    <s v="Iowa"/>
    <s v="Des Moines"/>
    <x v="2"/>
    <n v="10"/>
    <n v="53"/>
    <n v="530"/>
    <n v="233.2"/>
    <n v="0.44"/>
    <x v="2"/>
  </r>
  <r>
    <x v="0"/>
    <n v="1185732"/>
    <x v="229"/>
    <x v="3"/>
    <s v="Iowa"/>
    <s v="Des Moines"/>
    <x v="3"/>
    <n v="15"/>
    <n v="28"/>
    <n v="420"/>
    <n v="188.99999999999997"/>
    <n v="0.44999999999999996"/>
    <x v="2"/>
  </r>
  <r>
    <x v="0"/>
    <n v="1185732"/>
    <x v="229"/>
    <x v="3"/>
    <s v="Iowa"/>
    <s v="Des Moines"/>
    <x v="4"/>
    <n v="55"/>
    <n v="34"/>
    <n v="1870"/>
    <n v="1140.7"/>
    <n v="0.61"/>
    <x v="2"/>
  </r>
  <r>
    <x v="0"/>
    <n v="1185732"/>
    <x v="229"/>
    <x v="3"/>
    <s v="Iowa"/>
    <s v="Des Moines"/>
    <x v="5"/>
    <n v="46"/>
    <n v="63"/>
    <n v="2898"/>
    <n v="1506.96"/>
    <n v="0.52"/>
    <x v="2"/>
  </r>
  <r>
    <x v="0"/>
    <n v="1185732"/>
    <x v="260"/>
    <x v="3"/>
    <s v="Iowa"/>
    <s v="Des Moines"/>
    <x v="0"/>
    <n v="57"/>
    <n v="146"/>
    <n v="8322"/>
    <n v="3495.24"/>
    <n v="0.42"/>
    <x v="2"/>
  </r>
  <r>
    <x v="0"/>
    <n v="1185732"/>
    <x v="260"/>
    <x v="3"/>
    <s v="Iowa"/>
    <s v="Des Moines"/>
    <x v="1"/>
    <n v="37"/>
    <n v="63"/>
    <n v="2331"/>
    <n v="1072.26"/>
    <n v="0.45999999999999996"/>
    <x v="2"/>
  </r>
  <r>
    <x v="0"/>
    <n v="1185732"/>
    <x v="260"/>
    <x v="3"/>
    <s v="Iowa"/>
    <s v="Des Moines"/>
    <x v="2"/>
    <n v="33"/>
    <n v="54"/>
    <n v="1782"/>
    <n v="730.62"/>
    <n v="0.41"/>
    <x v="2"/>
  </r>
  <r>
    <x v="0"/>
    <n v="1185732"/>
    <x v="260"/>
    <x v="3"/>
    <s v="Iowa"/>
    <s v="Des Moines"/>
    <x v="3"/>
    <n v="33"/>
    <n v="34"/>
    <n v="1122"/>
    <n v="493.68"/>
    <n v="0.44"/>
    <x v="2"/>
  </r>
  <r>
    <x v="0"/>
    <n v="1185732"/>
    <x v="260"/>
    <x v="3"/>
    <s v="Iowa"/>
    <s v="Des Moines"/>
    <x v="4"/>
    <n v="43"/>
    <n v="42"/>
    <n v="1806"/>
    <n v="1173.9000000000001"/>
    <n v="0.65"/>
    <x v="2"/>
  </r>
  <r>
    <x v="0"/>
    <n v="1185732"/>
    <x v="260"/>
    <x v="3"/>
    <s v="Iowa"/>
    <s v="Des Moines"/>
    <x v="5"/>
    <n v="46"/>
    <n v="69"/>
    <n v="3174"/>
    <n v="1650.48"/>
    <n v="0.52"/>
    <x v="2"/>
  </r>
  <r>
    <x v="0"/>
    <n v="1185732"/>
    <x v="290"/>
    <x v="3"/>
    <s v="Iowa"/>
    <s v="Des Moines"/>
    <x v="0"/>
    <n v="32"/>
    <n v="137"/>
    <n v="4384"/>
    <n v="1841.28"/>
    <n v="0.42"/>
    <x v="2"/>
  </r>
  <r>
    <x v="0"/>
    <n v="1185732"/>
    <x v="290"/>
    <x v="3"/>
    <s v="Iowa"/>
    <s v="Des Moines"/>
    <x v="1"/>
    <n v="28"/>
    <n v="77"/>
    <n v="2156"/>
    <n v="1034.8799999999999"/>
    <n v="0.48"/>
    <x v="2"/>
  </r>
  <r>
    <x v="0"/>
    <n v="1185732"/>
    <x v="290"/>
    <x v="3"/>
    <s v="Iowa"/>
    <s v="Des Moines"/>
    <x v="2"/>
    <n v="23"/>
    <n v="50"/>
    <n v="1150"/>
    <n v="517.5"/>
    <n v="0.44999999999999996"/>
    <x v="2"/>
  </r>
  <r>
    <x v="0"/>
    <n v="1185732"/>
    <x v="290"/>
    <x v="3"/>
    <s v="Iowa"/>
    <s v="Des Moines"/>
    <x v="3"/>
    <n v="24"/>
    <n v="44"/>
    <n v="1056"/>
    <n v="464.64"/>
    <n v="0.44"/>
    <x v="2"/>
  </r>
  <r>
    <x v="0"/>
    <n v="1185732"/>
    <x v="290"/>
    <x v="3"/>
    <s v="Iowa"/>
    <s v="Des Moines"/>
    <x v="4"/>
    <n v="34"/>
    <n v="44"/>
    <n v="1496"/>
    <n v="957.44"/>
    <n v="0.64"/>
    <x v="2"/>
  </r>
  <r>
    <x v="0"/>
    <n v="1185732"/>
    <x v="290"/>
    <x v="3"/>
    <s v="Iowa"/>
    <s v="Des Moines"/>
    <x v="5"/>
    <n v="51"/>
    <n v="85"/>
    <n v="4335"/>
    <n v="2297.5500000000002"/>
    <n v="0.53"/>
    <x v="2"/>
  </r>
  <r>
    <x v="0"/>
    <n v="1185732"/>
    <x v="319"/>
    <x v="3"/>
    <s v="Iowa"/>
    <s v="Des Moines"/>
    <x v="0"/>
    <n v="49"/>
    <n v="138"/>
    <n v="6762"/>
    <n v="2975.28"/>
    <n v="0.44"/>
    <x v="2"/>
  </r>
  <r>
    <x v="0"/>
    <n v="1185732"/>
    <x v="319"/>
    <x v="3"/>
    <s v="Iowa"/>
    <s v="Des Moines"/>
    <x v="1"/>
    <n v="44"/>
    <n v="87"/>
    <n v="3828"/>
    <n v="1875.72"/>
    <n v="0.49"/>
    <x v="2"/>
  </r>
  <r>
    <x v="0"/>
    <n v="1185732"/>
    <x v="319"/>
    <x v="3"/>
    <s v="Iowa"/>
    <s v="Des Moines"/>
    <x v="2"/>
    <n v="36"/>
    <n v="68"/>
    <n v="2448"/>
    <n v="1077.1200000000001"/>
    <n v="0.44"/>
    <x v="2"/>
  </r>
  <r>
    <x v="0"/>
    <n v="1185732"/>
    <x v="319"/>
    <x v="3"/>
    <s v="Iowa"/>
    <s v="Des Moines"/>
    <x v="3"/>
    <n v="37"/>
    <n v="47"/>
    <n v="1739"/>
    <n v="712.99"/>
    <n v="0.41"/>
    <x v="2"/>
  </r>
  <r>
    <x v="0"/>
    <n v="1185732"/>
    <x v="319"/>
    <x v="3"/>
    <s v="Iowa"/>
    <s v="Des Moines"/>
    <x v="4"/>
    <n v="46"/>
    <n v="60"/>
    <n v="2760"/>
    <n v="1656"/>
    <n v="0.6"/>
    <x v="2"/>
  </r>
  <r>
    <x v="0"/>
    <n v="1185732"/>
    <x v="319"/>
    <x v="3"/>
    <s v="Iowa"/>
    <s v="Des Moines"/>
    <x v="5"/>
    <n v="51"/>
    <n v="94"/>
    <n v="4794"/>
    <n v="2397"/>
    <n v="0.5"/>
    <x v="2"/>
  </r>
  <r>
    <x v="0"/>
    <n v="1185732"/>
    <x v="351"/>
    <x v="3"/>
    <s v="Iowa"/>
    <s v="Des Moines"/>
    <x v="0"/>
    <n v="49"/>
    <n v="131"/>
    <n v="6419"/>
    <n v="2695.98"/>
    <n v="0.42"/>
    <x v="2"/>
  </r>
  <r>
    <x v="0"/>
    <n v="1185732"/>
    <x v="351"/>
    <x v="3"/>
    <s v="Iowa"/>
    <s v="Des Moines"/>
    <x v="1"/>
    <n v="42"/>
    <n v="78"/>
    <n v="3276"/>
    <n v="1506.9599999999998"/>
    <n v="0.45999999999999996"/>
    <x v="2"/>
  </r>
  <r>
    <x v="0"/>
    <n v="1185732"/>
    <x v="351"/>
    <x v="3"/>
    <s v="Iowa"/>
    <s v="Des Moines"/>
    <x v="2"/>
    <n v="39"/>
    <n v="61"/>
    <n v="2379"/>
    <n v="1022.97"/>
    <n v="0.43"/>
    <x v="2"/>
  </r>
  <r>
    <x v="0"/>
    <n v="1185732"/>
    <x v="351"/>
    <x v="3"/>
    <s v="Iowa"/>
    <s v="Des Moines"/>
    <x v="3"/>
    <n v="37"/>
    <n v="54"/>
    <n v="1998"/>
    <n v="819.18"/>
    <n v="0.41"/>
    <x v="2"/>
  </r>
  <r>
    <x v="0"/>
    <n v="1185732"/>
    <x v="351"/>
    <x v="3"/>
    <s v="Iowa"/>
    <s v="Des Moines"/>
    <x v="4"/>
    <n v="48"/>
    <n v="51"/>
    <n v="2448"/>
    <n v="1468.8"/>
    <n v="0.6"/>
    <x v="2"/>
  </r>
  <r>
    <x v="0"/>
    <n v="1185732"/>
    <x v="351"/>
    <x v="3"/>
    <s v="Iowa"/>
    <s v="Des Moines"/>
    <x v="5"/>
    <n v="53"/>
    <n v="98"/>
    <n v="5194"/>
    <n v="2856.7000000000003"/>
    <n v="0.55000000000000004"/>
    <x v="2"/>
  </r>
  <r>
    <x v="0"/>
    <n v="1185732"/>
    <x v="383"/>
    <x v="3"/>
    <s v="Iowa"/>
    <s v="Des Moines"/>
    <x v="0"/>
    <n v="34"/>
    <n v="133"/>
    <n v="4522"/>
    <n v="1808.8000000000002"/>
    <n v="0.4"/>
    <x v="2"/>
  </r>
  <r>
    <x v="0"/>
    <n v="1185732"/>
    <x v="383"/>
    <x v="3"/>
    <s v="Iowa"/>
    <s v="Des Moines"/>
    <x v="1"/>
    <n v="27"/>
    <n v="77"/>
    <n v="2079"/>
    <n v="977.13"/>
    <n v="0.47"/>
    <x v="2"/>
  </r>
  <r>
    <x v="0"/>
    <n v="1185732"/>
    <x v="383"/>
    <x v="3"/>
    <s v="Iowa"/>
    <s v="Des Moines"/>
    <x v="2"/>
    <n v="24"/>
    <n v="49"/>
    <n v="1176"/>
    <n v="470.40000000000003"/>
    <n v="0.4"/>
    <x v="2"/>
  </r>
  <r>
    <x v="0"/>
    <n v="1185732"/>
    <x v="383"/>
    <x v="3"/>
    <s v="Iowa"/>
    <s v="Des Moines"/>
    <x v="3"/>
    <n v="23"/>
    <n v="38"/>
    <n v="874"/>
    <n v="393.29999999999995"/>
    <n v="0.44999999999999996"/>
    <x v="2"/>
  </r>
  <r>
    <x v="0"/>
    <n v="1185732"/>
    <x v="383"/>
    <x v="3"/>
    <s v="Iowa"/>
    <s v="Des Moines"/>
    <x v="4"/>
    <n v="34"/>
    <n v="45"/>
    <n v="1530"/>
    <n v="933.3"/>
    <n v="0.61"/>
    <x v="2"/>
  </r>
  <r>
    <x v="0"/>
    <n v="1185732"/>
    <x v="383"/>
    <x v="3"/>
    <s v="Iowa"/>
    <s v="Des Moines"/>
    <x v="5"/>
    <n v="36"/>
    <n v="61"/>
    <n v="2196"/>
    <n v="1098"/>
    <n v="0.5"/>
    <x v="2"/>
  </r>
  <r>
    <x v="0"/>
    <n v="1185732"/>
    <x v="412"/>
    <x v="3"/>
    <s v="Iowa"/>
    <s v="Des Moines"/>
    <x v="0"/>
    <n v="43"/>
    <n v="112"/>
    <n v="4816"/>
    <n v="1974.56"/>
    <n v="0.41"/>
    <x v="2"/>
  </r>
  <r>
    <x v="0"/>
    <n v="1185732"/>
    <x v="412"/>
    <x v="3"/>
    <s v="Iowa"/>
    <s v="Des Moines"/>
    <x v="1"/>
    <n v="32"/>
    <n v="75"/>
    <n v="2400"/>
    <n v="1104"/>
    <n v="0.45999999999999996"/>
    <x v="2"/>
  </r>
  <r>
    <x v="0"/>
    <n v="1185732"/>
    <x v="412"/>
    <x v="3"/>
    <s v="Iowa"/>
    <s v="Des Moines"/>
    <x v="2"/>
    <n v="34"/>
    <n v="39"/>
    <n v="1326"/>
    <n v="543.66"/>
    <n v="0.41"/>
    <x v="2"/>
  </r>
  <r>
    <x v="0"/>
    <n v="1185732"/>
    <x v="412"/>
    <x v="3"/>
    <s v="Iowa"/>
    <s v="Des Moines"/>
    <x v="3"/>
    <n v="34"/>
    <n v="31"/>
    <n v="1054"/>
    <n v="442.68"/>
    <n v="0.42"/>
    <x v="2"/>
  </r>
  <r>
    <x v="0"/>
    <n v="1185732"/>
    <x v="412"/>
    <x v="3"/>
    <s v="Iowa"/>
    <s v="Des Moines"/>
    <x v="4"/>
    <n v="42"/>
    <n v="38"/>
    <n v="1596"/>
    <n v="1021.44"/>
    <n v="0.64"/>
    <x v="2"/>
  </r>
  <r>
    <x v="3"/>
    <n v="1185732"/>
    <x v="412"/>
    <x v="3"/>
    <s v="Iowa"/>
    <s v="Des Moines"/>
    <x v="5"/>
    <n v="49"/>
    <n v="73"/>
    <n v="3577"/>
    <n v="1895.8100000000002"/>
    <n v="0.53"/>
    <x v="2"/>
  </r>
  <r>
    <x v="3"/>
    <n v="1185732"/>
    <x v="443"/>
    <x v="3"/>
    <s v="Iowa"/>
    <s v="Des Moines"/>
    <x v="0"/>
    <n v="41"/>
    <n v="112"/>
    <n v="4592"/>
    <n v="2020.48"/>
    <n v="0.44"/>
    <x v="2"/>
  </r>
  <r>
    <x v="3"/>
    <n v="1185732"/>
    <x v="443"/>
    <x v="3"/>
    <s v="Iowa"/>
    <s v="Des Moines"/>
    <x v="1"/>
    <n v="32"/>
    <n v="72"/>
    <n v="2304"/>
    <n v="1128.96"/>
    <n v="0.49"/>
    <x v="2"/>
  </r>
  <r>
    <x v="3"/>
    <n v="1185732"/>
    <x v="443"/>
    <x v="3"/>
    <s v="Iowa"/>
    <s v="Des Moines"/>
    <x v="2"/>
    <n v="32"/>
    <n v="57"/>
    <n v="1824"/>
    <n v="802.56000000000006"/>
    <n v="0.44"/>
    <x v="2"/>
  </r>
  <r>
    <x v="3"/>
    <n v="1185732"/>
    <x v="443"/>
    <x v="3"/>
    <s v="Iowa"/>
    <s v="Des Moines"/>
    <x v="3"/>
    <n v="34"/>
    <n v="52"/>
    <n v="1768"/>
    <n v="724.88"/>
    <n v="0.41"/>
    <x v="2"/>
  </r>
  <r>
    <x v="3"/>
    <n v="1185732"/>
    <x v="443"/>
    <x v="3"/>
    <s v="Iowa"/>
    <s v="Des Moines"/>
    <x v="4"/>
    <n v="55"/>
    <n v="49"/>
    <n v="2695"/>
    <n v="1617"/>
    <n v="0.6"/>
    <x v="2"/>
  </r>
  <r>
    <x v="3"/>
    <n v="1185732"/>
    <x v="443"/>
    <x v="3"/>
    <s v="Iowa"/>
    <s v="Des Moines"/>
    <x v="5"/>
    <n v="59"/>
    <n v="72"/>
    <n v="4248"/>
    <n v="2208.96"/>
    <n v="0.52"/>
    <x v="2"/>
  </r>
  <r>
    <x v="3"/>
    <n v="1185732"/>
    <x v="472"/>
    <x v="3"/>
    <s v="Iowa"/>
    <s v="Des Moines"/>
    <x v="0"/>
    <n v="54"/>
    <n v="147"/>
    <n v="7938"/>
    <n v="3333.96"/>
    <n v="0.42"/>
    <x v="2"/>
  </r>
  <r>
    <x v="3"/>
    <n v="1185732"/>
    <x v="472"/>
    <x v="3"/>
    <s v="Iowa"/>
    <s v="Des Moines"/>
    <x v="1"/>
    <n v="47"/>
    <n v="91"/>
    <n v="4277"/>
    <n v="2010.1899999999998"/>
    <n v="0.47"/>
    <x v="2"/>
  </r>
  <r>
    <x v="3"/>
    <n v="1185732"/>
    <x v="472"/>
    <x v="3"/>
    <s v="Iowa"/>
    <s v="Des Moines"/>
    <x v="2"/>
    <n v="47"/>
    <n v="83"/>
    <n v="3901"/>
    <n v="1638.4199999999998"/>
    <n v="0.42"/>
    <x v="2"/>
  </r>
  <r>
    <x v="3"/>
    <n v="1185732"/>
    <x v="472"/>
    <x v="3"/>
    <s v="Iowa"/>
    <s v="Des Moines"/>
    <x v="3"/>
    <n v="49"/>
    <n v="61"/>
    <n v="2989"/>
    <n v="1285.27"/>
    <n v="0.43"/>
    <x v="2"/>
  </r>
  <r>
    <x v="3"/>
    <n v="1185732"/>
    <x v="472"/>
    <x v="3"/>
    <s v="Iowa"/>
    <s v="Des Moines"/>
    <x v="4"/>
    <n v="59"/>
    <n v="59"/>
    <n v="3481"/>
    <n v="2123.41"/>
    <n v="0.61"/>
    <x v="2"/>
  </r>
  <r>
    <x v="3"/>
    <n v="1185732"/>
    <x v="472"/>
    <x v="3"/>
    <s v="Iowa"/>
    <s v="Des Moines"/>
    <x v="5"/>
    <n v="59"/>
    <n v="88"/>
    <n v="5192"/>
    <n v="2855.6000000000004"/>
    <n v="0.55000000000000004"/>
    <x v="2"/>
  </r>
  <r>
    <x v="3"/>
    <n v="1185732"/>
    <x v="167"/>
    <x v="3"/>
    <s v="Iowa"/>
    <s v="Des Moines"/>
    <x v="0"/>
    <n v="28"/>
    <n v="126"/>
    <n v="3528"/>
    <n v="1587.6"/>
    <n v="0.44999999999999996"/>
    <x v="2"/>
  </r>
  <r>
    <x v="3"/>
    <n v="1185732"/>
    <x v="167"/>
    <x v="3"/>
    <s v="Iowa"/>
    <s v="Des Moines"/>
    <x v="1"/>
    <n v="29"/>
    <n v="70"/>
    <n v="2030"/>
    <n v="933.8"/>
    <n v="0.45999999999999996"/>
    <x v="2"/>
  </r>
  <r>
    <x v="3"/>
    <n v="1185732"/>
    <x v="167"/>
    <x v="3"/>
    <s v="Iowa"/>
    <s v="Des Moines"/>
    <x v="2"/>
    <n v="18"/>
    <n v="65"/>
    <n v="1170"/>
    <n v="479.7"/>
    <n v="0.41"/>
    <x v="2"/>
  </r>
  <r>
    <x v="3"/>
    <n v="1185732"/>
    <x v="167"/>
    <x v="3"/>
    <s v="Iowa"/>
    <s v="Des Moines"/>
    <x v="3"/>
    <n v="23"/>
    <n v="29"/>
    <n v="667"/>
    <n v="300.14999999999998"/>
    <n v="0.44999999999999996"/>
    <x v="2"/>
  </r>
  <r>
    <x v="3"/>
    <n v="1185732"/>
    <x v="167"/>
    <x v="3"/>
    <s v="Iowa"/>
    <s v="Des Moines"/>
    <x v="4"/>
    <n v="38"/>
    <n v="45"/>
    <n v="1710"/>
    <n v="1060.2"/>
    <n v="0.62"/>
    <x v="2"/>
  </r>
  <r>
    <x v="3"/>
    <n v="1185732"/>
    <x v="167"/>
    <x v="3"/>
    <s v="Iowa"/>
    <s v="Des Moines"/>
    <x v="5"/>
    <n v="28"/>
    <n v="73"/>
    <n v="2044"/>
    <n v="1124.2"/>
    <n v="0.55000000000000004"/>
    <x v="2"/>
  </r>
  <r>
    <x v="3"/>
    <n v="1185732"/>
    <x v="198"/>
    <x v="3"/>
    <s v="Iowa"/>
    <s v="Des Moines"/>
    <x v="0"/>
    <n v="29"/>
    <n v="140"/>
    <n v="4060"/>
    <n v="1664.6"/>
    <n v="0.41"/>
    <x v="2"/>
  </r>
  <r>
    <x v="3"/>
    <n v="1185732"/>
    <x v="198"/>
    <x v="3"/>
    <s v="Iowa"/>
    <s v="Des Moines"/>
    <x v="1"/>
    <n v="29"/>
    <n v="39"/>
    <n v="1131"/>
    <n v="554.18999999999994"/>
    <n v="0.49"/>
    <x v="2"/>
  </r>
  <r>
    <x v="3"/>
    <n v="1185732"/>
    <x v="198"/>
    <x v="3"/>
    <s v="Iowa"/>
    <s v="Des Moines"/>
    <x v="2"/>
    <n v="20"/>
    <n v="60"/>
    <n v="1200"/>
    <n v="516"/>
    <n v="0.43"/>
    <x v="2"/>
  </r>
  <r>
    <x v="3"/>
    <n v="1185732"/>
    <x v="198"/>
    <x v="3"/>
    <s v="Wisconsin"/>
    <s v="Milwaukee"/>
    <x v="3"/>
    <n v="23"/>
    <n v="20"/>
    <n v="460"/>
    <n v="197.79999999999998"/>
    <n v="0.43"/>
    <x v="2"/>
  </r>
  <r>
    <x v="3"/>
    <n v="1185732"/>
    <x v="198"/>
    <x v="3"/>
    <s v="Wisconsin"/>
    <s v="Milwaukee"/>
    <x v="4"/>
    <n v="38"/>
    <n v="38"/>
    <n v="1444"/>
    <n v="880.84"/>
    <n v="0.61"/>
    <x v="2"/>
  </r>
  <r>
    <x v="3"/>
    <n v="1185732"/>
    <x v="198"/>
    <x v="3"/>
    <s v="Wisconsin"/>
    <s v="Milwaukee"/>
    <x v="5"/>
    <n v="14"/>
    <n v="65"/>
    <n v="910"/>
    <n v="464.1"/>
    <n v="0.51"/>
    <x v="2"/>
  </r>
  <r>
    <x v="3"/>
    <n v="1185732"/>
    <x v="704"/>
    <x v="3"/>
    <s v="Wisconsin"/>
    <s v="Milwaukee"/>
    <x v="0"/>
    <n v="19"/>
    <n v="141"/>
    <n v="2679"/>
    <n v="1098.3899999999999"/>
    <n v="0.41"/>
    <x v="2"/>
  </r>
  <r>
    <x v="3"/>
    <n v="1185732"/>
    <x v="704"/>
    <x v="3"/>
    <s v="Wisconsin"/>
    <s v="Milwaukee"/>
    <x v="1"/>
    <n v="19"/>
    <n v="44"/>
    <n v="836"/>
    <n v="418"/>
    <n v="0.5"/>
    <x v="2"/>
  </r>
  <r>
    <x v="3"/>
    <n v="1185732"/>
    <x v="704"/>
    <x v="3"/>
    <s v="Wisconsin"/>
    <s v="Milwaukee"/>
    <x v="2"/>
    <n v="9"/>
    <n v="59"/>
    <n v="531"/>
    <n v="233.64000000000001"/>
    <n v="0.44"/>
    <x v="2"/>
  </r>
  <r>
    <x v="3"/>
    <n v="1185732"/>
    <x v="704"/>
    <x v="3"/>
    <s v="Wisconsin"/>
    <s v="Milwaukee"/>
    <x v="3"/>
    <n v="14"/>
    <n v="20"/>
    <n v="280"/>
    <n v="114.8"/>
    <n v="0.41"/>
    <x v="2"/>
  </r>
  <r>
    <x v="3"/>
    <n v="1185732"/>
    <x v="704"/>
    <x v="3"/>
    <s v="Wisconsin"/>
    <s v="Milwaukee"/>
    <x v="4"/>
    <n v="29"/>
    <n v="34"/>
    <n v="986"/>
    <n v="601.46"/>
    <n v="0.61"/>
    <x v="2"/>
  </r>
  <r>
    <x v="3"/>
    <n v="1185732"/>
    <x v="704"/>
    <x v="3"/>
    <s v="Wisconsin"/>
    <s v="Milwaukee"/>
    <x v="5"/>
    <n v="18"/>
    <n v="63"/>
    <n v="1134"/>
    <n v="612.36"/>
    <n v="0.54"/>
    <x v="2"/>
  </r>
  <r>
    <x v="3"/>
    <n v="1185732"/>
    <x v="721"/>
    <x v="3"/>
    <s v="Wisconsin"/>
    <s v="Milwaukee"/>
    <x v="0"/>
    <n v="18"/>
    <n v="122"/>
    <n v="2196"/>
    <n v="900.3599999999999"/>
    <n v="0.41"/>
    <x v="2"/>
  </r>
  <r>
    <x v="3"/>
    <n v="1185732"/>
    <x v="721"/>
    <x v="3"/>
    <s v="Wisconsin"/>
    <s v="Milwaukee"/>
    <x v="1"/>
    <n v="20"/>
    <n v="39"/>
    <n v="780"/>
    <n v="358.79999999999995"/>
    <n v="0.45999999999999996"/>
    <x v="2"/>
  </r>
  <r>
    <x v="3"/>
    <n v="1185732"/>
    <x v="721"/>
    <x v="3"/>
    <s v="Wisconsin"/>
    <s v="Milwaukee"/>
    <x v="2"/>
    <n v="9"/>
    <n v="41"/>
    <n v="369"/>
    <n v="158.66999999999999"/>
    <n v="0.43"/>
    <x v="2"/>
  </r>
  <r>
    <x v="3"/>
    <n v="1185732"/>
    <x v="721"/>
    <x v="3"/>
    <s v="Wisconsin"/>
    <s v="Milwaukee"/>
    <x v="3"/>
    <n v="15"/>
    <n v="22"/>
    <n v="330"/>
    <n v="135.29999999999998"/>
    <n v="0.41"/>
    <x v="2"/>
  </r>
  <r>
    <x v="3"/>
    <n v="1185732"/>
    <x v="721"/>
    <x v="3"/>
    <s v="Wisconsin"/>
    <s v="Milwaukee"/>
    <x v="4"/>
    <n v="55"/>
    <n v="26"/>
    <n v="1430"/>
    <n v="886.6"/>
    <n v="0.62"/>
    <x v="2"/>
  </r>
  <r>
    <x v="3"/>
    <n v="1185732"/>
    <x v="721"/>
    <x v="3"/>
    <s v="Wisconsin"/>
    <s v="Milwaukee"/>
    <x v="5"/>
    <n v="49"/>
    <n v="61"/>
    <n v="2989"/>
    <n v="1643.95"/>
    <n v="0.55000000000000004"/>
    <x v="2"/>
  </r>
  <r>
    <x v="3"/>
    <n v="1185732"/>
    <x v="257"/>
    <x v="3"/>
    <s v="Wisconsin"/>
    <s v="Milwaukee"/>
    <x v="0"/>
    <n v="58"/>
    <n v="134"/>
    <n v="7772"/>
    <n v="3186.52"/>
    <n v="0.41"/>
    <x v="2"/>
  </r>
  <r>
    <x v="3"/>
    <n v="1185732"/>
    <x v="257"/>
    <x v="3"/>
    <s v="Wisconsin"/>
    <s v="Milwaukee"/>
    <x v="1"/>
    <n v="39"/>
    <n v="50"/>
    <n v="1950"/>
    <n v="955.5"/>
    <n v="0.49"/>
    <x v="2"/>
  </r>
  <r>
    <x v="3"/>
    <n v="1185732"/>
    <x v="257"/>
    <x v="3"/>
    <s v="Wisconsin"/>
    <s v="Milwaukee"/>
    <x v="2"/>
    <n v="33"/>
    <n v="49"/>
    <n v="1617"/>
    <n v="727.65"/>
    <n v="0.44999999999999996"/>
    <x v="2"/>
  </r>
  <r>
    <x v="3"/>
    <n v="1185732"/>
    <x v="257"/>
    <x v="3"/>
    <s v="Wisconsin"/>
    <s v="Milwaukee"/>
    <x v="3"/>
    <n v="32"/>
    <n v="38"/>
    <n v="1216"/>
    <n v="535.04"/>
    <n v="0.44"/>
    <x v="2"/>
  </r>
  <r>
    <x v="3"/>
    <n v="1185732"/>
    <x v="257"/>
    <x v="3"/>
    <s v="Wisconsin"/>
    <s v="Milwaukee"/>
    <x v="4"/>
    <n v="44"/>
    <n v="53"/>
    <n v="2332"/>
    <n v="1422.52"/>
    <n v="0.61"/>
    <x v="2"/>
  </r>
  <r>
    <x v="3"/>
    <n v="1185732"/>
    <x v="257"/>
    <x v="3"/>
    <s v="Wisconsin"/>
    <s v="Milwaukee"/>
    <x v="5"/>
    <n v="47"/>
    <n v="90"/>
    <n v="4230"/>
    <n v="2157.3000000000002"/>
    <n v="0.51"/>
    <x v="2"/>
  </r>
  <r>
    <x v="3"/>
    <n v="1185732"/>
    <x v="287"/>
    <x v="3"/>
    <s v="Wisconsin"/>
    <s v="Milwaukee"/>
    <x v="0"/>
    <n v="32"/>
    <n v="160"/>
    <n v="5120"/>
    <n v="2252.8000000000002"/>
    <n v="0.44"/>
    <x v="2"/>
  </r>
  <r>
    <x v="3"/>
    <n v="1185732"/>
    <x v="287"/>
    <x v="3"/>
    <s v="Wisconsin"/>
    <s v="Milwaukee"/>
    <x v="1"/>
    <n v="27"/>
    <n v="90"/>
    <n v="2430"/>
    <n v="1190.7"/>
    <n v="0.49"/>
    <x v="2"/>
  </r>
  <r>
    <x v="3"/>
    <n v="1185732"/>
    <x v="287"/>
    <x v="3"/>
    <s v="Wisconsin"/>
    <s v="Milwaukee"/>
    <x v="2"/>
    <n v="24"/>
    <n v="52"/>
    <n v="1248"/>
    <n v="549.12"/>
    <n v="0.44"/>
    <x v="2"/>
  </r>
  <r>
    <x v="3"/>
    <n v="1185732"/>
    <x v="287"/>
    <x v="3"/>
    <s v="Wisconsin"/>
    <s v="Milwaukee"/>
    <x v="3"/>
    <n v="24"/>
    <n v="47"/>
    <n v="1128"/>
    <n v="462.47999999999996"/>
    <n v="0.41"/>
    <x v="2"/>
  </r>
  <r>
    <x v="3"/>
    <n v="1185732"/>
    <x v="287"/>
    <x v="3"/>
    <s v="Wisconsin"/>
    <s v="Milwaukee"/>
    <x v="4"/>
    <n v="34"/>
    <n v="46"/>
    <n v="1564"/>
    <n v="938.4"/>
    <n v="0.6"/>
    <x v="2"/>
  </r>
  <r>
    <x v="3"/>
    <n v="1185732"/>
    <x v="287"/>
    <x v="3"/>
    <s v="Wisconsin"/>
    <s v="Milwaukee"/>
    <x v="5"/>
    <n v="51"/>
    <n v="98"/>
    <n v="4998"/>
    <n v="2748.9"/>
    <n v="0.55000000000000004"/>
    <x v="2"/>
  </r>
  <r>
    <x v="3"/>
    <n v="1185732"/>
    <x v="316"/>
    <x v="3"/>
    <s v="Wisconsin"/>
    <s v="Milwaukee"/>
    <x v="0"/>
    <n v="45"/>
    <n v="149"/>
    <n v="6705"/>
    <n v="2816.1"/>
    <n v="0.42"/>
    <x v="2"/>
  </r>
  <r>
    <x v="3"/>
    <n v="1185732"/>
    <x v="316"/>
    <x v="3"/>
    <s v="Wisconsin"/>
    <s v="Milwaukee"/>
    <x v="1"/>
    <n v="42"/>
    <n v="87"/>
    <n v="3654"/>
    <n v="1790.46"/>
    <n v="0.49"/>
    <x v="2"/>
  </r>
  <r>
    <x v="3"/>
    <n v="1185732"/>
    <x v="316"/>
    <x v="3"/>
    <s v="Wisconsin"/>
    <s v="Milwaukee"/>
    <x v="2"/>
    <n v="38"/>
    <n v="61"/>
    <n v="2318"/>
    <n v="996.74"/>
    <n v="0.43"/>
    <x v="2"/>
  </r>
  <r>
    <x v="3"/>
    <n v="1185732"/>
    <x v="316"/>
    <x v="3"/>
    <s v="Wisconsin"/>
    <s v="Milwaukee"/>
    <x v="3"/>
    <n v="38"/>
    <n v="51"/>
    <n v="1938"/>
    <n v="813.95999999999992"/>
    <n v="0.42"/>
    <x v="2"/>
  </r>
  <r>
    <x v="3"/>
    <n v="1185732"/>
    <x v="316"/>
    <x v="3"/>
    <s v="Wisconsin"/>
    <s v="Milwaukee"/>
    <x v="4"/>
    <n v="48"/>
    <n v="50"/>
    <n v="2400"/>
    <n v="1488"/>
    <n v="0.62"/>
    <x v="2"/>
  </r>
  <r>
    <x v="3"/>
    <n v="1185732"/>
    <x v="316"/>
    <x v="3"/>
    <s v="Wisconsin"/>
    <s v="Milwaukee"/>
    <x v="5"/>
    <n v="52"/>
    <n v="94"/>
    <n v="4888"/>
    <n v="2639.52"/>
    <n v="0.54"/>
    <x v="2"/>
  </r>
  <r>
    <x v="3"/>
    <n v="1185732"/>
    <x v="348"/>
    <x v="3"/>
    <s v="Wisconsin"/>
    <s v="Milwaukee"/>
    <x v="0"/>
    <n v="46"/>
    <n v="158"/>
    <n v="7268"/>
    <n v="3052.56"/>
    <n v="0.42"/>
    <x v="2"/>
  </r>
  <r>
    <x v="3"/>
    <n v="1185732"/>
    <x v="348"/>
    <x v="3"/>
    <s v="Wisconsin"/>
    <s v="Milwaukee"/>
    <x v="1"/>
    <n v="43"/>
    <n v="84"/>
    <n v="3612"/>
    <n v="1697.6399999999999"/>
    <n v="0.47"/>
    <x v="2"/>
  </r>
  <r>
    <x v="3"/>
    <n v="1185732"/>
    <x v="348"/>
    <x v="3"/>
    <s v="Wisconsin"/>
    <s v="Milwaukee"/>
    <x v="2"/>
    <n v="39"/>
    <n v="56"/>
    <n v="2184"/>
    <n v="873.6"/>
    <n v="0.4"/>
    <x v="2"/>
  </r>
  <r>
    <x v="3"/>
    <n v="1185732"/>
    <x v="348"/>
    <x v="3"/>
    <s v="Wisconsin"/>
    <s v="Milwaukee"/>
    <x v="3"/>
    <n v="39"/>
    <n v="50"/>
    <n v="1950"/>
    <n v="877.49999999999989"/>
    <n v="0.44999999999999996"/>
    <x v="2"/>
  </r>
  <r>
    <x v="3"/>
    <n v="1185732"/>
    <x v="348"/>
    <x v="3"/>
    <s v="Wisconsin"/>
    <s v="Milwaukee"/>
    <x v="4"/>
    <n v="48"/>
    <n v="46"/>
    <n v="2208"/>
    <n v="1435.2"/>
    <n v="0.65"/>
    <x v="2"/>
  </r>
  <r>
    <x v="3"/>
    <n v="1185732"/>
    <x v="348"/>
    <x v="3"/>
    <s v="Wisconsin"/>
    <s v="Milwaukee"/>
    <x v="5"/>
    <n v="52"/>
    <n v="102"/>
    <n v="5304"/>
    <n v="2705.04"/>
    <n v="0.51"/>
    <x v="2"/>
  </r>
  <r>
    <x v="3"/>
    <n v="1185732"/>
    <x v="380"/>
    <x v="3"/>
    <s v="Wisconsin"/>
    <s v="Milwaukee"/>
    <x v="0"/>
    <n v="33"/>
    <n v="143"/>
    <n v="4719"/>
    <n v="1934.79"/>
    <n v="0.41"/>
    <x v="2"/>
  </r>
  <r>
    <x v="3"/>
    <n v="1185732"/>
    <x v="380"/>
    <x v="3"/>
    <s v="Wisconsin"/>
    <s v="Milwaukee"/>
    <x v="1"/>
    <n v="29"/>
    <n v="65"/>
    <n v="1885"/>
    <n v="848.24999999999989"/>
    <n v="0.44999999999999996"/>
    <x v="2"/>
  </r>
  <r>
    <x v="3"/>
    <n v="1185732"/>
    <x v="380"/>
    <x v="3"/>
    <s v="Wisconsin"/>
    <s v="Milwaukee"/>
    <x v="2"/>
    <n v="24"/>
    <n v="44"/>
    <n v="1056"/>
    <n v="475.19999999999993"/>
    <n v="0.44999999999999996"/>
    <x v="2"/>
  </r>
  <r>
    <x v="3"/>
    <n v="1185732"/>
    <x v="380"/>
    <x v="3"/>
    <s v="Wisconsin"/>
    <s v="Milwaukee"/>
    <x v="3"/>
    <n v="23"/>
    <n v="34"/>
    <n v="782"/>
    <n v="351.9"/>
    <n v="0.44999999999999996"/>
    <x v="2"/>
  </r>
  <r>
    <x v="3"/>
    <n v="1185732"/>
    <x v="380"/>
    <x v="3"/>
    <s v="Wisconsin"/>
    <s v="Milwaukee"/>
    <x v="4"/>
    <n v="33"/>
    <n v="33"/>
    <n v="1089"/>
    <n v="707.85"/>
    <n v="0.65"/>
    <x v="2"/>
  </r>
  <r>
    <x v="3"/>
    <n v="1185732"/>
    <x v="380"/>
    <x v="3"/>
    <s v="Wisconsin"/>
    <s v="Milwaukee"/>
    <x v="5"/>
    <n v="38"/>
    <n v="52"/>
    <n v="1976"/>
    <n v="988"/>
    <n v="0.5"/>
    <x v="2"/>
  </r>
  <r>
    <x v="3"/>
    <n v="1185732"/>
    <x v="409"/>
    <x v="3"/>
    <s v="Wisconsin"/>
    <s v="Milwaukee"/>
    <x v="0"/>
    <n v="43"/>
    <n v="113"/>
    <n v="4859"/>
    <n v="2040.78"/>
    <n v="0.42"/>
    <x v="2"/>
  </r>
  <r>
    <x v="3"/>
    <n v="1185732"/>
    <x v="409"/>
    <x v="3"/>
    <s v="Wisconsin"/>
    <s v="Milwaukee"/>
    <x v="1"/>
    <n v="33"/>
    <n v="68"/>
    <n v="2244"/>
    <n v="1077.1199999999999"/>
    <n v="0.48"/>
    <x v="2"/>
  </r>
  <r>
    <x v="3"/>
    <n v="1185732"/>
    <x v="409"/>
    <x v="3"/>
    <s v="Wisconsin"/>
    <s v="Milwaukee"/>
    <x v="2"/>
    <n v="34"/>
    <n v="33"/>
    <n v="1122"/>
    <n v="482.46"/>
    <n v="0.43"/>
    <x v="2"/>
  </r>
  <r>
    <x v="3"/>
    <n v="1185732"/>
    <x v="409"/>
    <x v="3"/>
    <s v="Wisconsin"/>
    <s v="Milwaukee"/>
    <x v="3"/>
    <n v="32"/>
    <n v="33"/>
    <n v="1056"/>
    <n v="432.96"/>
    <n v="0.41"/>
    <x v="2"/>
  </r>
  <r>
    <x v="3"/>
    <n v="1185732"/>
    <x v="409"/>
    <x v="3"/>
    <s v="Wisconsin"/>
    <s v="Milwaukee"/>
    <x v="4"/>
    <n v="44"/>
    <n v="33"/>
    <n v="1452"/>
    <n v="914.76"/>
    <n v="0.63"/>
    <x v="2"/>
  </r>
  <r>
    <x v="3"/>
    <n v="1185732"/>
    <x v="409"/>
    <x v="3"/>
    <s v="Wisconsin"/>
    <s v="Milwaukee"/>
    <x v="5"/>
    <n v="46"/>
    <n v="65"/>
    <n v="2990"/>
    <n v="1524.9"/>
    <n v="0.51"/>
    <x v="2"/>
  </r>
  <r>
    <x v="3"/>
    <n v="1185732"/>
    <x v="440"/>
    <x v="3"/>
    <s v="Wisconsin"/>
    <s v="Milwaukee"/>
    <x v="0"/>
    <n v="41"/>
    <n v="104"/>
    <n v="4264"/>
    <n v="1833.52"/>
    <n v="0.43"/>
    <x v="2"/>
  </r>
  <r>
    <x v="3"/>
    <n v="1185732"/>
    <x v="440"/>
    <x v="3"/>
    <s v="Wisconsin"/>
    <s v="Milwaukee"/>
    <x v="1"/>
    <n v="32"/>
    <n v="78"/>
    <n v="2496"/>
    <n v="1173.1199999999999"/>
    <n v="0.47"/>
    <x v="2"/>
  </r>
  <r>
    <x v="3"/>
    <n v="1185732"/>
    <x v="440"/>
    <x v="3"/>
    <s v="Wisconsin"/>
    <s v="Milwaukee"/>
    <x v="2"/>
    <n v="33"/>
    <n v="69"/>
    <n v="2277"/>
    <n v="956.33999999999992"/>
    <n v="0.42"/>
    <x v="2"/>
  </r>
  <r>
    <x v="3"/>
    <n v="1185732"/>
    <x v="440"/>
    <x v="3"/>
    <s v="Wisconsin"/>
    <s v="Milwaukee"/>
    <x v="3"/>
    <n v="33"/>
    <n v="65"/>
    <n v="2145"/>
    <n v="965.24999999999989"/>
    <n v="0.44999999999999996"/>
    <x v="2"/>
  </r>
  <r>
    <x v="3"/>
    <n v="1185732"/>
    <x v="440"/>
    <x v="3"/>
    <s v="Wisconsin"/>
    <s v="Milwaukee"/>
    <x v="4"/>
    <n v="58"/>
    <n v="56"/>
    <n v="3248"/>
    <n v="2013.76"/>
    <n v="0.62"/>
    <x v="2"/>
  </r>
  <r>
    <x v="3"/>
    <n v="1185732"/>
    <x v="440"/>
    <x v="3"/>
    <s v="Wisconsin"/>
    <s v="Milwaukee"/>
    <x v="5"/>
    <n v="61"/>
    <n v="75"/>
    <n v="4575"/>
    <n v="2333.25"/>
    <n v="0.51"/>
    <x v="2"/>
  </r>
  <r>
    <x v="3"/>
    <n v="1185732"/>
    <x v="469"/>
    <x v="3"/>
    <s v="Wisconsin"/>
    <s v="Milwaukee"/>
    <x v="0"/>
    <n v="58"/>
    <n v="138"/>
    <n v="8004"/>
    <n v="3281.64"/>
    <n v="0.41"/>
    <x v="2"/>
  </r>
  <r>
    <x v="3"/>
    <n v="1185732"/>
    <x v="469"/>
    <x v="3"/>
    <s v="Wisconsin"/>
    <s v="Milwaukee"/>
    <x v="1"/>
    <n v="49"/>
    <n v="102"/>
    <n v="4998"/>
    <n v="2349.06"/>
    <n v="0.47"/>
    <x v="2"/>
  </r>
  <r>
    <x v="3"/>
    <n v="1185732"/>
    <x v="469"/>
    <x v="3"/>
    <s v="Wisconsin"/>
    <s v="Milwaukee"/>
    <x v="2"/>
    <n v="45"/>
    <n v="87"/>
    <n v="3915"/>
    <n v="1722.6"/>
    <n v="0.44"/>
    <x v="2"/>
  </r>
  <r>
    <x v="3"/>
    <n v="1185732"/>
    <x v="469"/>
    <x v="3"/>
    <s v="Wisconsin"/>
    <s v="Milwaukee"/>
    <x v="3"/>
    <n v="48"/>
    <n v="73"/>
    <n v="3504"/>
    <n v="1576.8"/>
    <n v="0.44999999999999996"/>
    <x v="2"/>
  </r>
  <r>
    <x v="3"/>
    <n v="1185732"/>
    <x v="469"/>
    <x v="3"/>
    <s v="Wisconsin"/>
    <s v="Milwaukee"/>
    <x v="4"/>
    <n v="57"/>
    <n v="73"/>
    <n v="4161"/>
    <n v="2496.6"/>
    <n v="0.6"/>
    <x v="2"/>
  </r>
  <r>
    <x v="3"/>
    <n v="1185732"/>
    <x v="469"/>
    <x v="3"/>
    <s v="Wisconsin"/>
    <s v="Milwaukee"/>
    <x v="5"/>
    <n v="59"/>
    <n v="88"/>
    <n v="5192"/>
    <n v="2699.84"/>
    <n v="0.52"/>
    <x v="2"/>
  </r>
  <r>
    <x v="3"/>
    <n v="1185732"/>
    <x v="174"/>
    <x v="3"/>
    <s v="Wisconsin"/>
    <s v="Milwaukee"/>
    <x v="0"/>
    <n v="32"/>
    <n v="140"/>
    <n v="4480"/>
    <n v="2329.6"/>
    <n v="0.52"/>
    <x v="2"/>
  </r>
  <r>
    <x v="3"/>
    <n v="1185732"/>
    <x v="174"/>
    <x v="3"/>
    <s v="Wisconsin"/>
    <s v="Milwaukee"/>
    <x v="1"/>
    <n v="32"/>
    <n v="78"/>
    <n v="2496"/>
    <n v="1272.96"/>
    <n v="0.51"/>
    <x v="2"/>
  </r>
  <r>
    <x v="3"/>
    <n v="1185732"/>
    <x v="174"/>
    <x v="3"/>
    <s v="Wisconsin"/>
    <s v="Milwaukee"/>
    <x v="2"/>
    <n v="24"/>
    <n v="87"/>
    <n v="2088"/>
    <n v="939.59999999999991"/>
    <n v="0.44999999999999996"/>
    <x v="2"/>
  </r>
  <r>
    <x v="3"/>
    <n v="1185732"/>
    <x v="174"/>
    <x v="3"/>
    <s v="Wisconsin"/>
    <s v="Milwaukee"/>
    <x v="3"/>
    <n v="28"/>
    <n v="44"/>
    <n v="1232"/>
    <n v="591.36"/>
    <n v="0.48"/>
    <x v="2"/>
  </r>
  <r>
    <x v="3"/>
    <n v="1185732"/>
    <x v="174"/>
    <x v="3"/>
    <s v="Wisconsin"/>
    <s v="Milwaukee"/>
    <x v="4"/>
    <n v="41"/>
    <n v="58"/>
    <n v="2378"/>
    <n v="1046.32"/>
    <n v="0.44"/>
    <x v="2"/>
  </r>
  <r>
    <x v="3"/>
    <n v="1185732"/>
    <x v="174"/>
    <x v="3"/>
    <s v="Wisconsin"/>
    <s v="Milwaukee"/>
    <x v="5"/>
    <n v="32"/>
    <n v="84"/>
    <n v="2688"/>
    <n v="1344"/>
    <n v="0.5"/>
    <x v="2"/>
  </r>
  <r>
    <x v="3"/>
    <n v="1185732"/>
    <x v="205"/>
    <x v="3"/>
    <s v="Wisconsin"/>
    <s v="Milwaukee"/>
    <x v="0"/>
    <n v="34"/>
    <n v="160"/>
    <n v="5440"/>
    <n v="2992.0000000000005"/>
    <n v="0.55000000000000004"/>
    <x v="2"/>
  </r>
  <r>
    <x v="3"/>
    <n v="1185732"/>
    <x v="205"/>
    <x v="3"/>
    <s v="Wisconsin"/>
    <s v="Milwaukee"/>
    <x v="1"/>
    <n v="34"/>
    <n v="52"/>
    <n v="1768"/>
    <n v="901.68000000000006"/>
    <n v="0.51"/>
    <x v="2"/>
  </r>
  <r>
    <x v="3"/>
    <n v="1185732"/>
    <x v="205"/>
    <x v="3"/>
    <s v="Wisconsin"/>
    <s v="Milwaukee"/>
    <x v="2"/>
    <n v="24"/>
    <n v="73"/>
    <n v="1752"/>
    <n v="876"/>
    <n v="0.5"/>
    <x v="2"/>
  </r>
  <r>
    <x v="3"/>
    <n v="1185732"/>
    <x v="205"/>
    <x v="3"/>
    <s v="Indiana"/>
    <s v="Indianapolis"/>
    <x v="3"/>
    <n v="29"/>
    <n v="36"/>
    <n v="1044"/>
    <n v="490.67999999999995"/>
    <n v="0.47"/>
    <x v="2"/>
  </r>
  <r>
    <x v="3"/>
    <n v="1185732"/>
    <x v="205"/>
    <x v="3"/>
    <s v="Indiana"/>
    <s v="Indianapolis"/>
    <x v="4"/>
    <n v="41"/>
    <n v="58"/>
    <n v="2378"/>
    <n v="1046.32"/>
    <n v="0.44"/>
    <x v="2"/>
  </r>
  <r>
    <x v="3"/>
    <n v="1185732"/>
    <x v="205"/>
    <x v="3"/>
    <s v="Indiana"/>
    <s v="Indianapolis"/>
    <x v="5"/>
    <n v="19"/>
    <n v="75"/>
    <n v="1425"/>
    <n v="726.75"/>
    <n v="0.51"/>
    <x v="2"/>
  </r>
  <r>
    <x v="3"/>
    <n v="1185732"/>
    <x v="214"/>
    <x v="3"/>
    <s v="Indiana"/>
    <s v="Indianapolis"/>
    <x v="0"/>
    <n v="23"/>
    <n v="151"/>
    <n v="3473"/>
    <n v="1771.23"/>
    <n v="0.51"/>
    <x v="2"/>
  </r>
  <r>
    <x v="3"/>
    <n v="1185732"/>
    <x v="214"/>
    <x v="3"/>
    <s v="Indiana"/>
    <s v="Indianapolis"/>
    <x v="1"/>
    <n v="23"/>
    <n v="61"/>
    <n v="1403"/>
    <n v="771.65000000000009"/>
    <n v="0.55000000000000004"/>
    <x v="2"/>
  </r>
  <r>
    <x v="3"/>
    <n v="1185732"/>
    <x v="214"/>
    <x v="3"/>
    <s v="Indiana"/>
    <s v="Indianapolis"/>
    <x v="2"/>
    <n v="14"/>
    <n v="72"/>
    <n v="1008"/>
    <n v="504"/>
    <n v="0.5"/>
    <x v="2"/>
  </r>
  <r>
    <x v="3"/>
    <n v="1185732"/>
    <x v="214"/>
    <x v="3"/>
    <s v="Indiana"/>
    <s v="Indianapolis"/>
    <x v="3"/>
    <n v="19"/>
    <n v="31"/>
    <n v="589"/>
    <n v="265.04999999999995"/>
    <n v="0.44999999999999996"/>
    <x v="2"/>
  </r>
  <r>
    <x v="3"/>
    <n v="1185732"/>
    <x v="214"/>
    <x v="3"/>
    <s v="Indiana"/>
    <s v="Indianapolis"/>
    <x v="4"/>
    <n v="32"/>
    <n v="44"/>
    <n v="1408"/>
    <n v="605.43999999999994"/>
    <n v="0.43"/>
    <x v="2"/>
  </r>
  <r>
    <x v="3"/>
    <n v="1185732"/>
    <x v="214"/>
    <x v="3"/>
    <s v="Indiana"/>
    <s v="Indianapolis"/>
    <x v="5"/>
    <n v="24"/>
    <n v="74"/>
    <n v="1776"/>
    <n v="923.52"/>
    <n v="0.52"/>
    <x v="2"/>
  </r>
  <r>
    <x v="3"/>
    <n v="1185732"/>
    <x v="233"/>
    <x v="3"/>
    <s v="Indiana"/>
    <s v="Indianapolis"/>
    <x v="0"/>
    <n v="23"/>
    <n v="125"/>
    <n v="2875"/>
    <n v="1581.2500000000002"/>
    <n v="0.55000000000000004"/>
    <x v="2"/>
  </r>
  <r>
    <x v="3"/>
    <n v="1185732"/>
    <x v="233"/>
    <x v="3"/>
    <s v="Indiana"/>
    <s v="Indianapolis"/>
    <x v="1"/>
    <n v="23"/>
    <n v="54"/>
    <n v="1242"/>
    <n v="645.84"/>
    <n v="0.52"/>
    <x v="2"/>
  </r>
  <r>
    <x v="3"/>
    <n v="1185732"/>
    <x v="233"/>
    <x v="3"/>
    <s v="Indiana"/>
    <s v="Indianapolis"/>
    <x v="2"/>
    <n v="14"/>
    <n v="52"/>
    <n v="728"/>
    <n v="364"/>
    <n v="0.5"/>
    <x v="2"/>
  </r>
  <r>
    <x v="3"/>
    <n v="1185732"/>
    <x v="233"/>
    <x v="3"/>
    <s v="Indiana"/>
    <s v="Indianapolis"/>
    <x v="3"/>
    <n v="19"/>
    <n v="36"/>
    <n v="684"/>
    <n v="328.32"/>
    <n v="0.48"/>
    <x v="2"/>
  </r>
  <r>
    <x v="3"/>
    <n v="1185732"/>
    <x v="233"/>
    <x v="3"/>
    <s v="Indiana"/>
    <s v="Indianapolis"/>
    <x v="4"/>
    <n v="61"/>
    <n v="45"/>
    <n v="2745"/>
    <n v="1207.8"/>
    <n v="0.44"/>
    <x v="2"/>
  </r>
  <r>
    <x v="3"/>
    <n v="1185732"/>
    <x v="233"/>
    <x v="3"/>
    <s v="Indiana"/>
    <s v="Indianapolis"/>
    <x v="5"/>
    <n v="47"/>
    <n v="72"/>
    <n v="3384"/>
    <n v="1861.2"/>
    <n v="0.55000000000000004"/>
    <x v="2"/>
  </r>
  <r>
    <x v="3"/>
    <n v="1185732"/>
    <x v="264"/>
    <x v="3"/>
    <s v="Indiana"/>
    <s v="Indianapolis"/>
    <x v="0"/>
    <n v="54"/>
    <n v="164"/>
    <n v="8856"/>
    <n v="4428"/>
    <n v="0.5"/>
    <x v="2"/>
  </r>
  <r>
    <x v="3"/>
    <n v="1185732"/>
    <x v="264"/>
    <x v="3"/>
    <s v="Indiana"/>
    <s v="Indianapolis"/>
    <x v="1"/>
    <n v="37"/>
    <n v="73"/>
    <n v="2701"/>
    <n v="1485.5500000000002"/>
    <n v="0.55000000000000004"/>
    <x v="2"/>
  </r>
  <r>
    <x v="3"/>
    <n v="1185732"/>
    <x v="264"/>
    <x v="3"/>
    <s v="Indiana"/>
    <s v="Indianapolis"/>
    <x v="2"/>
    <n v="34"/>
    <n v="56"/>
    <n v="1904"/>
    <n v="894.88"/>
    <n v="0.47"/>
    <x v="2"/>
  </r>
  <r>
    <x v="3"/>
    <n v="1185732"/>
    <x v="264"/>
    <x v="3"/>
    <s v="Indiana"/>
    <s v="Indianapolis"/>
    <x v="3"/>
    <n v="34"/>
    <n v="49"/>
    <n v="1666"/>
    <n v="816.34"/>
    <n v="0.49"/>
    <x v="2"/>
  </r>
  <r>
    <x v="3"/>
    <n v="1185732"/>
    <x v="264"/>
    <x v="3"/>
    <s v="Indiana"/>
    <s v="Indianapolis"/>
    <x v="4"/>
    <n v="44"/>
    <n v="58"/>
    <n v="2552"/>
    <n v="1148.3999999999999"/>
    <n v="0.44999999999999996"/>
    <x v="2"/>
  </r>
  <r>
    <x v="3"/>
    <n v="1185732"/>
    <x v="264"/>
    <x v="3"/>
    <s v="Indiana"/>
    <s v="Indianapolis"/>
    <x v="5"/>
    <n v="53"/>
    <n v="91"/>
    <n v="4823"/>
    <n v="2507.96"/>
    <n v="0.52"/>
    <x v="2"/>
  </r>
  <r>
    <x v="3"/>
    <n v="1185732"/>
    <x v="294"/>
    <x v="3"/>
    <s v="Indiana"/>
    <s v="Indianapolis"/>
    <x v="0"/>
    <n v="36"/>
    <n v="155"/>
    <n v="5580"/>
    <n v="3069.0000000000005"/>
    <n v="0.55000000000000004"/>
    <x v="2"/>
  </r>
  <r>
    <x v="3"/>
    <n v="1185732"/>
    <x v="294"/>
    <x v="3"/>
    <s v="Indiana"/>
    <s v="Indianapolis"/>
    <x v="1"/>
    <n v="32"/>
    <n v="94"/>
    <n v="3008"/>
    <n v="1594.24"/>
    <n v="0.53"/>
    <x v="2"/>
  </r>
  <r>
    <x v="3"/>
    <n v="1185732"/>
    <x v="294"/>
    <x v="3"/>
    <s v="Indiana"/>
    <s v="Indianapolis"/>
    <x v="2"/>
    <n v="27"/>
    <n v="50"/>
    <n v="1350"/>
    <n v="607.49999999999989"/>
    <n v="0.44999999999999996"/>
    <x v="2"/>
  </r>
  <r>
    <x v="3"/>
    <n v="1185732"/>
    <x v="294"/>
    <x v="3"/>
    <s v="Indiana"/>
    <s v="Indianapolis"/>
    <x v="3"/>
    <n v="29"/>
    <n v="46"/>
    <n v="1334"/>
    <n v="626.98"/>
    <n v="0.47"/>
    <x v="2"/>
  </r>
  <r>
    <x v="3"/>
    <n v="1185732"/>
    <x v="294"/>
    <x v="3"/>
    <s v="Indiana"/>
    <s v="Indianapolis"/>
    <x v="4"/>
    <n v="36"/>
    <n v="53"/>
    <n v="1908"/>
    <n v="858.59999999999991"/>
    <n v="0.44999999999999996"/>
    <x v="2"/>
  </r>
  <r>
    <x v="3"/>
    <n v="1185732"/>
    <x v="294"/>
    <x v="3"/>
    <s v="Indiana"/>
    <s v="Indianapolis"/>
    <x v="5"/>
    <n v="56"/>
    <n v="91"/>
    <n v="5096"/>
    <n v="2598.96"/>
    <n v="0.51"/>
    <x v="2"/>
  </r>
  <r>
    <x v="3"/>
    <n v="1185732"/>
    <x v="323"/>
    <x v="3"/>
    <s v="Indiana"/>
    <s v="Indianapolis"/>
    <x v="0"/>
    <n v="51"/>
    <n v="149"/>
    <n v="7599"/>
    <n v="4027.4700000000003"/>
    <n v="0.53"/>
    <x v="2"/>
  </r>
  <r>
    <x v="3"/>
    <n v="1185732"/>
    <x v="323"/>
    <x v="3"/>
    <s v="Indiana"/>
    <s v="Indianapolis"/>
    <x v="1"/>
    <n v="49"/>
    <n v="84"/>
    <n v="4116"/>
    <n v="2058"/>
    <n v="0.5"/>
    <x v="2"/>
  </r>
  <r>
    <x v="3"/>
    <n v="1185732"/>
    <x v="323"/>
    <x v="3"/>
    <s v="Indiana"/>
    <s v="Indianapolis"/>
    <x v="2"/>
    <n v="42"/>
    <n v="68"/>
    <n v="2856"/>
    <n v="1285.1999999999998"/>
    <n v="0.44999999999999996"/>
    <x v="2"/>
  </r>
  <r>
    <x v="3"/>
    <n v="1185732"/>
    <x v="323"/>
    <x v="3"/>
    <s v="Indiana"/>
    <s v="Indianapolis"/>
    <x v="3"/>
    <n v="42"/>
    <n v="49"/>
    <n v="2058"/>
    <n v="967.26"/>
    <n v="0.47"/>
    <x v="2"/>
  </r>
  <r>
    <x v="3"/>
    <n v="1185732"/>
    <x v="323"/>
    <x v="3"/>
    <s v="Indiana"/>
    <s v="Indianapolis"/>
    <x v="4"/>
    <n v="51"/>
    <n v="50"/>
    <n v="2550"/>
    <n v="1071"/>
    <n v="0.42"/>
    <x v="2"/>
  </r>
  <r>
    <x v="3"/>
    <n v="1185732"/>
    <x v="323"/>
    <x v="3"/>
    <s v="Indiana"/>
    <s v="Indianapolis"/>
    <x v="5"/>
    <n v="54"/>
    <n v="101"/>
    <n v="5454"/>
    <n v="2781.54"/>
    <n v="0.51"/>
    <x v="2"/>
  </r>
  <r>
    <x v="3"/>
    <n v="1185732"/>
    <x v="355"/>
    <x v="3"/>
    <s v="Indiana"/>
    <s v="Indianapolis"/>
    <x v="0"/>
    <n v="47"/>
    <n v="152"/>
    <n v="7144"/>
    <n v="3929.2000000000003"/>
    <n v="0.55000000000000004"/>
    <x v="2"/>
  </r>
  <r>
    <x v="3"/>
    <n v="1185732"/>
    <x v="355"/>
    <x v="3"/>
    <s v="Indiana"/>
    <s v="Indianapolis"/>
    <x v="1"/>
    <n v="41"/>
    <n v="87"/>
    <n v="3567"/>
    <n v="1926.18"/>
    <n v="0.54"/>
    <x v="2"/>
  </r>
  <r>
    <x v="3"/>
    <n v="1185732"/>
    <x v="355"/>
    <x v="3"/>
    <s v="Indiana"/>
    <s v="Indianapolis"/>
    <x v="2"/>
    <n v="37"/>
    <n v="56"/>
    <n v="2072"/>
    <n v="973.83999999999992"/>
    <n v="0.47"/>
    <x v="2"/>
  </r>
  <r>
    <x v="3"/>
    <n v="1185732"/>
    <x v="355"/>
    <x v="3"/>
    <s v="Indiana"/>
    <s v="Indianapolis"/>
    <x v="3"/>
    <n v="38"/>
    <n v="60"/>
    <n v="2280"/>
    <n v="1071.5999999999999"/>
    <n v="0.47"/>
    <x v="2"/>
  </r>
  <r>
    <x v="3"/>
    <n v="1185732"/>
    <x v="355"/>
    <x v="3"/>
    <s v="Indiana"/>
    <s v="Indianapolis"/>
    <x v="4"/>
    <n v="47"/>
    <n v="53"/>
    <n v="2491"/>
    <n v="1120.9499999999998"/>
    <n v="0.44999999999999996"/>
    <x v="2"/>
  </r>
  <r>
    <x v="3"/>
    <n v="1185732"/>
    <x v="355"/>
    <x v="3"/>
    <s v="Indiana"/>
    <s v="Indianapolis"/>
    <x v="5"/>
    <n v="54"/>
    <n v="91"/>
    <n v="4914"/>
    <n v="2604.42"/>
    <n v="0.53"/>
    <x v="2"/>
  </r>
  <r>
    <x v="3"/>
    <n v="1185732"/>
    <x v="387"/>
    <x v="3"/>
    <s v="Indiana"/>
    <s v="Indianapolis"/>
    <x v="0"/>
    <n v="33"/>
    <n v="133"/>
    <n v="4389"/>
    <n v="2370.06"/>
    <n v="0.54"/>
    <x v="2"/>
  </r>
  <r>
    <x v="3"/>
    <n v="1185732"/>
    <x v="387"/>
    <x v="3"/>
    <s v="Indiana"/>
    <s v="Indianapolis"/>
    <x v="1"/>
    <n v="29"/>
    <n v="74"/>
    <n v="2146"/>
    <n v="1073"/>
    <n v="0.5"/>
    <x v="2"/>
  </r>
  <r>
    <x v="3"/>
    <n v="1185732"/>
    <x v="387"/>
    <x v="3"/>
    <s v="Indiana"/>
    <s v="Indianapolis"/>
    <x v="2"/>
    <n v="23"/>
    <n v="49"/>
    <n v="1127"/>
    <n v="529.68999999999994"/>
    <n v="0.47"/>
    <x v="2"/>
  </r>
  <r>
    <x v="3"/>
    <n v="1185732"/>
    <x v="387"/>
    <x v="3"/>
    <s v="Indiana"/>
    <s v="Indianapolis"/>
    <x v="3"/>
    <n v="24"/>
    <n v="41"/>
    <n v="984"/>
    <n v="462.47999999999996"/>
    <n v="0.47"/>
    <x v="2"/>
  </r>
  <r>
    <x v="3"/>
    <n v="1185732"/>
    <x v="387"/>
    <x v="3"/>
    <s v="Indiana"/>
    <s v="Indianapolis"/>
    <x v="4"/>
    <n v="33"/>
    <n v="42"/>
    <n v="1386"/>
    <n v="554.4"/>
    <n v="0.4"/>
    <x v="2"/>
  </r>
  <r>
    <x v="3"/>
    <n v="1185732"/>
    <x v="387"/>
    <x v="3"/>
    <s v="Indiana"/>
    <s v="Indianapolis"/>
    <x v="5"/>
    <n v="36"/>
    <n v="68"/>
    <n v="2448"/>
    <n v="1272.96"/>
    <n v="0.52"/>
    <x v="2"/>
  </r>
  <r>
    <x v="3"/>
    <n v="1185732"/>
    <x v="416"/>
    <x v="3"/>
    <s v="Indiana"/>
    <s v="Indianapolis"/>
    <x v="0"/>
    <n v="41"/>
    <n v="116"/>
    <n v="4756"/>
    <n v="2520.6800000000003"/>
    <n v="0.53"/>
    <x v="2"/>
  </r>
  <r>
    <x v="3"/>
    <n v="1185732"/>
    <x v="416"/>
    <x v="3"/>
    <s v="Indiana"/>
    <s v="Indianapolis"/>
    <x v="1"/>
    <n v="32"/>
    <n v="65"/>
    <n v="2080"/>
    <n v="1144"/>
    <n v="0.55000000000000004"/>
    <x v="2"/>
  </r>
  <r>
    <x v="3"/>
    <n v="1185732"/>
    <x v="416"/>
    <x v="3"/>
    <s v="Indiana"/>
    <s v="Indianapolis"/>
    <x v="2"/>
    <n v="32"/>
    <n v="38"/>
    <n v="1216"/>
    <n v="571.52"/>
    <n v="0.47"/>
    <x v="2"/>
  </r>
  <r>
    <x v="3"/>
    <n v="1185732"/>
    <x v="416"/>
    <x v="3"/>
    <s v="Indiana"/>
    <s v="Indianapolis"/>
    <x v="3"/>
    <n v="33"/>
    <n v="44"/>
    <n v="1452"/>
    <n v="667.92"/>
    <n v="0.45999999999999996"/>
    <x v="2"/>
  </r>
  <r>
    <x v="3"/>
    <n v="1185732"/>
    <x v="416"/>
    <x v="3"/>
    <s v="Indiana"/>
    <s v="Indianapolis"/>
    <x v="4"/>
    <n v="41"/>
    <n v="38"/>
    <n v="1558"/>
    <n v="685.52"/>
    <n v="0.44"/>
    <x v="2"/>
  </r>
  <r>
    <x v="3"/>
    <n v="1185732"/>
    <x v="416"/>
    <x v="3"/>
    <s v="Indiana"/>
    <s v="Indianapolis"/>
    <x v="5"/>
    <n v="48"/>
    <n v="83"/>
    <n v="3984"/>
    <n v="2111.52"/>
    <n v="0.53"/>
    <x v="2"/>
  </r>
  <r>
    <x v="3"/>
    <n v="1185732"/>
    <x v="447"/>
    <x v="3"/>
    <s v="Indiana"/>
    <s v="Indianapolis"/>
    <x v="0"/>
    <n v="41"/>
    <n v="123"/>
    <n v="5043"/>
    <n v="2571.9299999999998"/>
    <n v="0.51"/>
    <x v="2"/>
  </r>
  <r>
    <x v="3"/>
    <n v="1185732"/>
    <x v="447"/>
    <x v="3"/>
    <s v="Indiana"/>
    <s v="Indianapolis"/>
    <x v="1"/>
    <n v="33"/>
    <n v="98"/>
    <n v="3234"/>
    <n v="1778.7"/>
    <n v="0.55000000000000004"/>
    <x v="2"/>
  </r>
  <r>
    <x v="3"/>
    <n v="1185732"/>
    <x v="447"/>
    <x v="3"/>
    <s v="Indiana"/>
    <s v="Indianapolis"/>
    <x v="2"/>
    <n v="32"/>
    <n v="81"/>
    <n v="2592"/>
    <n v="1244.1599999999999"/>
    <n v="0.48"/>
    <x v="2"/>
  </r>
  <r>
    <x v="3"/>
    <n v="1185732"/>
    <x v="447"/>
    <x v="3"/>
    <s v="Indiana"/>
    <s v="Indianapolis"/>
    <x v="3"/>
    <n v="34"/>
    <n v="83"/>
    <n v="2822"/>
    <n v="1411"/>
    <n v="0.5"/>
    <x v="2"/>
  </r>
  <r>
    <x v="3"/>
    <n v="1185732"/>
    <x v="447"/>
    <x v="3"/>
    <s v="Indiana"/>
    <s v="Indianapolis"/>
    <x v="4"/>
    <n v="55"/>
    <n v="75"/>
    <n v="4125"/>
    <n v="1650"/>
    <n v="0.4"/>
    <x v="2"/>
  </r>
  <r>
    <x v="3"/>
    <n v="1185732"/>
    <x v="447"/>
    <x v="3"/>
    <s v="Indiana"/>
    <s v="Indianapolis"/>
    <x v="5"/>
    <n v="61"/>
    <n v="91"/>
    <n v="5551"/>
    <n v="2997.5400000000004"/>
    <n v="0.54"/>
    <x v="2"/>
  </r>
  <r>
    <x v="3"/>
    <n v="1185732"/>
    <x v="476"/>
    <x v="3"/>
    <s v="Indiana"/>
    <s v="Indianapolis"/>
    <x v="0"/>
    <n v="58"/>
    <n v="150"/>
    <n v="8700"/>
    <n v="4437"/>
    <n v="0.51"/>
    <x v="2"/>
  </r>
  <r>
    <x v="3"/>
    <n v="1185732"/>
    <x v="476"/>
    <x v="3"/>
    <s v="Indiana"/>
    <s v="Indianapolis"/>
    <x v="1"/>
    <n v="49"/>
    <n v="108"/>
    <n v="5292"/>
    <n v="2910.6000000000004"/>
    <n v="0.55000000000000004"/>
    <x v="2"/>
  </r>
  <r>
    <x v="3"/>
    <n v="1185732"/>
    <x v="476"/>
    <x v="3"/>
    <s v="Indiana"/>
    <s v="Indianapolis"/>
    <x v="2"/>
    <n v="49"/>
    <n v="105"/>
    <n v="5145"/>
    <n v="2366.6999999999998"/>
    <n v="0.45999999999999996"/>
    <x v="2"/>
  </r>
  <r>
    <x v="3"/>
    <n v="1185732"/>
    <x v="476"/>
    <x v="3"/>
    <s v="Indiana"/>
    <s v="Indianapolis"/>
    <x v="3"/>
    <n v="45"/>
    <n v="87"/>
    <n v="3915"/>
    <n v="1957.5"/>
    <n v="0.5"/>
    <x v="2"/>
  </r>
  <r>
    <x v="3"/>
    <n v="1185732"/>
    <x v="476"/>
    <x v="3"/>
    <s v="Indiana"/>
    <s v="Indianapolis"/>
    <x v="4"/>
    <n v="54"/>
    <n v="84"/>
    <n v="4536"/>
    <n v="1950.48"/>
    <n v="0.43"/>
    <x v="2"/>
  </r>
  <r>
    <x v="3"/>
    <n v="1185732"/>
    <x v="476"/>
    <x v="3"/>
    <s v="Indiana"/>
    <s v="Indianapolis"/>
    <x v="5"/>
    <n v="62"/>
    <n v="120"/>
    <n v="7440"/>
    <n v="3720"/>
    <n v="0.5"/>
    <x v="2"/>
  </r>
  <r>
    <x v="3"/>
    <n v="1185732"/>
    <x v="181"/>
    <x v="3"/>
    <s v="Indiana"/>
    <s v="Indianapolis"/>
    <x v="0"/>
    <n v="32"/>
    <n v="125"/>
    <n v="4000"/>
    <n v="2080"/>
    <n v="0.52"/>
    <x v="2"/>
  </r>
  <r>
    <x v="3"/>
    <n v="1185732"/>
    <x v="181"/>
    <x v="3"/>
    <s v="Indiana"/>
    <s v="Indianapolis"/>
    <x v="1"/>
    <n v="32"/>
    <n v="75"/>
    <n v="2400"/>
    <n v="1320"/>
    <n v="0.55000000000000004"/>
    <x v="2"/>
  </r>
  <r>
    <x v="3"/>
    <n v="1185732"/>
    <x v="181"/>
    <x v="3"/>
    <s v="Indiana"/>
    <s v="Indianapolis"/>
    <x v="2"/>
    <n v="25"/>
    <n v="87"/>
    <n v="2175"/>
    <n v="1196.25"/>
    <n v="0.55000000000000004"/>
    <x v="2"/>
  </r>
  <r>
    <x v="3"/>
    <n v="1185732"/>
    <x v="181"/>
    <x v="3"/>
    <s v="Indiana"/>
    <s v="Indianapolis"/>
    <x v="3"/>
    <n v="29"/>
    <n v="45"/>
    <n v="1305"/>
    <n v="704.7"/>
    <n v="0.54"/>
    <x v="2"/>
  </r>
  <r>
    <x v="3"/>
    <n v="1185732"/>
    <x v="181"/>
    <x v="3"/>
    <s v="Indiana"/>
    <s v="Indianapolis"/>
    <x v="4"/>
    <n v="41"/>
    <n v="54"/>
    <n v="2214"/>
    <n v="1129.1400000000001"/>
    <n v="0.51"/>
    <x v="2"/>
  </r>
  <r>
    <x v="3"/>
    <n v="1185732"/>
    <x v="181"/>
    <x v="3"/>
    <s v="Indiana"/>
    <s v="Indianapolis"/>
    <x v="5"/>
    <n v="34"/>
    <n v="75"/>
    <n v="2550"/>
    <n v="1275"/>
    <n v="0.5"/>
    <x v="2"/>
  </r>
  <r>
    <x v="3"/>
    <n v="1185732"/>
    <x v="212"/>
    <x v="3"/>
    <s v="Indiana"/>
    <s v="Indianapolis"/>
    <x v="0"/>
    <n v="33"/>
    <n v="149"/>
    <n v="4917"/>
    <n v="2655.1800000000003"/>
    <n v="0.54"/>
    <x v="2"/>
  </r>
  <r>
    <x v="3"/>
    <n v="1185732"/>
    <x v="212"/>
    <x v="3"/>
    <s v="Indiana"/>
    <s v="Indianapolis"/>
    <x v="1"/>
    <n v="38"/>
    <n v="50"/>
    <n v="1900"/>
    <n v="1045"/>
    <n v="0.55000000000000004"/>
    <x v="2"/>
  </r>
  <r>
    <x v="3"/>
    <n v="1185732"/>
    <x v="212"/>
    <x v="3"/>
    <s v="Indiana"/>
    <s v="Indianapolis"/>
    <x v="2"/>
    <n v="27"/>
    <n v="75"/>
    <n v="2025"/>
    <n v="1032.75"/>
    <n v="0.51"/>
    <x v="2"/>
  </r>
  <r>
    <x v="3"/>
    <n v="1185732"/>
    <x v="212"/>
    <x v="0"/>
    <s v="West Virginia"/>
    <s v="Charleston"/>
    <x v="3"/>
    <n v="34"/>
    <n v="49"/>
    <n v="1666"/>
    <n v="882.98"/>
    <n v="0.53"/>
    <x v="2"/>
  </r>
  <r>
    <x v="3"/>
    <n v="1185732"/>
    <x v="212"/>
    <x v="0"/>
    <s v="West Virginia"/>
    <s v="Charleston"/>
    <x v="4"/>
    <n v="48"/>
    <n v="65"/>
    <n v="3120"/>
    <n v="1653.6000000000001"/>
    <n v="0.53"/>
    <x v="2"/>
  </r>
  <r>
    <x v="3"/>
    <n v="1185732"/>
    <x v="212"/>
    <x v="0"/>
    <s v="West Virginia"/>
    <s v="Charleston"/>
    <x v="5"/>
    <n v="24"/>
    <n v="105"/>
    <n v="2520"/>
    <n v="1360.8000000000002"/>
    <n v="0.54"/>
    <x v="2"/>
  </r>
  <r>
    <x v="3"/>
    <n v="1185732"/>
    <x v="221"/>
    <x v="0"/>
    <s v="West Virginia"/>
    <s v="Charleston"/>
    <x v="0"/>
    <n v="28"/>
    <n v="165"/>
    <n v="4620"/>
    <n v="2356.1999999999998"/>
    <n v="0.51"/>
    <x v="2"/>
  </r>
  <r>
    <x v="3"/>
    <n v="1185732"/>
    <x v="221"/>
    <x v="0"/>
    <s v="West Virginia"/>
    <s v="Charleston"/>
    <x v="1"/>
    <n v="27"/>
    <n v="69"/>
    <n v="1863"/>
    <n v="1006.0200000000001"/>
    <n v="0.54"/>
    <x v="2"/>
  </r>
  <r>
    <x v="3"/>
    <n v="1185732"/>
    <x v="221"/>
    <x v="0"/>
    <s v="West Virginia"/>
    <s v="Charleston"/>
    <x v="2"/>
    <n v="19"/>
    <n v="91"/>
    <n v="1729"/>
    <n v="933.66000000000008"/>
    <n v="0.54"/>
    <x v="2"/>
  </r>
  <r>
    <x v="3"/>
    <n v="1185732"/>
    <x v="221"/>
    <x v="0"/>
    <s v="West Virginia"/>
    <s v="Charleston"/>
    <x v="3"/>
    <n v="23"/>
    <n v="49"/>
    <n v="1127"/>
    <n v="597.31000000000006"/>
    <n v="0.53"/>
    <x v="2"/>
  </r>
  <r>
    <x v="3"/>
    <n v="1185732"/>
    <x v="221"/>
    <x v="0"/>
    <s v="West Virginia"/>
    <s v="Charleston"/>
    <x v="4"/>
    <n v="37"/>
    <n v="59"/>
    <n v="2183"/>
    <n v="1091.5"/>
    <n v="0.5"/>
    <x v="2"/>
  </r>
  <r>
    <x v="3"/>
    <n v="1185732"/>
    <x v="221"/>
    <x v="0"/>
    <s v="West Virginia"/>
    <s v="Charleston"/>
    <x v="5"/>
    <n v="29"/>
    <n v="81"/>
    <n v="2349"/>
    <n v="1268.46"/>
    <n v="0.54"/>
    <x v="2"/>
  </r>
  <r>
    <x v="3"/>
    <n v="1185732"/>
    <x v="240"/>
    <x v="0"/>
    <s v="West Virginia"/>
    <s v="Charleston"/>
    <x v="0"/>
    <n v="27"/>
    <n v="143"/>
    <n v="3861"/>
    <n v="1969.1100000000001"/>
    <n v="0.51"/>
    <x v="2"/>
  </r>
  <r>
    <x v="3"/>
    <n v="1185732"/>
    <x v="240"/>
    <x v="0"/>
    <s v="West Virginia"/>
    <s v="Charleston"/>
    <x v="1"/>
    <n v="28"/>
    <n v="75"/>
    <n v="2100"/>
    <n v="1155"/>
    <n v="0.55000000000000004"/>
    <x v="2"/>
  </r>
  <r>
    <x v="3"/>
    <n v="1185732"/>
    <x v="240"/>
    <x v="0"/>
    <s v="West Virginia"/>
    <s v="Charleston"/>
    <x v="2"/>
    <n v="19"/>
    <n v="68"/>
    <n v="1292"/>
    <n v="697.68000000000006"/>
    <n v="0.54"/>
    <x v="2"/>
  </r>
  <r>
    <x v="3"/>
    <n v="1185732"/>
    <x v="240"/>
    <x v="0"/>
    <s v="West Virginia"/>
    <s v="Charleston"/>
    <x v="3"/>
    <n v="25"/>
    <n v="47"/>
    <n v="1175"/>
    <n v="611"/>
    <n v="0.52"/>
    <x v="2"/>
  </r>
  <r>
    <x v="3"/>
    <n v="1185732"/>
    <x v="240"/>
    <x v="0"/>
    <s v="West Virginia"/>
    <s v="Charleston"/>
    <x v="4"/>
    <n v="60"/>
    <n v="56"/>
    <n v="3360"/>
    <n v="1848.0000000000002"/>
    <n v="0.55000000000000004"/>
    <x v="2"/>
  </r>
  <r>
    <x v="3"/>
    <n v="1185732"/>
    <x v="240"/>
    <x v="0"/>
    <s v="West Virginia"/>
    <s v="Charleston"/>
    <x v="5"/>
    <n v="47"/>
    <n v="94"/>
    <n v="4418"/>
    <n v="2253.1799999999998"/>
    <n v="0.51"/>
    <x v="2"/>
  </r>
  <r>
    <x v="3"/>
    <n v="1185732"/>
    <x v="271"/>
    <x v="0"/>
    <s v="West Virginia"/>
    <s v="Charleston"/>
    <x v="0"/>
    <n v="58"/>
    <n v="179"/>
    <n v="10382"/>
    <n v="5398.64"/>
    <n v="0.52"/>
    <x v="2"/>
  </r>
  <r>
    <x v="3"/>
    <n v="1185732"/>
    <x v="271"/>
    <x v="0"/>
    <s v="West Virginia"/>
    <s v="Charleston"/>
    <x v="1"/>
    <n v="37"/>
    <n v="87"/>
    <n v="3219"/>
    <n v="1641.69"/>
    <n v="0.51"/>
    <x v="2"/>
  </r>
  <r>
    <x v="3"/>
    <n v="1185732"/>
    <x v="271"/>
    <x v="0"/>
    <s v="West Virginia"/>
    <s v="Charleston"/>
    <x v="2"/>
    <n v="32"/>
    <n v="77"/>
    <n v="2464"/>
    <n v="1355.2"/>
    <n v="0.55000000000000004"/>
    <x v="2"/>
  </r>
  <r>
    <x v="3"/>
    <n v="1185732"/>
    <x v="271"/>
    <x v="0"/>
    <s v="West Virginia"/>
    <s v="Charleston"/>
    <x v="3"/>
    <n v="33"/>
    <n v="50"/>
    <n v="1650"/>
    <n v="907.50000000000011"/>
    <n v="0.55000000000000004"/>
    <x v="2"/>
  </r>
  <r>
    <x v="3"/>
    <n v="1185732"/>
    <x v="271"/>
    <x v="0"/>
    <s v="West Virginia"/>
    <s v="Charleston"/>
    <x v="4"/>
    <n v="42"/>
    <n v="68"/>
    <n v="2856"/>
    <n v="1542.24"/>
    <n v="0.54"/>
    <x v="2"/>
  </r>
  <r>
    <x v="3"/>
    <n v="1185732"/>
    <x v="271"/>
    <x v="0"/>
    <s v="West Virginia"/>
    <s v="Charleston"/>
    <x v="5"/>
    <n v="52"/>
    <n v="95"/>
    <n v="4940"/>
    <n v="2717"/>
    <n v="0.55000000000000004"/>
    <x v="2"/>
  </r>
  <r>
    <x v="3"/>
    <n v="1185732"/>
    <x v="301"/>
    <x v="0"/>
    <s v="West Virginia"/>
    <s v="Charleston"/>
    <x v="0"/>
    <n v="43"/>
    <n v="150"/>
    <n v="6450"/>
    <n v="3354"/>
    <n v="0.52"/>
    <x v="2"/>
  </r>
  <r>
    <x v="3"/>
    <n v="1185732"/>
    <x v="301"/>
    <x v="0"/>
    <s v="West Virginia"/>
    <s v="Charleston"/>
    <x v="1"/>
    <n v="37"/>
    <n v="119"/>
    <n v="4403"/>
    <n v="2201.5"/>
    <n v="0.5"/>
    <x v="2"/>
  </r>
  <r>
    <x v="3"/>
    <n v="1185732"/>
    <x v="301"/>
    <x v="0"/>
    <s v="West Virginia"/>
    <s v="Charleston"/>
    <x v="2"/>
    <n v="33"/>
    <n v="81"/>
    <n v="2673"/>
    <n v="1443.42"/>
    <n v="0.54"/>
    <x v="2"/>
  </r>
  <r>
    <x v="3"/>
    <n v="1185732"/>
    <x v="301"/>
    <x v="0"/>
    <s v="West Virginia"/>
    <s v="Charleston"/>
    <x v="3"/>
    <n v="33"/>
    <n v="69"/>
    <n v="2277"/>
    <n v="1184.04"/>
    <n v="0.52"/>
    <x v="2"/>
  </r>
  <r>
    <x v="3"/>
    <n v="1185732"/>
    <x v="301"/>
    <x v="0"/>
    <s v="West Virginia"/>
    <s v="Charleston"/>
    <x v="4"/>
    <n v="41"/>
    <n v="74"/>
    <n v="3034"/>
    <n v="1668.7"/>
    <n v="0.55000000000000004"/>
    <x v="2"/>
  </r>
  <r>
    <x v="3"/>
    <n v="1185732"/>
    <x v="301"/>
    <x v="0"/>
    <s v="West Virginia"/>
    <s v="Charleston"/>
    <x v="5"/>
    <n v="59"/>
    <n v="115"/>
    <n v="6785"/>
    <n v="3528.2000000000003"/>
    <n v="0.52"/>
    <x v="2"/>
  </r>
  <r>
    <x v="3"/>
    <n v="1185732"/>
    <x v="330"/>
    <x v="0"/>
    <s v="West Virginia"/>
    <s v="Charleston"/>
    <x v="0"/>
    <n v="55"/>
    <n v="182"/>
    <n v="10010"/>
    <n v="5205.2"/>
    <n v="0.52"/>
    <x v="2"/>
  </r>
  <r>
    <x v="3"/>
    <n v="1185732"/>
    <x v="330"/>
    <x v="0"/>
    <s v="West Virginia"/>
    <s v="Charleston"/>
    <x v="1"/>
    <n v="50"/>
    <n v="116"/>
    <n v="5800"/>
    <n v="3074"/>
    <n v="0.53"/>
    <x v="2"/>
  </r>
  <r>
    <x v="3"/>
    <n v="1185732"/>
    <x v="330"/>
    <x v="0"/>
    <s v="West Virginia"/>
    <s v="Charleston"/>
    <x v="2"/>
    <n v="49"/>
    <n v="98"/>
    <n v="4802"/>
    <n v="2545.06"/>
    <n v="0.53"/>
    <x v="2"/>
  </r>
  <r>
    <x v="3"/>
    <n v="1185732"/>
    <x v="330"/>
    <x v="0"/>
    <s v="West Virginia"/>
    <s v="Charleston"/>
    <x v="3"/>
    <n v="48"/>
    <n v="77"/>
    <n v="3696"/>
    <n v="1884.96"/>
    <n v="0.51"/>
    <x v="2"/>
  </r>
  <r>
    <x v="3"/>
    <n v="1185732"/>
    <x v="330"/>
    <x v="0"/>
    <s v="West Virginia"/>
    <s v="Charleston"/>
    <x v="4"/>
    <n v="54"/>
    <n v="87"/>
    <n v="4698"/>
    <n v="2536.92"/>
    <n v="0.54"/>
    <x v="2"/>
  </r>
  <r>
    <x v="3"/>
    <n v="1185732"/>
    <x v="330"/>
    <x v="0"/>
    <s v="West Virginia"/>
    <s v="Charleston"/>
    <x v="5"/>
    <n v="63"/>
    <n v="133"/>
    <n v="8379"/>
    <n v="4524.66"/>
    <n v="0.54"/>
    <x v="2"/>
  </r>
  <r>
    <x v="3"/>
    <n v="1185732"/>
    <x v="362"/>
    <x v="0"/>
    <s v="West Virginia"/>
    <s v="Charleston"/>
    <x v="0"/>
    <n v="46"/>
    <n v="131"/>
    <n v="6026"/>
    <n v="3133.52"/>
    <n v="0.52"/>
    <x v="2"/>
  </r>
  <r>
    <x v="3"/>
    <n v="1185732"/>
    <x v="362"/>
    <x v="0"/>
    <s v="West Virginia"/>
    <s v="Charleston"/>
    <x v="1"/>
    <n v="42"/>
    <n v="90"/>
    <n v="3780"/>
    <n v="2079"/>
    <n v="0.55000000000000004"/>
    <x v="2"/>
  </r>
  <r>
    <x v="3"/>
    <n v="1185732"/>
    <x v="362"/>
    <x v="0"/>
    <s v="West Virginia"/>
    <s v="Charleston"/>
    <x v="2"/>
    <n v="38"/>
    <n v="87"/>
    <n v="3306"/>
    <n v="1719.1200000000001"/>
    <n v="0.52"/>
    <x v="2"/>
  </r>
  <r>
    <x v="3"/>
    <n v="1185732"/>
    <x v="362"/>
    <x v="0"/>
    <s v="West Virginia"/>
    <s v="Charleston"/>
    <x v="3"/>
    <n v="36"/>
    <n v="72"/>
    <n v="2592"/>
    <n v="1321.92"/>
    <n v="0.51"/>
    <x v="2"/>
  </r>
  <r>
    <x v="3"/>
    <n v="1185732"/>
    <x v="362"/>
    <x v="0"/>
    <s v="West Virginia"/>
    <s v="Charleston"/>
    <x v="4"/>
    <n v="49"/>
    <n v="68"/>
    <n v="3332"/>
    <n v="1799.2800000000002"/>
    <n v="0.54"/>
    <x v="2"/>
  </r>
  <r>
    <x v="3"/>
    <n v="1185732"/>
    <x v="362"/>
    <x v="0"/>
    <s v="West Virginia"/>
    <s v="Charleston"/>
    <x v="5"/>
    <n v="54"/>
    <n v="115"/>
    <n v="6210"/>
    <n v="3353.4"/>
    <n v="0.54"/>
    <x v="2"/>
  </r>
  <r>
    <x v="3"/>
    <n v="1185732"/>
    <x v="394"/>
    <x v="0"/>
    <s v="West Virginia"/>
    <s v="Charleston"/>
    <x v="0"/>
    <n v="34"/>
    <n v="154"/>
    <n v="5236"/>
    <n v="2670.36"/>
    <n v="0.51"/>
    <x v="2"/>
  </r>
  <r>
    <x v="3"/>
    <n v="1185732"/>
    <x v="394"/>
    <x v="0"/>
    <s v="West Virginia"/>
    <s v="Charleston"/>
    <x v="1"/>
    <n v="29"/>
    <n v="91"/>
    <n v="2639"/>
    <n v="1398.67"/>
    <n v="0.53"/>
    <x v="2"/>
  </r>
  <r>
    <x v="3"/>
    <n v="1185732"/>
    <x v="394"/>
    <x v="0"/>
    <s v="West Virginia"/>
    <s v="Charleston"/>
    <x v="2"/>
    <n v="24"/>
    <n v="68"/>
    <n v="1632"/>
    <n v="881.28000000000009"/>
    <n v="0.54"/>
    <x v="2"/>
  </r>
  <r>
    <x v="3"/>
    <n v="1185732"/>
    <x v="394"/>
    <x v="0"/>
    <s v="West Virginia"/>
    <s v="Charleston"/>
    <x v="3"/>
    <n v="23"/>
    <n v="59"/>
    <n v="1357"/>
    <n v="678.5"/>
    <n v="0.5"/>
    <x v="2"/>
  </r>
  <r>
    <x v="3"/>
    <n v="1185732"/>
    <x v="394"/>
    <x v="0"/>
    <s v="West Virginia"/>
    <s v="Charleston"/>
    <x v="4"/>
    <n v="32"/>
    <n v="61"/>
    <n v="1952"/>
    <n v="1015.0400000000001"/>
    <n v="0.52"/>
    <x v="2"/>
  </r>
  <r>
    <x v="3"/>
    <n v="1185732"/>
    <x v="394"/>
    <x v="0"/>
    <s v="West Virginia"/>
    <s v="Charleston"/>
    <x v="5"/>
    <n v="36"/>
    <n v="75"/>
    <n v="2700"/>
    <n v="1377"/>
    <n v="0.51"/>
    <x v="2"/>
  </r>
  <r>
    <x v="3"/>
    <n v="1185732"/>
    <x v="423"/>
    <x v="0"/>
    <s v="West Virginia"/>
    <s v="Charleston"/>
    <x v="0"/>
    <n v="41"/>
    <n v="115"/>
    <n v="4715"/>
    <n v="2546.1000000000004"/>
    <n v="0.54"/>
    <x v="2"/>
  </r>
  <r>
    <x v="3"/>
    <n v="1185732"/>
    <x v="423"/>
    <x v="0"/>
    <s v="West Virginia"/>
    <s v="Charleston"/>
    <x v="1"/>
    <n v="32"/>
    <n v="80"/>
    <n v="2560"/>
    <n v="1331.2"/>
    <n v="0.52"/>
    <x v="2"/>
  </r>
  <r>
    <x v="3"/>
    <n v="1185732"/>
    <x v="423"/>
    <x v="0"/>
    <s v="West Virginia"/>
    <s v="Charleston"/>
    <x v="2"/>
    <n v="33"/>
    <n v="44"/>
    <n v="1452"/>
    <n v="769.56000000000006"/>
    <n v="0.53"/>
    <x v="2"/>
  </r>
  <r>
    <x v="3"/>
    <n v="1185732"/>
    <x v="423"/>
    <x v="0"/>
    <s v="West Virginia"/>
    <s v="Charleston"/>
    <x v="3"/>
    <n v="32"/>
    <n v="47"/>
    <n v="1504"/>
    <n v="797.12"/>
    <n v="0.53"/>
    <x v="2"/>
  </r>
  <r>
    <x v="3"/>
    <n v="1185732"/>
    <x v="423"/>
    <x v="0"/>
    <s v="West Virginia"/>
    <s v="Charleston"/>
    <x v="4"/>
    <n v="41"/>
    <n v="53"/>
    <n v="2173"/>
    <n v="1195.1500000000001"/>
    <n v="0.55000000000000004"/>
    <x v="2"/>
  </r>
  <r>
    <x v="0"/>
    <n v="1185732"/>
    <x v="423"/>
    <x v="0"/>
    <s v="West Virginia"/>
    <s v="Charleston"/>
    <x v="5"/>
    <n v="47"/>
    <n v="84"/>
    <n v="3948"/>
    <n v="1974"/>
    <n v="0.5"/>
    <x v="2"/>
  </r>
  <r>
    <x v="0"/>
    <n v="1185732"/>
    <x v="454"/>
    <x v="0"/>
    <s v="West Virginia"/>
    <s v="Charleston"/>
    <x v="0"/>
    <n v="44"/>
    <n v="117"/>
    <n v="5148"/>
    <n v="2676.96"/>
    <n v="0.52"/>
    <x v="2"/>
  </r>
  <r>
    <x v="0"/>
    <n v="1185732"/>
    <x v="454"/>
    <x v="0"/>
    <s v="West Virginia"/>
    <s v="Charleston"/>
    <x v="1"/>
    <n v="33"/>
    <n v="95"/>
    <n v="3135"/>
    <n v="1661.5500000000002"/>
    <n v="0.53"/>
    <x v="2"/>
  </r>
  <r>
    <x v="0"/>
    <n v="1185732"/>
    <x v="454"/>
    <x v="0"/>
    <s v="West Virginia"/>
    <s v="Charleston"/>
    <x v="2"/>
    <n v="32"/>
    <n v="77"/>
    <n v="2464"/>
    <n v="1232"/>
    <n v="0.5"/>
    <x v="2"/>
  </r>
  <r>
    <x v="0"/>
    <n v="1185732"/>
    <x v="454"/>
    <x v="0"/>
    <s v="West Virginia"/>
    <s v="Charleston"/>
    <x v="3"/>
    <n v="38"/>
    <n v="91"/>
    <n v="3458"/>
    <n v="1901.9"/>
    <n v="0.55000000000000004"/>
    <x v="2"/>
  </r>
  <r>
    <x v="0"/>
    <n v="1185732"/>
    <x v="454"/>
    <x v="0"/>
    <s v="West Virginia"/>
    <s v="Charleston"/>
    <x v="4"/>
    <n v="62"/>
    <n v="78"/>
    <n v="4836"/>
    <n v="2563.08"/>
    <n v="0.53"/>
    <x v="2"/>
  </r>
  <r>
    <x v="0"/>
    <n v="1185732"/>
    <x v="454"/>
    <x v="0"/>
    <s v="West Virginia"/>
    <s v="Charleston"/>
    <x v="5"/>
    <n v="64"/>
    <n v="100"/>
    <n v="6400"/>
    <n v="3264"/>
    <n v="0.51"/>
    <x v="2"/>
  </r>
  <r>
    <x v="0"/>
    <n v="1185732"/>
    <x v="483"/>
    <x v="0"/>
    <s v="West Virginia"/>
    <s v="Charleston"/>
    <x v="0"/>
    <n v="60"/>
    <n v="176"/>
    <n v="10560"/>
    <n v="5491.2"/>
    <n v="0.52"/>
    <x v="2"/>
  </r>
  <r>
    <x v="0"/>
    <n v="1185732"/>
    <x v="483"/>
    <x v="0"/>
    <s v="West Virginia"/>
    <s v="Charleston"/>
    <x v="1"/>
    <n v="52"/>
    <n v="135"/>
    <n v="7020"/>
    <n v="3650.4"/>
    <n v="0.52"/>
    <x v="2"/>
  </r>
  <r>
    <x v="3"/>
    <n v="1185732"/>
    <x v="483"/>
    <x v="0"/>
    <s v="West Virginia"/>
    <s v="Charleston"/>
    <x v="2"/>
    <n v="50"/>
    <n v="112"/>
    <n v="5600"/>
    <n v="2968"/>
    <n v="0.53"/>
    <x v="2"/>
  </r>
  <r>
    <x v="0"/>
    <n v="1185732"/>
    <x v="483"/>
    <x v="0"/>
    <s v="West Virginia"/>
    <s v="Charleston"/>
    <x v="3"/>
    <n v="53"/>
    <n v="102"/>
    <n v="5406"/>
    <n v="2757.06"/>
    <n v="0.51"/>
    <x v="2"/>
  </r>
  <r>
    <x v="0"/>
    <n v="1185732"/>
    <x v="483"/>
    <x v="0"/>
    <s v="West Virginia"/>
    <s v="Charleston"/>
    <x v="4"/>
    <n v="61"/>
    <n v="95"/>
    <n v="5795"/>
    <n v="2897.5"/>
    <n v="0.5"/>
    <x v="2"/>
  </r>
  <r>
    <x v="0"/>
    <n v="1185732"/>
    <x v="483"/>
    <x v="0"/>
    <s v="West Virginia"/>
    <s v="Charleston"/>
    <x v="5"/>
    <n v="68"/>
    <n v="122"/>
    <n v="8296"/>
    <n v="4562.8"/>
    <n v="0.55000000000000004"/>
    <x v="2"/>
  </r>
  <r>
    <x v="0"/>
    <n v="1185732"/>
    <x v="188"/>
    <x v="0"/>
    <s v="West Virginia"/>
    <s v="Charleston"/>
    <x v="0"/>
    <n v="33"/>
    <n v="106"/>
    <n v="3498"/>
    <n v="1749"/>
    <n v="0.5"/>
    <x v="2"/>
  </r>
  <r>
    <x v="0"/>
    <n v="1185732"/>
    <x v="188"/>
    <x v="0"/>
    <s v="West Virginia"/>
    <s v="Charleston"/>
    <x v="1"/>
    <n v="34"/>
    <n v="68"/>
    <n v="2312"/>
    <n v="1086.6399999999999"/>
    <n v="0.47"/>
    <x v="2"/>
  </r>
  <r>
    <x v="0"/>
    <n v="1185732"/>
    <x v="188"/>
    <x v="0"/>
    <s v="West Virginia"/>
    <s v="Charleston"/>
    <x v="2"/>
    <n v="24"/>
    <n v="63"/>
    <n v="1512"/>
    <n v="695.52"/>
    <n v="0.45999999999999996"/>
    <x v="2"/>
  </r>
  <r>
    <x v="0"/>
    <n v="1185732"/>
    <x v="188"/>
    <x v="0"/>
    <s v="West Virginia"/>
    <s v="Charleston"/>
    <x v="3"/>
    <n v="28"/>
    <n v="20"/>
    <n v="560"/>
    <n v="280"/>
    <n v="0.5"/>
    <x v="2"/>
  </r>
  <r>
    <x v="0"/>
    <n v="1185732"/>
    <x v="188"/>
    <x v="0"/>
    <s v="West Virginia"/>
    <s v="Charleston"/>
    <x v="4"/>
    <n v="42"/>
    <n v="33"/>
    <n v="1386"/>
    <n v="595.98"/>
    <n v="0.43"/>
    <x v="2"/>
  </r>
  <r>
    <x v="0"/>
    <n v="1185732"/>
    <x v="188"/>
    <x v="0"/>
    <s v="West Virginia"/>
    <s v="Charleston"/>
    <x v="5"/>
    <n v="33"/>
    <n v="59"/>
    <n v="1947"/>
    <n v="778.80000000000007"/>
    <n v="0.4"/>
    <x v="2"/>
  </r>
  <r>
    <x v="0"/>
    <n v="1185732"/>
    <x v="696"/>
    <x v="0"/>
    <s v="West Virginia"/>
    <s v="Charleston"/>
    <x v="0"/>
    <n v="32"/>
    <n v="138"/>
    <n v="4416"/>
    <n v="2340.48"/>
    <n v="0.53"/>
    <x v="2"/>
  </r>
  <r>
    <x v="3"/>
    <n v="1185732"/>
    <x v="696"/>
    <x v="0"/>
    <s v="West Virginia"/>
    <s v="Charleston"/>
    <x v="1"/>
    <n v="34"/>
    <n v="38"/>
    <n v="1292"/>
    <n v="594.31999999999994"/>
    <n v="0.45999999999999996"/>
    <x v="2"/>
  </r>
  <r>
    <x v="3"/>
    <n v="1185732"/>
    <x v="696"/>
    <x v="0"/>
    <s v="West Virginia"/>
    <s v="Charleston"/>
    <x v="2"/>
    <n v="24"/>
    <n v="46"/>
    <n v="1104"/>
    <n v="518.88"/>
    <n v="0.47"/>
    <x v="2"/>
  </r>
  <r>
    <x v="3"/>
    <n v="1185732"/>
    <x v="696"/>
    <x v="0"/>
    <s v="Maryland"/>
    <s v="Baltimore"/>
    <x v="3"/>
    <n v="28"/>
    <n v="14"/>
    <n v="392"/>
    <n v="196"/>
    <n v="0.5"/>
    <x v="2"/>
  </r>
  <r>
    <x v="3"/>
    <n v="1185732"/>
    <x v="696"/>
    <x v="0"/>
    <s v="Maryland"/>
    <s v="Baltimore"/>
    <x v="4"/>
    <n v="41"/>
    <n v="31"/>
    <n v="1271"/>
    <n v="571.94999999999993"/>
    <n v="0.44999999999999996"/>
    <x v="2"/>
  </r>
  <r>
    <x v="3"/>
    <n v="1185732"/>
    <x v="696"/>
    <x v="0"/>
    <s v="Maryland"/>
    <s v="Baltimore"/>
    <x v="5"/>
    <n v="34"/>
    <n v="63"/>
    <n v="2142"/>
    <n v="921.06"/>
    <n v="0.43"/>
    <x v="2"/>
  </r>
  <r>
    <x v="3"/>
    <n v="1185732"/>
    <x v="225"/>
    <x v="0"/>
    <s v="Maryland"/>
    <s v="Baltimore"/>
    <x v="0"/>
    <n v="32"/>
    <n v="125"/>
    <n v="4000"/>
    <n v="2120"/>
    <n v="0.53"/>
    <x v="2"/>
  </r>
  <r>
    <x v="3"/>
    <n v="1185732"/>
    <x v="225"/>
    <x v="0"/>
    <s v="Maryland"/>
    <s v="Baltimore"/>
    <x v="1"/>
    <n v="34"/>
    <n v="39"/>
    <n v="1326"/>
    <n v="623.21999999999991"/>
    <n v="0.47"/>
    <x v="2"/>
  </r>
  <r>
    <x v="3"/>
    <n v="1185732"/>
    <x v="225"/>
    <x v="0"/>
    <s v="Maryland"/>
    <s v="Baltimore"/>
    <x v="2"/>
    <n v="24"/>
    <n v="53"/>
    <n v="1272"/>
    <n v="623.28"/>
    <n v="0.49"/>
    <x v="2"/>
  </r>
  <r>
    <x v="3"/>
    <n v="1185732"/>
    <x v="225"/>
    <x v="0"/>
    <s v="Maryland"/>
    <s v="Baltimore"/>
    <x v="3"/>
    <n v="29"/>
    <n v="7"/>
    <n v="203"/>
    <n v="93.38"/>
    <n v="0.45999999999999996"/>
    <x v="2"/>
  </r>
  <r>
    <x v="3"/>
    <n v="1185732"/>
    <x v="225"/>
    <x v="0"/>
    <s v="Maryland"/>
    <s v="Baltimore"/>
    <x v="4"/>
    <n v="43"/>
    <n v="22"/>
    <n v="946"/>
    <n v="406.78"/>
    <n v="0.43"/>
    <x v="2"/>
  </r>
  <r>
    <x v="3"/>
    <n v="1185732"/>
    <x v="225"/>
    <x v="0"/>
    <s v="Maryland"/>
    <s v="Baltimore"/>
    <x v="5"/>
    <n v="33"/>
    <n v="49"/>
    <n v="1617"/>
    <n v="727.65"/>
    <n v="0.44999999999999996"/>
    <x v="2"/>
  </r>
  <r>
    <x v="3"/>
    <n v="1185732"/>
    <x v="244"/>
    <x v="0"/>
    <s v="Maryland"/>
    <s v="Baltimore"/>
    <x v="0"/>
    <n v="33"/>
    <n v="128"/>
    <n v="4224"/>
    <n v="2154.2400000000002"/>
    <n v="0.51"/>
    <x v="2"/>
  </r>
  <r>
    <x v="3"/>
    <n v="1185732"/>
    <x v="244"/>
    <x v="0"/>
    <s v="Maryland"/>
    <s v="Baltimore"/>
    <x v="1"/>
    <n v="32"/>
    <n v="31"/>
    <n v="992"/>
    <n v="466.23999999999995"/>
    <n v="0.47"/>
    <x v="2"/>
  </r>
  <r>
    <x v="3"/>
    <n v="1185732"/>
    <x v="244"/>
    <x v="0"/>
    <s v="Maryland"/>
    <s v="Baltimore"/>
    <x v="2"/>
    <n v="24"/>
    <n v="33"/>
    <n v="792"/>
    <n v="388.08"/>
    <n v="0.49"/>
    <x v="2"/>
  </r>
  <r>
    <x v="3"/>
    <n v="1185732"/>
    <x v="244"/>
    <x v="0"/>
    <s v="Maryland"/>
    <s v="Baltimore"/>
    <x v="3"/>
    <n v="27"/>
    <n v="13"/>
    <n v="351"/>
    <n v="164.97"/>
    <n v="0.47"/>
    <x v="2"/>
  </r>
  <r>
    <x v="3"/>
    <n v="1185732"/>
    <x v="244"/>
    <x v="0"/>
    <s v="Maryland"/>
    <s v="Baltimore"/>
    <x v="4"/>
    <n v="41"/>
    <n v="15"/>
    <n v="615"/>
    <n v="276.75"/>
    <n v="0.44999999999999996"/>
    <x v="2"/>
  </r>
  <r>
    <x v="3"/>
    <n v="1185732"/>
    <x v="244"/>
    <x v="0"/>
    <s v="Maryland"/>
    <s v="Baltimore"/>
    <x v="5"/>
    <n v="32"/>
    <n v="52"/>
    <n v="1664"/>
    <n v="732.16"/>
    <n v="0.44"/>
    <x v="2"/>
  </r>
  <r>
    <x v="3"/>
    <n v="1185732"/>
    <x v="273"/>
    <x v="0"/>
    <s v="Maryland"/>
    <s v="Baltimore"/>
    <x v="0"/>
    <n v="49"/>
    <n v="118"/>
    <n v="5782"/>
    <n v="3006.6400000000003"/>
    <n v="0.52"/>
    <x v="2"/>
  </r>
  <r>
    <x v="3"/>
    <n v="1185732"/>
    <x v="273"/>
    <x v="0"/>
    <s v="Maryland"/>
    <s v="Baltimore"/>
    <x v="1"/>
    <n v="42"/>
    <n v="47"/>
    <n v="1974"/>
    <n v="908.04"/>
    <n v="0.45999999999999996"/>
    <x v="2"/>
  </r>
  <r>
    <x v="3"/>
    <n v="1185732"/>
    <x v="273"/>
    <x v="0"/>
    <s v="Maryland"/>
    <s v="Baltimore"/>
    <x v="2"/>
    <n v="36"/>
    <n v="38"/>
    <n v="1368"/>
    <n v="656.64"/>
    <n v="0.48"/>
    <x v="2"/>
  </r>
  <r>
    <x v="3"/>
    <n v="1185732"/>
    <x v="273"/>
    <x v="0"/>
    <s v="Maryland"/>
    <s v="Baltimore"/>
    <x v="3"/>
    <n v="37"/>
    <n v="30"/>
    <n v="1110"/>
    <n v="532.79999999999995"/>
    <n v="0.48"/>
    <x v="2"/>
  </r>
  <r>
    <x v="3"/>
    <n v="1185732"/>
    <x v="273"/>
    <x v="0"/>
    <s v="Maryland"/>
    <s v="Baltimore"/>
    <x v="4"/>
    <n v="49"/>
    <n v="36"/>
    <n v="1764"/>
    <n v="740.88"/>
    <n v="0.42"/>
    <x v="2"/>
  </r>
  <r>
    <x v="3"/>
    <n v="1185732"/>
    <x v="273"/>
    <x v="0"/>
    <s v="Maryland"/>
    <s v="Baltimore"/>
    <x v="5"/>
    <n v="52"/>
    <n v="63"/>
    <n v="3276"/>
    <n v="1343.1599999999999"/>
    <n v="0.41"/>
    <x v="2"/>
  </r>
  <r>
    <x v="3"/>
    <n v="1185732"/>
    <x v="306"/>
    <x v="0"/>
    <s v="Maryland"/>
    <s v="Baltimore"/>
    <x v="0"/>
    <n v="47"/>
    <n v="125"/>
    <n v="5875"/>
    <n v="2937.5"/>
    <n v="0.5"/>
    <x v="2"/>
  </r>
  <r>
    <x v="3"/>
    <n v="1185732"/>
    <x v="306"/>
    <x v="0"/>
    <s v="Maryland"/>
    <s v="Baltimore"/>
    <x v="1"/>
    <n v="41"/>
    <n v="75"/>
    <n v="3075"/>
    <n v="1445.25"/>
    <n v="0.47"/>
    <x v="2"/>
  </r>
  <r>
    <x v="0"/>
    <n v="1185732"/>
    <x v="306"/>
    <x v="0"/>
    <s v="Maryland"/>
    <s v="Baltimore"/>
    <x v="2"/>
    <n v="37"/>
    <n v="47"/>
    <n v="1739"/>
    <n v="869.5"/>
    <n v="0.5"/>
    <x v="2"/>
  </r>
  <r>
    <x v="0"/>
    <n v="1185732"/>
    <x v="306"/>
    <x v="0"/>
    <s v="Maryland"/>
    <s v="Baltimore"/>
    <x v="3"/>
    <n v="37"/>
    <n v="44"/>
    <n v="1628"/>
    <n v="814"/>
    <n v="0.5"/>
    <x v="2"/>
  </r>
  <r>
    <x v="0"/>
    <n v="1185732"/>
    <x v="306"/>
    <x v="0"/>
    <s v="Maryland"/>
    <s v="Baltimore"/>
    <x v="4"/>
    <n v="49"/>
    <n v="42"/>
    <n v="2058"/>
    <n v="905.52"/>
    <n v="0.44"/>
    <x v="2"/>
  </r>
  <r>
    <x v="0"/>
    <n v="1185732"/>
    <x v="306"/>
    <x v="0"/>
    <s v="Maryland"/>
    <s v="Baltimore"/>
    <x v="5"/>
    <n v="53"/>
    <n v="84"/>
    <n v="4452"/>
    <n v="2003.3999999999999"/>
    <n v="0.44999999999999996"/>
    <x v="2"/>
  </r>
  <r>
    <x v="0"/>
    <n v="1185732"/>
    <x v="334"/>
    <x v="0"/>
    <s v="Maryland"/>
    <s v="Baltimore"/>
    <x v="0"/>
    <n v="49"/>
    <n v="131"/>
    <n v="6419"/>
    <n v="3337.88"/>
    <n v="0.52"/>
    <x v="2"/>
  </r>
  <r>
    <x v="2"/>
    <n v="1185732"/>
    <x v="334"/>
    <x v="0"/>
    <s v="Maryland"/>
    <s v="Baltimore"/>
    <x v="1"/>
    <n v="42"/>
    <n v="72"/>
    <n v="3024"/>
    <n v="1451.52"/>
    <n v="0.48"/>
    <x v="2"/>
  </r>
  <r>
    <x v="2"/>
    <n v="1185732"/>
    <x v="334"/>
    <x v="0"/>
    <s v="Maryland"/>
    <s v="Baltimore"/>
    <x v="2"/>
    <n v="37"/>
    <n v="60"/>
    <n v="2220"/>
    <n v="1087.8"/>
    <n v="0.49"/>
    <x v="2"/>
  </r>
  <r>
    <x v="2"/>
    <n v="1185732"/>
    <x v="334"/>
    <x v="0"/>
    <s v="Maryland"/>
    <s v="Baltimore"/>
    <x v="3"/>
    <n v="36"/>
    <n v="45"/>
    <n v="1620"/>
    <n v="761.4"/>
    <n v="0.47"/>
    <x v="2"/>
  </r>
  <r>
    <x v="2"/>
    <n v="1185732"/>
    <x v="334"/>
    <x v="0"/>
    <s v="Maryland"/>
    <s v="Baltimore"/>
    <x v="4"/>
    <n v="46"/>
    <n v="51"/>
    <n v="2346"/>
    <n v="1055.6999999999998"/>
    <n v="0.44999999999999996"/>
    <x v="2"/>
  </r>
  <r>
    <x v="2"/>
    <n v="1185732"/>
    <x v="334"/>
    <x v="0"/>
    <s v="Maryland"/>
    <s v="Baltimore"/>
    <x v="5"/>
    <n v="54"/>
    <n v="102"/>
    <n v="5508"/>
    <n v="2313.36"/>
    <n v="0.42"/>
    <x v="2"/>
  </r>
  <r>
    <x v="2"/>
    <n v="1185732"/>
    <x v="366"/>
    <x v="0"/>
    <s v="Maryland"/>
    <s v="Baltimore"/>
    <x v="0"/>
    <n v="48"/>
    <n v="135"/>
    <n v="6480"/>
    <n v="3434.4"/>
    <n v="0.53"/>
    <x v="2"/>
  </r>
  <r>
    <x v="2"/>
    <n v="1185732"/>
    <x v="366"/>
    <x v="0"/>
    <s v="Maryland"/>
    <s v="Baltimore"/>
    <x v="1"/>
    <n v="41"/>
    <n v="83"/>
    <n v="3403"/>
    <n v="1701.5"/>
    <n v="0.5"/>
    <x v="2"/>
  </r>
  <r>
    <x v="2"/>
    <n v="1185732"/>
    <x v="366"/>
    <x v="0"/>
    <s v="Maryland"/>
    <s v="Baltimore"/>
    <x v="2"/>
    <n v="39"/>
    <n v="60"/>
    <n v="2340"/>
    <n v="1170"/>
    <n v="0.5"/>
    <x v="2"/>
  </r>
  <r>
    <x v="2"/>
    <n v="1185732"/>
    <x v="366"/>
    <x v="0"/>
    <s v="Maryland"/>
    <s v="Baltimore"/>
    <x v="3"/>
    <n v="37"/>
    <n v="44"/>
    <n v="1628"/>
    <n v="748.88"/>
    <n v="0.45999999999999996"/>
    <x v="2"/>
  </r>
  <r>
    <x v="2"/>
    <n v="1185732"/>
    <x v="366"/>
    <x v="0"/>
    <s v="Maryland"/>
    <s v="Baltimore"/>
    <x v="4"/>
    <n v="47"/>
    <n v="38"/>
    <n v="1786"/>
    <n v="803.69999999999993"/>
    <n v="0.44999999999999996"/>
    <x v="2"/>
  </r>
  <r>
    <x v="2"/>
    <n v="1185732"/>
    <x v="366"/>
    <x v="0"/>
    <s v="Maryland"/>
    <s v="Baltimore"/>
    <x v="5"/>
    <n v="53"/>
    <n v="81"/>
    <n v="4293"/>
    <n v="1845.99"/>
    <n v="0.43"/>
    <x v="2"/>
  </r>
  <r>
    <x v="2"/>
    <n v="1185732"/>
    <x v="396"/>
    <x v="0"/>
    <s v="Maryland"/>
    <s v="Baltimore"/>
    <x v="0"/>
    <n v="49"/>
    <n v="128"/>
    <n v="6272"/>
    <n v="3198.7200000000003"/>
    <n v="0.51"/>
    <x v="2"/>
  </r>
  <r>
    <x v="2"/>
    <n v="1185732"/>
    <x v="396"/>
    <x v="0"/>
    <s v="Maryland"/>
    <s v="Baltimore"/>
    <x v="1"/>
    <n v="44"/>
    <n v="63"/>
    <n v="2772"/>
    <n v="1247.3999999999999"/>
    <n v="0.44999999999999996"/>
    <x v="2"/>
  </r>
  <r>
    <x v="2"/>
    <n v="1185732"/>
    <x v="396"/>
    <x v="0"/>
    <s v="Maryland"/>
    <s v="Baltimore"/>
    <x v="2"/>
    <n v="38"/>
    <n v="36"/>
    <n v="1368"/>
    <n v="684"/>
    <n v="0.5"/>
    <x v="2"/>
  </r>
  <r>
    <x v="2"/>
    <n v="1185732"/>
    <x v="396"/>
    <x v="0"/>
    <s v="Maryland"/>
    <s v="Baltimore"/>
    <x v="3"/>
    <n v="36"/>
    <n v="25"/>
    <n v="900"/>
    <n v="404.99999999999994"/>
    <n v="0.44999999999999996"/>
    <x v="2"/>
  </r>
  <r>
    <x v="2"/>
    <n v="1185732"/>
    <x v="396"/>
    <x v="0"/>
    <s v="Maryland"/>
    <s v="Baltimore"/>
    <x v="4"/>
    <n v="48"/>
    <n v="30"/>
    <n v="1440"/>
    <n v="619.20000000000005"/>
    <n v="0.43"/>
    <x v="2"/>
  </r>
  <r>
    <x v="2"/>
    <n v="1185732"/>
    <x v="396"/>
    <x v="0"/>
    <s v="Maryland"/>
    <s v="Baltimore"/>
    <x v="5"/>
    <n v="54"/>
    <n v="50"/>
    <n v="2700"/>
    <n v="1080"/>
    <n v="0.4"/>
    <x v="2"/>
  </r>
  <r>
    <x v="2"/>
    <n v="1185732"/>
    <x v="428"/>
    <x v="0"/>
    <s v="Maryland"/>
    <s v="Baltimore"/>
    <x v="0"/>
    <n v="52"/>
    <n v="113"/>
    <n v="5876"/>
    <n v="3173.0400000000004"/>
    <n v="0.54"/>
    <x v="2"/>
  </r>
  <r>
    <x v="2"/>
    <n v="1185732"/>
    <x v="428"/>
    <x v="0"/>
    <s v="Maryland"/>
    <s v="Baltimore"/>
    <x v="1"/>
    <n v="48"/>
    <n v="58"/>
    <n v="2784"/>
    <n v="1280.6399999999999"/>
    <n v="0.45999999999999996"/>
    <x v="2"/>
  </r>
  <r>
    <x v="2"/>
    <n v="1185732"/>
    <x v="428"/>
    <x v="0"/>
    <s v="Maryland"/>
    <s v="Baltimore"/>
    <x v="2"/>
    <n v="49"/>
    <n v="25"/>
    <n v="1225"/>
    <n v="563.5"/>
    <n v="0.45999999999999996"/>
    <x v="2"/>
  </r>
  <r>
    <x v="0"/>
    <n v="1185732"/>
    <x v="428"/>
    <x v="0"/>
    <s v="Maryland"/>
    <s v="Baltimore"/>
    <x v="3"/>
    <n v="49"/>
    <n v="21"/>
    <n v="1029"/>
    <n v="514.5"/>
    <n v="0.5"/>
    <x v="2"/>
  </r>
  <r>
    <x v="0"/>
    <n v="1185732"/>
    <x v="428"/>
    <x v="0"/>
    <s v="Maryland"/>
    <s v="Baltimore"/>
    <x v="4"/>
    <n v="56"/>
    <n v="20"/>
    <n v="1120"/>
    <n v="448"/>
    <n v="0.4"/>
    <x v="2"/>
  </r>
  <r>
    <x v="0"/>
    <n v="1185732"/>
    <x v="428"/>
    <x v="0"/>
    <s v="Maryland"/>
    <s v="Baltimore"/>
    <x v="5"/>
    <n v="60"/>
    <n v="52"/>
    <n v="3120"/>
    <n v="1248"/>
    <n v="0.4"/>
    <x v="2"/>
  </r>
  <r>
    <x v="0"/>
    <n v="1185732"/>
    <x v="458"/>
    <x v="0"/>
    <s v="Maryland"/>
    <s v="Baltimore"/>
    <x v="0"/>
    <n v="58"/>
    <n v="88"/>
    <n v="5104"/>
    <n v="2807.2000000000003"/>
    <n v="0.55000000000000004"/>
    <x v="2"/>
  </r>
  <r>
    <x v="0"/>
    <n v="1185732"/>
    <x v="458"/>
    <x v="0"/>
    <s v="Maryland"/>
    <s v="Baltimore"/>
    <x v="1"/>
    <n v="45"/>
    <n v="51"/>
    <n v="2295"/>
    <n v="1078.6499999999999"/>
    <n v="0.47"/>
    <x v="2"/>
  </r>
  <r>
    <x v="0"/>
    <n v="1185732"/>
    <x v="458"/>
    <x v="0"/>
    <s v="Maryland"/>
    <s v="Baltimore"/>
    <x v="2"/>
    <n v="49"/>
    <n v="48"/>
    <n v="2352"/>
    <n v="1176"/>
    <n v="0.5"/>
    <x v="2"/>
  </r>
  <r>
    <x v="0"/>
    <n v="1185732"/>
    <x v="458"/>
    <x v="0"/>
    <s v="Maryland"/>
    <s v="Baltimore"/>
    <x v="3"/>
    <n v="48"/>
    <n v="41"/>
    <n v="1968"/>
    <n v="905.28"/>
    <n v="0.45999999999999996"/>
    <x v="2"/>
  </r>
  <r>
    <x v="0"/>
    <n v="1185732"/>
    <x v="458"/>
    <x v="0"/>
    <s v="Maryland"/>
    <s v="Baltimore"/>
    <x v="4"/>
    <n v="56"/>
    <n v="31"/>
    <n v="1736"/>
    <n v="763.84"/>
    <n v="0.44"/>
    <x v="2"/>
  </r>
  <r>
    <x v="0"/>
    <n v="1185732"/>
    <x v="458"/>
    <x v="0"/>
    <s v="Maryland"/>
    <s v="Baltimore"/>
    <x v="5"/>
    <n v="62"/>
    <n v="63"/>
    <n v="3906"/>
    <n v="1679.58"/>
    <n v="0.43"/>
    <x v="2"/>
  </r>
  <r>
    <x v="0"/>
    <n v="1185732"/>
    <x v="487"/>
    <x v="0"/>
    <s v="Maryland"/>
    <s v="Baltimore"/>
    <x v="0"/>
    <n v="57"/>
    <n v="122"/>
    <n v="6954"/>
    <n v="3477"/>
    <n v="0.5"/>
    <x v="2"/>
  </r>
  <r>
    <x v="0"/>
    <n v="1185732"/>
    <x v="487"/>
    <x v="0"/>
    <s v="Maryland"/>
    <s v="Baltimore"/>
    <x v="1"/>
    <n v="46"/>
    <n v="65"/>
    <n v="2990"/>
    <n v="1495"/>
    <n v="0.5"/>
    <x v="2"/>
  </r>
  <r>
    <x v="0"/>
    <n v="1185732"/>
    <x v="487"/>
    <x v="0"/>
    <s v="Maryland"/>
    <s v="Baltimore"/>
    <x v="2"/>
    <n v="45"/>
    <n v="65"/>
    <n v="2925"/>
    <n v="1374.75"/>
    <n v="0.47"/>
    <x v="2"/>
  </r>
  <r>
    <x v="0"/>
    <n v="1185732"/>
    <x v="487"/>
    <x v="0"/>
    <s v="Maryland"/>
    <s v="Baltimore"/>
    <x v="3"/>
    <n v="49"/>
    <n v="44"/>
    <n v="2156"/>
    <n v="1013.3199999999999"/>
    <n v="0.47"/>
    <x v="2"/>
  </r>
  <r>
    <x v="0"/>
    <n v="1185732"/>
    <x v="487"/>
    <x v="0"/>
    <s v="Maryland"/>
    <s v="Baltimore"/>
    <x v="4"/>
    <n v="54"/>
    <n v="51"/>
    <n v="2754"/>
    <n v="1129.1399999999999"/>
    <n v="0.41"/>
    <x v="2"/>
  </r>
  <r>
    <x v="0"/>
    <n v="1185732"/>
    <x v="487"/>
    <x v="0"/>
    <s v="Maryland"/>
    <s v="Baltimore"/>
    <x v="5"/>
    <n v="61"/>
    <n v="72"/>
    <n v="4392"/>
    <n v="1844.6399999999999"/>
    <n v="0.42"/>
    <x v="2"/>
  </r>
  <r>
    <x v="0"/>
    <n v="1185732"/>
    <x v="181"/>
    <x v="0"/>
    <s v="Maryland"/>
    <s v="Baltimore"/>
    <x v="0"/>
    <n v="36"/>
    <n v="137"/>
    <n v="4932"/>
    <n v="2219.3999999999996"/>
    <n v="0.44999999999999996"/>
    <x v="2"/>
  </r>
  <r>
    <x v="0"/>
    <n v="1185732"/>
    <x v="181"/>
    <x v="0"/>
    <s v="Maryland"/>
    <s v="Baltimore"/>
    <x v="1"/>
    <n v="38"/>
    <n v="81"/>
    <n v="3078"/>
    <n v="1539"/>
    <n v="0.5"/>
    <x v="2"/>
  </r>
  <r>
    <x v="0"/>
    <n v="1185732"/>
    <x v="181"/>
    <x v="0"/>
    <s v="Maryland"/>
    <s v="Baltimore"/>
    <x v="2"/>
    <n v="29"/>
    <n v="91"/>
    <n v="2639"/>
    <n v="1398.67"/>
    <n v="0.53"/>
    <x v="2"/>
  </r>
  <r>
    <x v="0"/>
    <n v="1185732"/>
    <x v="181"/>
    <x v="0"/>
    <s v="Maryland"/>
    <s v="Baltimore"/>
    <x v="3"/>
    <n v="32"/>
    <n v="47"/>
    <n v="1504"/>
    <n v="827.2"/>
    <n v="0.55000000000000004"/>
    <x v="2"/>
  </r>
  <r>
    <x v="0"/>
    <n v="1185732"/>
    <x v="181"/>
    <x v="0"/>
    <s v="Maryland"/>
    <s v="Baltimore"/>
    <x v="4"/>
    <n v="49"/>
    <n v="59"/>
    <n v="2891"/>
    <n v="1214.22"/>
    <n v="0.42"/>
    <x v="2"/>
  </r>
  <r>
    <x v="0"/>
    <n v="1185732"/>
    <x v="181"/>
    <x v="0"/>
    <s v="Maryland"/>
    <s v="Baltimore"/>
    <x v="5"/>
    <n v="36"/>
    <n v="81"/>
    <n v="2916"/>
    <n v="1487.16"/>
    <n v="0.51"/>
    <x v="2"/>
  </r>
  <r>
    <x v="0"/>
    <n v="1185732"/>
    <x v="210"/>
    <x v="0"/>
    <s v="Maryland"/>
    <s v="Baltimore"/>
    <x v="0"/>
    <n v="39"/>
    <n v="144"/>
    <n v="5616"/>
    <n v="2808"/>
    <n v="0.5"/>
    <x v="2"/>
  </r>
  <r>
    <x v="0"/>
    <n v="1185732"/>
    <x v="210"/>
    <x v="0"/>
    <s v="Maryland"/>
    <s v="Baltimore"/>
    <x v="1"/>
    <n v="37"/>
    <n v="61"/>
    <n v="2257"/>
    <n v="1038.22"/>
    <n v="0.45999999999999996"/>
    <x v="2"/>
  </r>
  <r>
    <x v="0"/>
    <n v="1185732"/>
    <x v="210"/>
    <x v="0"/>
    <s v="Maryland"/>
    <s v="Baltimore"/>
    <x v="2"/>
    <n v="27"/>
    <n v="69"/>
    <n v="1863"/>
    <n v="950.13"/>
    <n v="0.51"/>
    <x v="2"/>
  </r>
  <r>
    <x v="0"/>
    <n v="1185732"/>
    <x v="210"/>
    <x v="0"/>
    <s v="Delaware"/>
    <s v="Wilmington"/>
    <x v="3"/>
    <n v="33"/>
    <n v="45"/>
    <n v="1485"/>
    <n v="816.75000000000011"/>
    <n v="0.55000000000000004"/>
    <x v="2"/>
  </r>
  <r>
    <x v="0"/>
    <n v="1185732"/>
    <x v="210"/>
    <x v="0"/>
    <s v="Delaware"/>
    <s v="Wilmington"/>
    <x v="4"/>
    <n v="45"/>
    <n v="65"/>
    <n v="2925"/>
    <n v="1199.25"/>
    <n v="0.41"/>
    <x v="2"/>
  </r>
  <r>
    <x v="0"/>
    <n v="1185732"/>
    <x v="210"/>
    <x v="0"/>
    <s v="Delaware"/>
    <s v="Wilmington"/>
    <x v="5"/>
    <n v="39"/>
    <n v="98"/>
    <n v="3822"/>
    <n v="2025.66"/>
    <n v="0.53"/>
    <x v="2"/>
  </r>
  <r>
    <x v="0"/>
    <n v="1185732"/>
    <x v="218"/>
    <x v="0"/>
    <s v="Delaware"/>
    <s v="Wilmington"/>
    <x v="0"/>
    <n v="36"/>
    <n v="158"/>
    <n v="5688"/>
    <n v="2616.48"/>
    <n v="0.45999999999999996"/>
    <x v="2"/>
  </r>
  <r>
    <x v="0"/>
    <n v="1185732"/>
    <x v="218"/>
    <x v="0"/>
    <s v="Delaware"/>
    <s v="Wilmington"/>
    <x v="1"/>
    <n v="39"/>
    <n v="68"/>
    <n v="2652"/>
    <n v="1193.3999999999999"/>
    <n v="0.44999999999999996"/>
    <x v="2"/>
  </r>
  <r>
    <x v="0"/>
    <n v="1185732"/>
    <x v="218"/>
    <x v="0"/>
    <s v="Delaware"/>
    <s v="Wilmington"/>
    <x v="2"/>
    <n v="29"/>
    <n v="69"/>
    <n v="2001"/>
    <n v="1080.54"/>
    <n v="0.54"/>
    <x v="2"/>
  </r>
  <r>
    <x v="0"/>
    <n v="1185732"/>
    <x v="218"/>
    <x v="0"/>
    <s v="Delaware"/>
    <s v="Wilmington"/>
    <x v="3"/>
    <n v="32"/>
    <n v="31"/>
    <n v="992"/>
    <n v="525.76"/>
    <n v="0.53"/>
    <x v="2"/>
  </r>
  <r>
    <x v="0"/>
    <n v="1185732"/>
    <x v="218"/>
    <x v="0"/>
    <s v="Delaware"/>
    <s v="Wilmington"/>
    <x v="4"/>
    <n v="46"/>
    <n v="49"/>
    <n v="2254"/>
    <n v="924.14"/>
    <n v="0.41"/>
    <x v="2"/>
  </r>
  <r>
    <x v="0"/>
    <n v="1185732"/>
    <x v="218"/>
    <x v="0"/>
    <s v="Delaware"/>
    <s v="Wilmington"/>
    <x v="5"/>
    <n v="39"/>
    <n v="72"/>
    <n v="2808"/>
    <n v="1404"/>
    <n v="0.5"/>
    <x v="2"/>
  </r>
  <r>
    <x v="0"/>
    <n v="1185732"/>
    <x v="237"/>
    <x v="0"/>
    <s v="Delaware"/>
    <s v="Wilmington"/>
    <x v="0"/>
    <n v="36"/>
    <n v="131"/>
    <n v="4716"/>
    <n v="2358"/>
    <n v="0.5"/>
    <x v="2"/>
  </r>
  <r>
    <x v="0"/>
    <n v="1185732"/>
    <x v="237"/>
    <x v="0"/>
    <s v="Delaware"/>
    <s v="Wilmington"/>
    <x v="1"/>
    <n v="38"/>
    <n v="61"/>
    <n v="2318"/>
    <n v="1089.46"/>
    <n v="0.47"/>
    <x v="2"/>
  </r>
  <r>
    <x v="0"/>
    <n v="1185732"/>
    <x v="237"/>
    <x v="0"/>
    <s v="Delaware"/>
    <s v="Wilmington"/>
    <x v="2"/>
    <n v="27"/>
    <n v="59"/>
    <n v="1593"/>
    <n v="876.15000000000009"/>
    <n v="0.55000000000000004"/>
    <x v="2"/>
  </r>
  <r>
    <x v="0"/>
    <n v="1185732"/>
    <x v="237"/>
    <x v="0"/>
    <s v="Delaware"/>
    <s v="Wilmington"/>
    <x v="3"/>
    <n v="32"/>
    <n v="44"/>
    <n v="1408"/>
    <n v="718.08"/>
    <n v="0.51"/>
    <x v="2"/>
  </r>
  <r>
    <x v="0"/>
    <n v="1185732"/>
    <x v="237"/>
    <x v="0"/>
    <s v="Delaware"/>
    <s v="Wilmington"/>
    <x v="4"/>
    <n v="47"/>
    <n v="45"/>
    <n v="2115"/>
    <n v="951.74999999999989"/>
    <n v="0.44999999999999996"/>
    <x v="2"/>
  </r>
  <r>
    <x v="0"/>
    <n v="1185732"/>
    <x v="237"/>
    <x v="0"/>
    <s v="Delaware"/>
    <s v="Wilmington"/>
    <x v="5"/>
    <n v="38"/>
    <n v="78"/>
    <n v="2964"/>
    <n v="1600.5600000000002"/>
    <n v="0.54"/>
    <x v="2"/>
  </r>
  <r>
    <x v="0"/>
    <n v="1185732"/>
    <x v="266"/>
    <x v="0"/>
    <s v="Delaware"/>
    <s v="Wilmington"/>
    <x v="0"/>
    <n v="51"/>
    <n v="160"/>
    <n v="8160"/>
    <n v="3916.7999999999997"/>
    <n v="0.48"/>
    <x v="2"/>
  </r>
  <r>
    <x v="0"/>
    <n v="1185732"/>
    <x v="266"/>
    <x v="0"/>
    <s v="Delaware"/>
    <s v="Wilmington"/>
    <x v="1"/>
    <n v="47"/>
    <n v="69"/>
    <n v="3243"/>
    <n v="1459.35"/>
    <n v="0.44999999999999996"/>
    <x v="2"/>
  </r>
  <r>
    <x v="0"/>
    <n v="1185732"/>
    <x v="266"/>
    <x v="0"/>
    <s v="Delaware"/>
    <s v="Wilmington"/>
    <x v="2"/>
    <n v="41"/>
    <n v="81"/>
    <n v="3321"/>
    <n v="1726.92"/>
    <n v="0.52"/>
    <x v="2"/>
  </r>
  <r>
    <x v="0"/>
    <n v="1185732"/>
    <x v="266"/>
    <x v="0"/>
    <s v="Delaware"/>
    <s v="Wilmington"/>
    <x v="3"/>
    <n v="41"/>
    <n v="65"/>
    <n v="2665"/>
    <n v="1385.8"/>
    <n v="0.52"/>
    <x v="2"/>
  </r>
  <r>
    <x v="0"/>
    <n v="1185732"/>
    <x v="266"/>
    <x v="0"/>
    <s v="Delaware"/>
    <s v="Wilmington"/>
    <x v="4"/>
    <n v="50"/>
    <n v="74"/>
    <n v="3700"/>
    <n v="1554"/>
    <n v="0.42"/>
    <x v="2"/>
  </r>
  <r>
    <x v="0"/>
    <n v="1185732"/>
    <x v="266"/>
    <x v="0"/>
    <s v="Delaware"/>
    <s v="Wilmington"/>
    <x v="5"/>
    <n v="54"/>
    <n v="104"/>
    <n v="5616"/>
    <n v="3088.8"/>
    <n v="0.55000000000000004"/>
    <x v="2"/>
  </r>
  <r>
    <x v="0"/>
    <n v="1185732"/>
    <x v="299"/>
    <x v="0"/>
    <s v="Delaware"/>
    <s v="Wilmington"/>
    <x v="0"/>
    <n v="51"/>
    <n v="189"/>
    <n v="9639"/>
    <n v="4433.9399999999996"/>
    <n v="0.45999999999999996"/>
    <x v="2"/>
  </r>
  <r>
    <x v="0"/>
    <n v="1185732"/>
    <x v="299"/>
    <x v="0"/>
    <s v="Delaware"/>
    <s v="Wilmington"/>
    <x v="1"/>
    <n v="48"/>
    <n v="120"/>
    <n v="5760"/>
    <n v="2591.9999999999995"/>
    <n v="0.44999999999999996"/>
    <x v="2"/>
  </r>
  <r>
    <x v="0"/>
    <n v="1185732"/>
    <x v="299"/>
    <x v="0"/>
    <s v="Delaware"/>
    <s v="Wilmington"/>
    <x v="2"/>
    <n v="43"/>
    <n v="85"/>
    <n v="3655"/>
    <n v="1937.15"/>
    <n v="0.53"/>
    <x v="2"/>
  </r>
  <r>
    <x v="0"/>
    <n v="1185732"/>
    <x v="299"/>
    <x v="0"/>
    <s v="Delaware"/>
    <s v="Wilmington"/>
    <x v="3"/>
    <n v="41"/>
    <n v="75"/>
    <n v="3075"/>
    <n v="1691.2500000000002"/>
    <n v="0.55000000000000004"/>
    <x v="2"/>
  </r>
  <r>
    <x v="0"/>
    <n v="1185732"/>
    <x v="299"/>
    <x v="0"/>
    <s v="Delaware"/>
    <s v="Wilmington"/>
    <x v="4"/>
    <n v="50"/>
    <n v="75"/>
    <n v="3750"/>
    <n v="1500"/>
    <n v="0.4"/>
    <x v="2"/>
  </r>
  <r>
    <x v="0"/>
    <n v="1185732"/>
    <x v="299"/>
    <x v="0"/>
    <s v="Delaware"/>
    <s v="Wilmington"/>
    <x v="5"/>
    <n v="56"/>
    <n v="135"/>
    <n v="7560"/>
    <n v="4006.8"/>
    <n v="0.53"/>
    <x v="2"/>
  </r>
  <r>
    <x v="0"/>
    <n v="1185732"/>
    <x v="327"/>
    <x v="0"/>
    <s v="Delaware"/>
    <s v="Wilmington"/>
    <x v="0"/>
    <n v="53"/>
    <n v="182"/>
    <n v="9646"/>
    <n v="4823"/>
    <n v="0.5"/>
    <x v="2"/>
  </r>
  <r>
    <x v="0"/>
    <n v="1185732"/>
    <x v="327"/>
    <x v="0"/>
    <s v="Delaware"/>
    <s v="Wilmington"/>
    <x v="1"/>
    <n v="47"/>
    <n v="119"/>
    <n v="5593"/>
    <n v="2516.85"/>
    <n v="0.44999999999999996"/>
    <x v="2"/>
  </r>
  <r>
    <x v="0"/>
    <n v="1185732"/>
    <x v="327"/>
    <x v="0"/>
    <s v="Delaware"/>
    <s v="Wilmington"/>
    <x v="2"/>
    <n v="41"/>
    <n v="102"/>
    <n v="4182"/>
    <n v="2258.2800000000002"/>
    <n v="0.54"/>
    <x v="2"/>
  </r>
  <r>
    <x v="0"/>
    <n v="1185732"/>
    <x v="327"/>
    <x v="0"/>
    <s v="Delaware"/>
    <s v="Wilmington"/>
    <x v="3"/>
    <n v="43"/>
    <n v="90"/>
    <n v="3870"/>
    <n v="2051.1"/>
    <n v="0.53"/>
    <x v="2"/>
  </r>
  <r>
    <x v="0"/>
    <n v="1185732"/>
    <x v="327"/>
    <x v="0"/>
    <s v="Delaware"/>
    <s v="Wilmington"/>
    <x v="4"/>
    <n v="51"/>
    <n v="94"/>
    <n v="4794"/>
    <n v="1965.54"/>
    <n v="0.41"/>
    <x v="2"/>
  </r>
  <r>
    <x v="0"/>
    <n v="1185732"/>
    <x v="327"/>
    <x v="0"/>
    <s v="Delaware"/>
    <s v="Wilmington"/>
    <x v="5"/>
    <n v="55"/>
    <n v="145"/>
    <n v="7975"/>
    <n v="3987.5"/>
    <n v="0.5"/>
    <x v="2"/>
  </r>
  <r>
    <x v="0"/>
    <n v="1185732"/>
    <x v="359"/>
    <x v="0"/>
    <s v="Delaware"/>
    <s v="Wilmington"/>
    <x v="0"/>
    <n v="50"/>
    <n v="163"/>
    <n v="8150"/>
    <n v="3993.5"/>
    <n v="0.49"/>
    <x v="2"/>
  </r>
  <r>
    <x v="0"/>
    <n v="1185732"/>
    <x v="359"/>
    <x v="0"/>
    <s v="Delaware"/>
    <s v="Wilmington"/>
    <x v="1"/>
    <n v="47"/>
    <n v="128"/>
    <n v="6016"/>
    <n v="2767.3599999999997"/>
    <n v="0.45999999999999996"/>
    <x v="2"/>
  </r>
  <r>
    <x v="0"/>
    <n v="1185732"/>
    <x v="359"/>
    <x v="0"/>
    <s v="Delaware"/>
    <s v="Wilmington"/>
    <x v="2"/>
    <n v="42"/>
    <n v="105"/>
    <n v="4410"/>
    <n v="2205"/>
    <n v="0.5"/>
    <x v="2"/>
  </r>
  <r>
    <x v="0"/>
    <n v="1185732"/>
    <x v="359"/>
    <x v="0"/>
    <s v="Delaware"/>
    <s v="Wilmington"/>
    <x v="3"/>
    <n v="41"/>
    <n v="63"/>
    <n v="2583"/>
    <n v="1291.5"/>
    <n v="0.5"/>
    <x v="2"/>
  </r>
  <r>
    <x v="0"/>
    <n v="1185732"/>
    <x v="359"/>
    <x v="0"/>
    <s v="Delaware"/>
    <s v="Wilmington"/>
    <x v="4"/>
    <n v="50"/>
    <n v="63"/>
    <n v="3150"/>
    <n v="1417.4999999999998"/>
    <n v="0.44999999999999996"/>
    <x v="2"/>
  </r>
  <r>
    <x v="0"/>
    <n v="1185732"/>
    <x v="359"/>
    <x v="0"/>
    <s v="Delaware"/>
    <s v="Wilmington"/>
    <x v="5"/>
    <n v="59"/>
    <n v="120"/>
    <n v="7080"/>
    <n v="3681.6"/>
    <n v="0.52"/>
    <x v="2"/>
  </r>
  <r>
    <x v="0"/>
    <n v="1185732"/>
    <x v="389"/>
    <x v="0"/>
    <s v="Delaware"/>
    <s v="Wilmington"/>
    <x v="0"/>
    <n v="50"/>
    <n v="142"/>
    <n v="7100"/>
    <n v="3479"/>
    <n v="0.49"/>
    <x v="2"/>
  </r>
  <r>
    <x v="0"/>
    <n v="1185732"/>
    <x v="389"/>
    <x v="0"/>
    <s v="Delaware"/>
    <s v="Wilmington"/>
    <x v="1"/>
    <n v="47"/>
    <n v="85"/>
    <n v="3995"/>
    <n v="1797.7499999999998"/>
    <n v="0.44999999999999996"/>
    <x v="2"/>
  </r>
  <r>
    <x v="0"/>
    <n v="1185732"/>
    <x v="389"/>
    <x v="0"/>
    <s v="Delaware"/>
    <s v="Wilmington"/>
    <x v="2"/>
    <n v="43"/>
    <n v="61"/>
    <n v="2623"/>
    <n v="1337.73"/>
    <n v="0.51"/>
    <x v="2"/>
  </r>
  <r>
    <x v="0"/>
    <n v="1185732"/>
    <x v="389"/>
    <x v="0"/>
    <s v="Delaware"/>
    <s v="Wilmington"/>
    <x v="3"/>
    <n v="41"/>
    <n v="60"/>
    <n v="2460"/>
    <n v="1254.5999999999999"/>
    <n v="0.51"/>
    <x v="2"/>
  </r>
  <r>
    <x v="0"/>
    <n v="1185732"/>
    <x v="389"/>
    <x v="0"/>
    <s v="Delaware"/>
    <s v="Wilmington"/>
    <x v="4"/>
    <n v="50"/>
    <n v="60"/>
    <n v="3000"/>
    <n v="1320"/>
    <n v="0.44"/>
    <x v="2"/>
  </r>
  <r>
    <x v="0"/>
    <n v="1185732"/>
    <x v="389"/>
    <x v="0"/>
    <s v="Delaware"/>
    <s v="Wilmington"/>
    <x v="5"/>
    <n v="58"/>
    <n v="84"/>
    <n v="4872"/>
    <n v="2630.88"/>
    <n v="0.54"/>
    <x v="2"/>
  </r>
  <r>
    <x v="0"/>
    <n v="1185732"/>
    <x v="421"/>
    <x v="0"/>
    <s v="Delaware"/>
    <s v="Wilmington"/>
    <x v="0"/>
    <n v="56"/>
    <n v="128"/>
    <n v="7168"/>
    <n v="3225.5999999999995"/>
    <n v="0.44999999999999996"/>
    <x v="2"/>
  </r>
  <r>
    <x v="0"/>
    <n v="1185732"/>
    <x v="421"/>
    <x v="0"/>
    <s v="Delaware"/>
    <s v="Wilmington"/>
    <x v="1"/>
    <n v="51"/>
    <n v="90"/>
    <n v="4590"/>
    <n v="2111.3999999999996"/>
    <n v="0.45999999999999996"/>
    <x v="2"/>
  </r>
  <r>
    <x v="0"/>
    <n v="1185732"/>
    <x v="421"/>
    <x v="0"/>
    <s v="Delaware"/>
    <s v="Wilmington"/>
    <x v="2"/>
    <n v="50"/>
    <n v="52"/>
    <n v="2600"/>
    <n v="1430.0000000000002"/>
    <n v="0.55000000000000004"/>
    <x v="2"/>
  </r>
  <r>
    <x v="0"/>
    <n v="1185732"/>
    <x v="421"/>
    <x v="0"/>
    <s v="Delaware"/>
    <s v="Wilmington"/>
    <x v="3"/>
    <n v="52"/>
    <n v="44"/>
    <n v="2288"/>
    <n v="1144"/>
    <n v="0.5"/>
    <x v="2"/>
  </r>
  <r>
    <x v="0"/>
    <n v="1185732"/>
    <x v="421"/>
    <x v="0"/>
    <s v="Delaware"/>
    <s v="Wilmington"/>
    <x v="4"/>
    <n v="62"/>
    <n v="49"/>
    <n v="3038"/>
    <n v="1215.2"/>
    <n v="0.4"/>
    <x v="2"/>
  </r>
  <r>
    <x v="4"/>
    <n v="1185732"/>
    <x v="421"/>
    <x v="0"/>
    <s v="Delaware"/>
    <s v="Wilmington"/>
    <x v="5"/>
    <n v="63"/>
    <n v="78"/>
    <n v="4914"/>
    <n v="2702.7000000000003"/>
    <n v="0.55000000000000004"/>
    <x v="2"/>
  </r>
  <r>
    <x v="4"/>
    <n v="1185732"/>
    <x v="451"/>
    <x v="0"/>
    <s v="Delaware"/>
    <s v="Wilmington"/>
    <x v="0"/>
    <n v="60"/>
    <n v="135"/>
    <n v="8100"/>
    <n v="3807"/>
    <n v="0.47"/>
    <x v="2"/>
  </r>
  <r>
    <x v="4"/>
    <n v="1185732"/>
    <x v="451"/>
    <x v="0"/>
    <s v="Delaware"/>
    <s v="Wilmington"/>
    <x v="1"/>
    <n v="53"/>
    <n v="85"/>
    <n v="4505"/>
    <n v="2072.2999999999997"/>
    <n v="0.45999999999999996"/>
    <x v="2"/>
  </r>
  <r>
    <x v="4"/>
    <n v="1185732"/>
    <x v="451"/>
    <x v="0"/>
    <s v="Delaware"/>
    <s v="Wilmington"/>
    <x v="2"/>
    <n v="52"/>
    <n v="86"/>
    <n v="4472"/>
    <n v="2280.7200000000003"/>
    <n v="0.51"/>
    <x v="2"/>
  </r>
  <r>
    <x v="4"/>
    <n v="1185732"/>
    <x v="451"/>
    <x v="0"/>
    <s v="Delaware"/>
    <s v="Wilmington"/>
    <x v="3"/>
    <n v="51"/>
    <n v="84"/>
    <n v="4284"/>
    <n v="2270.52"/>
    <n v="0.53"/>
    <x v="2"/>
  </r>
  <r>
    <x v="4"/>
    <n v="1185732"/>
    <x v="451"/>
    <x v="0"/>
    <s v="Delaware"/>
    <s v="Wilmington"/>
    <x v="4"/>
    <n v="60"/>
    <n v="72"/>
    <n v="4320"/>
    <n v="1728"/>
    <n v="0.4"/>
    <x v="2"/>
  </r>
  <r>
    <x v="4"/>
    <n v="1185732"/>
    <x v="451"/>
    <x v="0"/>
    <s v="Delaware"/>
    <s v="Wilmington"/>
    <x v="5"/>
    <n v="64"/>
    <n v="98"/>
    <n v="6272"/>
    <n v="3449.6000000000004"/>
    <n v="0.55000000000000004"/>
    <x v="2"/>
  </r>
  <r>
    <x v="4"/>
    <n v="1185732"/>
    <x v="480"/>
    <x v="0"/>
    <s v="Delaware"/>
    <s v="Wilmington"/>
    <x v="0"/>
    <n v="62"/>
    <n v="168"/>
    <n v="10416"/>
    <n v="4895.5199999999995"/>
    <n v="0.47"/>
    <x v="2"/>
  </r>
  <r>
    <x v="4"/>
    <n v="1185732"/>
    <x v="480"/>
    <x v="0"/>
    <s v="Delaware"/>
    <s v="Wilmington"/>
    <x v="1"/>
    <n v="50"/>
    <n v="100"/>
    <n v="5000"/>
    <n v="2400"/>
    <n v="0.48"/>
    <x v="2"/>
  </r>
  <r>
    <x v="4"/>
    <n v="1185732"/>
    <x v="480"/>
    <x v="0"/>
    <s v="Delaware"/>
    <s v="Wilmington"/>
    <x v="2"/>
    <n v="50"/>
    <n v="109"/>
    <n v="5450"/>
    <n v="2943"/>
    <n v="0.54"/>
    <x v="2"/>
  </r>
  <r>
    <x v="4"/>
    <n v="1185732"/>
    <x v="480"/>
    <x v="0"/>
    <s v="Delaware"/>
    <s v="Wilmington"/>
    <x v="3"/>
    <n v="53"/>
    <n v="98"/>
    <n v="5194"/>
    <n v="2804.76"/>
    <n v="0.54"/>
    <x v="2"/>
  </r>
  <r>
    <x v="4"/>
    <n v="1185732"/>
    <x v="480"/>
    <x v="0"/>
    <s v="Delaware"/>
    <s v="Wilmington"/>
    <x v="4"/>
    <n v="61"/>
    <n v="91"/>
    <n v="5551"/>
    <n v="2220.4"/>
    <n v="0.4"/>
    <x v="2"/>
  </r>
  <r>
    <x v="4"/>
    <n v="1185732"/>
    <x v="480"/>
    <x v="0"/>
    <s v="Delaware"/>
    <s v="Wilmington"/>
    <x v="5"/>
    <n v="65"/>
    <n v="123"/>
    <n v="7995"/>
    <n v="3997.5"/>
    <n v="0.5"/>
    <x v="2"/>
  </r>
  <r>
    <x v="4"/>
    <n v="1185732"/>
    <x v="174"/>
    <x v="0"/>
    <s v="Delaware"/>
    <s v="Wilmington"/>
    <x v="0"/>
    <n v="32"/>
    <n v="138"/>
    <n v="4416"/>
    <n v="2208"/>
    <n v="0.5"/>
    <x v="2"/>
  </r>
  <r>
    <x v="4"/>
    <n v="1185732"/>
    <x v="174"/>
    <x v="0"/>
    <s v="Delaware"/>
    <s v="Wilmington"/>
    <x v="1"/>
    <n v="33"/>
    <n v="77"/>
    <n v="2541"/>
    <n v="1194.27"/>
    <n v="0.47"/>
    <x v="2"/>
  </r>
  <r>
    <x v="4"/>
    <n v="1185732"/>
    <x v="174"/>
    <x v="0"/>
    <s v="Delaware"/>
    <s v="Wilmington"/>
    <x v="2"/>
    <n v="24"/>
    <n v="72"/>
    <n v="1728"/>
    <n v="881.28"/>
    <n v="0.51"/>
    <x v="2"/>
  </r>
  <r>
    <x v="4"/>
    <n v="1185732"/>
    <x v="174"/>
    <x v="0"/>
    <s v="Delaware"/>
    <s v="Wilmington"/>
    <x v="3"/>
    <n v="27"/>
    <n v="38"/>
    <n v="1026"/>
    <n v="513"/>
    <n v="0.5"/>
    <x v="2"/>
  </r>
  <r>
    <x v="4"/>
    <n v="1185732"/>
    <x v="174"/>
    <x v="0"/>
    <s v="Delaware"/>
    <s v="Wilmington"/>
    <x v="4"/>
    <n v="41"/>
    <n v="47"/>
    <n v="1927"/>
    <n v="770.80000000000007"/>
    <n v="0.4"/>
    <x v="2"/>
  </r>
  <r>
    <x v="4"/>
    <n v="1185732"/>
    <x v="174"/>
    <x v="0"/>
    <s v="Delaware"/>
    <s v="Wilmington"/>
    <x v="5"/>
    <n v="33"/>
    <n v="69"/>
    <n v="2277"/>
    <n v="1252.3500000000001"/>
    <n v="0.55000000000000004"/>
    <x v="2"/>
  </r>
  <r>
    <x v="4"/>
    <n v="1185732"/>
    <x v="203"/>
    <x v="0"/>
    <s v="Delaware"/>
    <s v="Wilmington"/>
    <x v="0"/>
    <n v="34"/>
    <n v="147"/>
    <n v="4998"/>
    <n v="2399.04"/>
    <n v="0.48"/>
    <x v="2"/>
  </r>
  <r>
    <x v="4"/>
    <n v="1185732"/>
    <x v="203"/>
    <x v="0"/>
    <s v="Delaware"/>
    <s v="Wilmington"/>
    <x v="1"/>
    <n v="32"/>
    <n v="53"/>
    <n v="1696"/>
    <n v="848"/>
    <n v="0.5"/>
    <x v="2"/>
  </r>
  <r>
    <x v="4"/>
    <n v="1185732"/>
    <x v="203"/>
    <x v="0"/>
    <s v="Delaware"/>
    <s v="Wilmington"/>
    <x v="2"/>
    <n v="24"/>
    <n v="63"/>
    <n v="1512"/>
    <n v="771.12"/>
    <n v="0.51"/>
    <x v="2"/>
  </r>
  <r>
    <x v="4"/>
    <n v="1185732"/>
    <x v="203"/>
    <x v="0"/>
    <s v="New Jersey"/>
    <s v="Newark"/>
    <x v="3"/>
    <n v="29"/>
    <n v="30"/>
    <n v="870"/>
    <n v="461.1"/>
    <n v="0.53"/>
    <x v="2"/>
  </r>
  <r>
    <x v="4"/>
    <n v="1185732"/>
    <x v="203"/>
    <x v="0"/>
    <s v="New Jersey"/>
    <s v="Newark"/>
    <x v="4"/>
    <n v="41"/>
    <n v="47"/>
    <n v="1927"/>
    <n v="770.80000000000007"/>
    <n v="0.4"/>
    <x v="2"/>
  </r>
  <r>
    <x v="4"/>
    <n v="1185732"/>
    <x v="203"/>
    <x v="0"/>
    <s v="New Jersey"/>
    <s v="Newark"/>
    <x v="5"/>
    <n v="32"/>
    <n v="74"/>
    <n v="2368"/>
    <n v="1255.04"/>
    <n v="0.53"/>
    <x v="2"/>
  </r>
  <r>
    <x v="4"/>
    <n v="1185732"/>
    <x v="708"/>
    <x v="0"/>
    <s v="New Jersey"/>
    <s v="Newark"/>
    <x v="0"/>
    <n v="32"/>
    <n v="144"/>
    <n v="4608"/>
    <n v="2119.6799999999998"/>
    <n v="0.45999999999999996"/>
    <x v="2"/>
  </r>
  <r>
    <x v="4"/>
    <n v="1185732"/>
    <x v="708"/>
    <x v="0"/>
    <s v="New Jersey"/>
    <s v="Newark"/>
    <x v="1"/>
    <n v="32"/>
    <n v="58"/>
    <n v="1856"/>
    <n v="909.43999999999994"/>
    <n v="0.49"/>
    <x v="2"/>
  </r>
  <r>
    <x v="4"/>
    <n v="1185732"/>
    <x v="708"/>
    <x v="0"/>
    <s v="New Jersey"/>
    <s v="Newark"/>
    <x v="2"/>
    <n v="24"/>
    <n v="59"/>
    <n v="1416"/>
    <n v="750.48"/>
    <n v="0.53"/>
    <x v="2"/>
  </r>
  <r>
    <x v="4"/>
    <n v="1185732"/>
    <x v="708"/>
    <x v="0"/>
    <s v="New Jersey"/>
    <s v="Newark"/>
    <x v="3"/>
    <n v="27"/>
    <n v="22"/>
    <n v="594"/>
    <n v="308.88"/>
    <n v="0.52"/>
    <x v="2"/>
  </r>
  <r>
    <x v="4"/>
    <n v="1185732"/>
    <x v="708"/>
    <x v="0"/>
    <s v="New Jersey"/>
    <s v="Newark"/>
    <x v="4"/>
    <n v="43"/>
    <n v="34"/>
    <n v="1462"/>
    <n v="657.9"/>
    <n v="0.44999999999999996"/>
    <x v="2"/>
  </r>
  <r>
    <x v="4"/>
    <n v="1185732"/>
    <x v="708"/>
    <x v="0"/>
    <s v="New Jersey"/>
    <s v="Newark"/>
    <x v="5"/>
    <n v="32"/>
    <n v="61"/>
    <n v="1952"/>
    <n v="976"/>
    <n v="0.5"/>
    <x v="2"/>
  </r>
  <r>
    <x v="4"/>
    <n v="1185732"/>
    <x v="230"/>
    <x v="0"/>
    <s v="New Jersey"/>
    <s v="Newark"/>
    <x v="0"/>
    <n v="34"/>
    <n v="133"/>
    <n v="4522"/>
    <n v="2261"/>
    <n v="0.5"/>
    <x v="2"/>
  </r>
  <r>
    <x v="4"/>
    <n v="1185732"/>
    <x v="230"/>
    <x v="0"/>
    <s v="New Jersey"/>
    <s v="Newark"/>
    <x v="1"/>
    <n v="33"/>
    <n v="51"/>
    <n v="1683"/>
    <n v="774.18"/>
    <n v="0.45999999999999996"/>
    <x v="2"/>
  </r>
  <r>
    <x v="4"/>
    <n v="1185732"/>
    <x v="230"/>
    <x v="0"/>
    <s v="New Jersey"/>
    <s v="Newark"/>
    <x v="2"/>
    <n v="24"/>
    <n v="51"/>
    <n v="1224"/>
    <n v="612"/>
    <n v="0.5"/>
    <x v="2"/>
  </r>
  <r>
    <x v="4"/>
    <n v="1185732"/>
    <x v="230"/>
    <x v="0"/>
    <s v="New Jersey"/>
    <s v="Newark"/>
    <x v="3"/>
    <n v="27"/>
    <n v="27"/>
    <n v="729"/>
    <n v="371.79"/>
    <n v="0.51"/>
    <x v="2"/>
  </r>
  <r>
    <x v="4"/>
    <n v="1185732"/>
    <x v="230"/>
    <x v="0"/>
    <s v="New Jersey"/>
    <s v="Newark"/>
    <x v="4"/>
    <n v="44"/>
    <n v="27"/>
    <n v="1188"/>
    <n v="522.72"/>
    <n v="0.44"/>
    <x v="2"/>
  </r>
  <r>
    <x v="4"/>
    <n v="1185732"/>
    <x v="230"/>
    <x v="0"/>
    <s v="New Jersey"/>
    <s v="Newark"/>
    <x v="5"/>
    <n v="33"/>
    <n v="68"/>
    <n v="2244"/>
    <n v="1211.76"/>
    <n v="0.54"/>
    <x v="2"/>
  </r>
  <r>
    <x v="4"/>
    <n v="1185732"/>
    <x v="259"/>
    <x v="0"/>
    <s v="New Jersey"/>
    <s v="Newark"/>
    <x v="0"/>
    <n v="48"/>
    <n v="130"/>
    <n v="6240"/>
    <n v="2932.7999999999997"/>
    <n v="0.47"/>
    <x v="2"/>
  </r>
  <r>
    <x v="4"/>
    <n v="1185732"/>
    <x v="259"/>
    <x v="0"/>
    <s v="New Jersey"/>
    <s v="Newark"/>
    <x v="1"/>
    <n v="41"/>
    <n v="68"/>
    <n v="2788"/>
    <n v="1394"/>
    <n v="0.5"/>
    <x v="2"/>
  </r>
  <r>
    <x v="4"/>
    <n v="1185732"/>
    <x v="259"/>
    <x v="0"/>
    <s v="New Jersey"/>
    <s v="Newark"/>
    <x v="2"/>
    <n v="38"/>
    <n v="75"/>
    <n v="2850"/>
    <n v="1425"/>
    <n v="0.5"/>
    <x v="2"/>
  </r>
  <r>
    <x v="4"/>
    <n v="1185732"/>
    <x v="259"/>
    <x v="0"/>
    <s v="New Jersey"/>
    <s v="Newark"/>
    <x v="3"/>
    <n v="38"/>
    <n v="56"/>
    <n v="2128"/>
    <n v="1064"/>
    <n v="0.5"/>
    <x v="2"/>
  </r>
  <r>
    <x v="4"/>
    <n v="1185732"/>
    <x v="259"/>
    <x v="0"/>
    <s v="New Jersey"/>
    <s v="Newark"/>
    <x v="4"/>
    <n v="47"/>
    <n v="68"/>
    <n v="3196"/>
    <n v="1310.3599999999999"/>
    <n v="0.41"/>
    <x v="2"/>
  </r>
  <r>
    <x v="4"/>
    <n v="1185732"/>
    <x v="259"/>
    <x v="0"/>
    <s v="New Jersey"/>
    <s v="Newark"/>
    <x v="5"/>
    <n v="51"/>
    <n v="102"/>
    <n v="5202"/>
    <n v="2705.04"/>
    <n v="0.52"/>
    <x v="2"/>
  </r>
  <r>
    <x v="4"/>
    <n v="1185732"/>
    <x v="292"/>
    <x v="0"/>
    <s v="New Jersey"/>
    <s v="Newark"/>
    <x v="0"/>
    <n v="45"/>
    <n v="156"/>
    <n v="7020"/>
    <n v="3229.2"/>
    <n v="0.45999999999999996"/>
    <x v="2"/>
  </r>
  <r>
    <x v="4"/>
    <n v="1185732"/>
    <x v="292"/>
    <x v="0"/>
    <s v="New Jersey"/>
    <s v="Newark"/>
    <x v="1"/>
    <n v="44"/>
    <n v="105"/>
    <n v="4620"/>
    <n v="2125.1999999999998"/>
    <n v="0.45999999999999996"/>
    <x v="2"/>
  </r>
  <r>
    <x v="4"/>
    <n v="1185732"/>
    <x v="292"/>
    <x v="0"/>
    <s v="New Jersey"/>
    <s v="Newark"/>
    <x v="2"/>
    <n v="38"/>
    <n v="69"/>
    <n v="2622"/>
    <n v="1389.66"/>
    <n v="0.53"/>
    <x v="2"/>
  </r>
  <r>
    <x v="4"/>
    <n v="1185732"/>
    <x v="292"/>
    <x v="0"/>
    <s v="New Jersey"/>
    <s v="Newark"/>
    <x v="3"/>
    <n v="39"/>
    <n v="65"/>
    <n v="2535"/>
    <n v="1368.9"/>
    <n v="0.54"/>
    <x v="2"/>
  </r>
  <r>
    <x v="4"/>
    <n v="1185732"/>
    <x v="292"/>
    <x v="0"/>
    <s v="New Jersey"/>
    <s v="Newark"/>
    <x v="4"/>
    <n v="46"/>
    <n v="65"/>
    <n v="2990"/>
    <n v="1345.4999999999998"/>
    <n v="0.44999999999999996"/>
    <x v="2"/>
  </r>
  <r>
    <x v="4"/>
    <n v="1185732"/>
    <x v="292"/>
    <x v="0"/>
    <s v="New Jersey"/>
    <s v="Newark"/>
    <x v="5"/>
    <n v="50"/>
    <n v="120"/>
    <n v="6000"/>
    <n v="3000"/>
    <n v="0.5"/>
    <x v="2"/>
  </r>
  <r>
    <x v="4"/>
    <n v="1185732"/>
    <x v="320"/>
    <x v="0"/>
    <s v="New Jersey"/>
    <s v="Newark"/>
    <x v="0"/>
    <n v="47"/>
    <n v="188"/>
    <n v="8836"/>
    <n v="4152.92"/>
    <n v="0.47"/>
    <x v="2"/>
  </r>
  <r>
    <x v="4"/>
    <n v="1185732"/>
    <x v="320"/>
    <x v="0"/>
    <s v="New Jersey"/>
    <s v="Newark"/>
    <x v="1"/>
    <n v="42"/>
    <n v="98"/>
    <n v="4116"/>
    <n v="2058"/>
    <n v="0.5"/>
    <x v="2"/>
  </r>
  <r>
    <x v="4"/>
    <n v="1185732"/>
    <x v="320"/>
    <x v="0"/>
    <s v="New Jersey"/>
    <s v="Newark"/>
    <x v="2"/>
    <n v="37"/>
    <n v="81"/>
    <n v="2997"/>
    <n v="1558.44"/>
    <n v="0.52"/>
    <x v="2"/>
  </r>
  <r>
    <x v="4"/>
    <n v="1185732"/>
    <x v="320"/>
    <x v="0"/>
    <s v="New Jersey"/>
    <s v="Newark"/>
    <x v="3"/>
    <n v="36"/>
    <n v="63"/>
    <n v="2268"/>
    <n v="1224.72"/>
    <n v="0.54"/>
    <x v="2"/>
  </r>
  <r>
    <x v="4"/>
    <n v="1185732"/>
    <x v="320"/>
    <x v="0"/>
    <s v="New Jersey"/>
    <s v="Newark"/>
    <x v="4"/>
    <n v="48"/>
    <n v="74"/>
    <n v="3552"/>
    <n v="1527.36"/>
    <n v="0.43"/>
    <x v="2"/>
  </r>
  <r>
    <x v="4"/>
    <n v="1185732"/>
    <x v="320"/>
    <x v="0"/>
    <s v="New Jersey"/>
    <s v="Newark"/>
    <x v="5"/>
    <n v="54"/>
    <n v="131"/>
    <n v="7074"/>
    <n v="3749.2200000000003"/>
    <n v="0.53"/>
    <x v="2"/>
  </r>
  <r>
    <x v="4"/>
    <n v="1185732"/>
    <x v="352"/>
    <x v="0"/>
    <s v="New Jersey"/>
    <s v="Newark"/>
    <x v="0"/>
    <n v="47"/>
    <n v="180"/>
    <n v="8460"/>
    <n v="4060.7999999999997"/>
    <n v="0.48"/>
    <x v="2"/>
  </r>
  <r>
    <x v="4"/>
    <n v="1185732"/>
    <x v="352"/>
    <x v="0"/>
    <s v="New Jersey"/>
    <s v="Newark"/>
    <x v="1"/>
    <n v="42"/>
    <n v="101"/>
    <n v="4242"/>
    <n v="1993.7399999999998"/>
    <n v="0.47"/>
    <x v="2"/>
  </r>
  <r>
    <x v="4"/>
    <n v="1185732"/>
    <x v="352"/>
    <x v="0"/>
    <s v="New Jersey"/>
    <s v="Newark"/>
    <x v="2"/>
    <n v="37"/>
    <n v="75"/>
    <n v="2775"/>
    <n v="1498.5"/>
    <n v="0.54"/>
    <x v="2"/>
  </r>
  <r>
    <x v="4"/>
    <n v="1185732"/>
    <x v="352"/>
    <x v="0"/>
    <s v="New Jersey"/>
    <s v="Newark"/>
    <x v="3"/>
    <n v="36"/>
    <n v="52"/>
    <n v="1872"/>
    <n v="954.72"/>
    <n v="0.51"/>
    <x v="2"/>
  </r>
  <r>
    <x v="4"/>
    <n v="1185732"/>
    <x v="352"/>
    <x v="0"/>
    <s v="New Jersey"/>
    <s v="Newark"/>
    <x v="4"/>
    <n v="46"/>
    <n v="46"/>
    <n v="2116"/>
    <n v="909.88"/>
    <n v="0.43"/>
    <x v="2"/>
  </r>
  <r>
    <x v="4"/>
    <n v="1185732"/>
    <x v="352"/>
    <x v="0"/>
    <s v="New Jersey"/>
    <s v="Newark"/>
    <x v="5"/>
    <n v="52"/>
    <n v="105"/>
    <n v="5460"/>
    <n v="2893.8"/>
    <n v="0.53"/>
    <x v="2"/>
  </r>
  <r>
    <x v="4"/>
    <n v="1185732"/>
    <x v="382"/>
    <x v="0"/>
    <s v="New Jersey"/>
    <s v="Newark"/>
    <x v="0"/>
    <n v="46"/>
    <n v="124"/>
    <n v="5704"/>
    <n v="2794.96"/>
    <n v="0.49"/>
    <x v="2"/>
  </r>
  <r>
    <x v="4"/>
    <n v="1185732"/>
    <x v="382"/>
    <x v="0"/>
    <s v="New Jersey"/>
    <s v="Newark"/>
    <x v="1"/>
    <n v="41"/>
    <n v="72"/>
    <n v="2952"/>
    <n v="1476"/>
    <n v="0.5"/>
    <x v="2"/>
  </r>
  <r>
    <x v="4"/>
    <n v="1185732"/>
    <x v="382"/>
    <x v="0"/>
    <s v="New Jersey"/>
    <s v="Newark"/>
    <x v="2"/>
    <n v="39"/>
    <n v="51"/>
    <n v="1989"/>
    <n v="1054.17"/>
    <n v="0.53"/>
    <x v="2"/>
  </r>
  <r>
    <x v="4"/>
    <n v="1185732"/>
    <x v="382"/>
    <x v="0"/>
    <s v="New Jersey"/>
    <s v="Newark"/>
    <x v="3"/>
    <n v="37"/>
    <n v="38"/>
    <n v="1406"/>
    <n v="745.18000000000006"/>
    <n v="0.53"/>
    <x v="2"/>
  </r>
  <r>
    <x v="4"/>
    <n v="1185732"/>
    <x v="382"/>
    <x v="0"/>
    <s v="New Jersey"/>
    <s v="Newark"/>
    <x v="4"/>
    <n v="47"/>
    <n v="41"/>
    <n v="1927"/>
    <n v="790.06999999999994"/>
    <n v="0.41"/>
    <x v="2"/>
  </r>
  <r>
    <x v="4"/>
    <n v="1185732"/>
    <x v="382"/>
    <x v="0"/>
    <s v="New Jersey"/>
    <s v="Newark"/>
    <x v="5"/>
    <n v="50"/>
    <n v="73"/>
    <n v="3650"/>
    <n v="1934.5"/>
    <n v="0.53"/>
    <x v="2"/>
  </r>
  <r>
    <x v="4"/>
    <n v="1185732"/>
    <x v="414"/>
    <x v="0"/>
    <s v="New Jersey"/>
    <s v="Newark"/>
    <x v="0"/>
    <n v="53"/>
    <n v="119"/>
    <n v="6307"/>
    <n v="2901.22"/>
    <n v="0.45999999999999996"/>
    <x v="2"/>
  </r>
  <r>
    <x v="4"/>
    <n v="1185732"/>
    <x v="414"/>
    <x v="0"/>
    <s v="New Jersey"/>
    <s v="Newark"/>
    <x v="1"/>
    <n v="48"/>
    <n v="63"/>
    <n v="3024"/>
    <n v="1512"/>
    <n v="0.5"/>
    <x v="2"/>
  </r>
  <r>
    <x v="4"/>
    <n v="1185732"/>
    <x v="414"/>
    <x v="0"/>
    <s v="New Jersey"/>
    <s v="Newark"/>
    <x v="2"/>
    <n v="46"/>
    <n v="42"/>
    <n v="1932"/>
    <n v="966"/>
    <n v="0.5"/>
    <x v="2"/>
  </r>
  <r>
    <x v="4"/>
    <n v="1185732"/>
    <x v="414"/>
    <x v="0"/>
    <s v="New Jersey"/>
    <s v="Newark"/>
    <x v="3"/>
    <n v="48"/>
    <n v="31"/>
    <n v="1488"/>
    <n v="773.76"/>
    <n v="0.52"/>
    <x v="2"/>
  </r>
  <r>
    <x v="4"/>
    <n v="1185732"/>
    <x v="414"/>
    <x v="0"/>
    <s v="New Jersey"/>
    <s v="Newark"/>
    <x v="4"/>
    <n v="58"/>
    <n v="38"/>
    <n v="2204"/>
    <n v="903.64"/>
    <n v="0.41"/>
    <x v="2"/>
  </r>
  <r>
    <x v="2"/>
    <n v="1185732"/>
    <x v="414"/>
    <x v="0"/>
    <s v="New Jersey"/>
    <s v="Newark"/>
    <x v="5"/>
    <n v="62"/>
    <n v="68"/>
    <n v="4216"/>
    <n v="2234.48"/>
    <n v="0.53"/>
    <x v="2"/>
  </r>
  <r>
    <x v="2"/>
    <n v="1185732"/>
    <x v="444"/>
    <x v="0"/>
    <s v="New Jersey"/>
    <s v="Newark"/>
    <x v="0"/>
    <n v="59"/>
    <n v="108"/>
    <n v="6372"/>
    <n v="3058.56"/>
    <n v="0.48"/>
    <x v="2"/>
  </r>
  <r>
    <x v="2"/>
    <n v="1185732"/>
    <x v="444"/>
    <x v="0"/>
    <s v="New Jersey"/>
    <s v="Newark"/>
    <x v="1"/>
    <n v="46"/>
    <n v="80"/>
    <n v="3680"/>
    <n v="1803.2"/>
    <n v="0.49"/>
    <x v="2"/>
  </r>
  <r>
    <x v="2"/>
    <n v="1185732"/>
    <x v="444"/>
    <x v="0"/>
    <s v="New Jersey"/>
    <s v="Newark"/>
    <x v="2"/>
    <n v="48"/>
    <n v="68"/>
    <n v="3264"/>
    <n v="1664.64"/>
    <n v="0.51"/>
    <x v="2"/>
  </r>
  <r>
    <x v="2"/>
    <n v="1185732"/>
    <x v="444"/>
    <x v="0"/>
    <s v="New Jersey"/>
    <s v="Newark"/>
    <x v="3"/>
    <n v="49"/>
    <n v="65"/>
    <n v="3185"/>
    <n v="1751.7500000000002"/>
    <n v="0.55000000000000004"/>
    <x v="2"/>
  </r>
  <r>
    <x v="2"/>
    <n v="1185732"/>
    <x v="444"/>
    <x v="0"/>
    <s v="New Jersey"/>
    <s v="Newark"/>
    <x v="4"/>
    <n v="55"/>
    <n v="59"/>
    <n v="3245"/>
    <n v="1427.8"/>
    <n v="0.44"/>
    <x v="2"/>
  </r>
  <r>
    <x v="2"/>
    <n v="1185732"/>
    <x v="444"/>
    <x v="0"/>
    <s v="New Jersey"/>
    <s v="Newark"/>
    <x v="5"/>
    <n v="59"/>
    <n v="91"/>
    <n v="5369"/>
    <n v="2845.57"/>
    <n v="0.53"/>
    <x v="2"/>
  </r>
  <r>
    <x v="2"/>
    <n v="1185732"/>
    <x v="473"/>
    <x v="0"/>
    <s v="New Jersey"/>
    <s v="Newark"/>
    <x v="0"/>
    <n v="55"/>
    <n v="149"/>
    <n v="8195"/>
    <n v="3933.6"/>
    <n v="0.48"/>
    <x v="2"/>
  </r>
  <r>
    <x v="2"/>
    <n v="1185732"/>
    <x v="473"/>
    <x v="0"/>
    <s v="New Jersey"/>
    <s v="Newark"/>
    <x v="1"/>
    <n v="49"/>
    <n v="105"/>
    <n v="5145"/>
    <n v="2469.6"/>
    <n v="0.48"/>
    <x v="2"/>
  </r>
  <r>
    <x v="2"/>
    <n v="1185732"/>
    <x v="473"/>
    <x v="0"/>
    <s v="New Jersey"/>
    <s v="Newark"/>
    <x v="2"/>
    <n v="49"/>
    <n v="91"/>
    <n v="4459"/>
    <n v="2229.5"/>
    <n v="0.5"/>
    <x v="2"/>
  </r>
  <r>
    <x v="2"/>
    <n v="1185732"/>
    <x v="473"/>
    <x v="0"/>
    <s v="New Jersey"/>
    <s v="Newark"/>
    <x v="3"/>
    <n v="47"/>
    <n v="83"/>
    <n v="3901"/>
    <n v="1989.51"/>
    <n v="0.51"/>
    <x v="2"/>
  </r>
  <r>
    <x v="2"/>
    <n v="1185732"/>
    <x v="473"/>
    <x v="0"/>
    <s v="New Jersey"/>
    <s v="Newark"/>
    <x v="4"/>
    <n v="55"/>
    <n v="83"/>
    <n v="4565"/>
    <n v="2054.25"/>
    <n v="0.44999999999999996"/>
    <x v="2"/>
  </r>
  <r>
    <x v="2"/>
    <n v="1185732"/>
    <x v="473"/>
    <x v="0"/>
    <s v="New Jersey"/>
    <s v="Newark"/>
    <x v="5"/>
    <n v="59"/>
    <n v="101"/>
    <n v="5959"/>
    <n v="3217.86"/>
    <n v="0.54"/>
    <x v="2"/>
  </r>
  <r>
    <x v="2"/>
    <n v="1185732"/>
    <x v="171"/>
    <x v="0"/>
    <s v="New Jersey"/>
    <s v="Newark"/>
    <x v="0"/>
    <n v="38"/>
    <n v="125"/>
    <n v="4750"/>
    <n v="2422.5"/>
    <n v="0.51"/>
    <x v="2"/>
  </r>
  <r>
    <x v="2"/>
    <n v="1185732"/>
    <x v="171"/>
    <x v="0"/>
    <s v="New Jersey"/>
    <s v="Newark"/>
    <x v="1"/>
    <n v="37"/>
    <n v="87"/>
    <n v="3219"/>
    <n v="1673.88"/>
    <n v="0.52"/>
    <x v="2"/>
  </r>
  <r>
    <x v="2"/>
    <n v="1185732"/>
    <x v="171"/>
    <x v="0"/>
    <s v="New Jersey"/>
    <s v="Newark"/>
    <x v="2"/>
    <n v="28"/>
    <n v="90"/>
    <n v="2520"/>
    <n v="1008"/>
    <n v="0.4"/>
    <x v="2"/>
  </r>
  <r>
    <x v="2"/>
    <n v="1185732"/>
    <x v="171"/>
    <x v="0"/>
    <s v="New Jersey"/>
    <s v="Newark"/>
    <x v="3"/>
    <n v="33"/>
    <n v="42"/>
    <n v="1386"/>
    <n v="609.84"/>
    <n v="0.44"/>
    <x v="2"/>
  </r>
  <r>
    <x v="2"/>
    <n v="1185732"/>
    <x v="171"/>
    <x v="0"/>
    <s v="New Jersey"/>
    <s v="Newark"/>
    <x v="4"/>
    <n v="49"/>
    <n v="60"/>
    <n v="2940"/>
    <n v="1205.3999999999999"/>
    <n v="0.41"/>
    <x v="2"/>
  </r>
  <r>
    <x v="2"/>
    <n v="1185732"/>
    <x v="171"/>
    <x v="0"/>
    <s v="New Jersey"/>
    <s v="Newark"/>
    <x v="5"/>
    <n v="37"/>
    <n v="81"/>
    <n v="2997"/>
    <n v="1498.5"/>
    <n v="0.5"/>
    <x v="2"/>
  </r>
  <r>
    <x v="2"/>
    <n v="1185732"/>
    <x v="200"/>
    <x v="0"/>
    <s v="New Jersey"/>
    <s v="Newark"/>
    <x v="0"/>
    <n v="39"/>
    <n v="149"/>
    <n v="5811"/>
    <n v="2905.5"/>
    <n v="0.5"/>
    <x v="2"/>
  </r>
  <r>
    <x v="2"/>
    <n v="1185732"/>
    <x v="200"/>
    <x v="0"/>
    <s v="New Jersey"/>
    <s v="Newark"/>
    <x v="1"/>
    <n v="37"/>
    <n v="54"/>
    <n v="1998"/>
    <n v="999"/>
    <n v="0.5"/>
    <x v="2"/>
  </r>
  <r>
    <x v="2"/>
    <n v="1185732"/>
    <x v="200"/>
    <x v="0"/>
    <s v="New Jersey"/>
    <s v="Newark"/>
    <x v="2"/>
    <n v="29"/>
    <n v="65"/>
    <n v="1885"/>
    <n v="848.24999999999989"/>
    <n v="0.44999999999999996"/>
    <x v="2"/>
  </r>
  <r>
    <x v="2"/>
    <n v="1185732"/>
    <x v="200"/>
    <x v="0"/>
    <s v="Connecticut"/>
    <s v="Hartford"/>
    <x v="3"/>
    <n v="32"/>
    <n v="34"/>
    <n v="1088"/>
    <n v="478.72"/>
    <n v="0.44"/>
    <x v="2"/>
  </r>
  <r>
    <x v="2"/>
    <n v="1185732"/>
    <x v="200"/>
    <x v="0"/>
    <s v="Connecticut"/>
    <s v="Hartford"/>
    <x v="4"/>
    <n v="49"/>
    <n v="60"/>
    <n v="2940"/>
    <n v="1293.5999999999999"/>
    <n v="0.44"/>
    <x v="2"/>
  </r>
  <r>
    <x v="2"/>
    <n v="1185732"/>
    <x v="200"/>
    <x v="0"/>
    <s v="Connecticut"/>
    <s v="Hartford"/>
    <x v="5"/>
    <n v="39"/>
    <n v="84"/>
    <n v="3276"/>
    <n v="1474.1999999999998"/>
    <n v="0.44999999999999996"/>
    <x v="2"/>
  </r>
  <r>
    <x v="2"/>
    <n v="1185732"/>
    <x v="705"/>
    <x v="0"/>
    <s v="Connecticut"/>
    <s v="Hartford"/>
    <x v="0"/>
    <n v="39"/>
    <n v="130"/>
    <n v="5070"/>
    <n v="2535"/>
    <n v="0.5"/>
    <x v="2"/>
  </r>
  <r>
    <x v="2"/>
    <n v="1185732"/>
    <x v="705"/>
    <x v="0"/>
    <s v="Connecticut"/>
    <s v="Hartford"/>
    <x v="1"/>
    <n v="38"/>
    <n v="56"/>
    <n v="2128"/>
    <n v="1149.1200000000001"/>
    <n v="0.54"/>
    <x v="2"/>
  </r>
  <r>
    <x v="2"/>
    <n v="1185732"/>
    <x v="705"/>
    <x v="0"/>
    <s v="Connecticut"/>
    <s v="Hartford"/>
    <x v="2"/>
    <n v="29"/>
    <n v="68"/>
    <n v="1972"/>
    <n v="887.39999999999986"/>
    <n v="0.44999999999999996"/>
    <x v="2"/>
  </r>
  <r>
    <x v="2"/>
    <n v="1185732"/>
    <x v="705"/>
    <x v="0"/>
    <s v="Connecticut"/>
    <s v="Hartford"/>
    <x v="3"/>
    <n v="32"/>
    <n v="30"/>
    <n v="960"/>
    <n v="403.2"/>
    <n v="0.42"/>
    <x v="2"/>
  </r>
  <r>
    <x v="2"/>
    <n v="1185732"/>
    <x v="705"/>
    <x v="0"/>
    <s v="Connecticut"/>
    <s v="Hartford"/>
    <x v="4"/>
    <n v="48"/>
    <n v="39"/>
    <n v="1872"/>
    <n v="748.80000000000007"/>
    <n v="0.4"/>
    <x v="2"/>
  </r>
  <r>
    <x v="2"/>
    <n v="1185732"/>
    <x v="705"/>
    <x v="0"/>
    <s v="Connecticut"/>
    <s v="Hartford"/>
    <x v="5"/>
    <n v="38"/>
    <n v="73"/>
    <n v="2774"/>
    <n v="1359.26"/>
    <n v="0.49"/>
    <x v="2"/>
  </r>
  <r>
    <x v="2"/>
    <n v="1185732"/>
    <x v="722"/>
    <x v="0"/>
    <s v="Connecticut"/>
    <s v="Hartford"/>
    <x v="0"/>
    <n v="36"/>
    <n v="150"/>
    <n v="5400"/>
    <n v="2700"/>
    <n v="0.5"/>
    <x v="2"/>
  </r>
  <r>
    <x v="2"/>
    <n v="1185732"/>
    <x v="722"/>
    <x v="0"/>
    <s v="Connecticut"/>
    <s v="Hartford"/>
    <x v="1"/>
    <n v="38"/>
    <n v="58"/>
    <n v="2204"/>
    <n v="1212.2"/>
    <n v="0.55000000000000004"/>
    <x v="2"/>
  </r>
  <r>
    <x v="2"/>
    <n v="1185732"/>
    <x v="722"/>
    <x v="0"/>
    <s v="Connecticut"/>
    <s v="Hartford"/>
    <x v="2"/>
    <n v="29"/>
    <n v="56"/>
    <n v="1624"/>
    <n v="698.31999999999994"/>
    <n v="0.43"/>
    <x v="2"/>
  </r>
  <r>
    <x v="2"/>
    <n v="1185732"/>
    <x v="722"/>
    <x v="0"/>
    <s v="Connecticut"/>
    <s v="Hartford"/>
    <x v="3"/>
    <n v="32"/>
    <n v="38"/>
    <n v="1216"/>
    <n v="547.19999999999993"/>
    <n v="0.44999999999999996"/>
    <x v="2"/>
  </r>
  <r>
    <x v="2"/>
    <n v="1185732"/>
    <x v="722"/>
    <x v="0"/>
    <s v="Connecticut"/>
    <s v="Hartford"/>
    <x v="4"/>
    <n v="46"/>
    <n v="35"/>
    <n v="1610"/>
    <n v="724.49999999999989"/>
    <n v="0.44999999999999996"/>
    <x v="2"/>
  </r>
  <r>
    <x v="2"/>
    <n v="1185732"/>
    <x v="722"/>
    <x v="0"/>
    <s v="Connecticut"/>
    <s v="Hartford"/>
    <x v="5"/>
    <n v="36"/>
    <n v="69"/>
    <n v="2484"/>
    <n v="1242"/>
    <n v="0.5"/>
    <x v="2"/>
  </r>
  <r>
    <x v="2"/>
    <n v="1185732"/>
    <x v="256"/>
    <x v="0"/>
    <s v="Connecticut"/>
    <s v="Hartford"/>
    <x v="0"/>
    <n v="54"/>
    <n v="142"/>
    <n v="7668"/>
    <n v="3910.6800000000003"/>
    <n v="0.51"/>
    <x v="2"/>
  </r>
  <r>
    <x v="2"/>
    <n v="1185732"/>
    <x v="256"/>
    <x v="0"/>
    <s v="Connecticut"/>
    <s v="Hartford"/>
    <x v="1"/>
    <n v="48"/>
    <n v="73"/>
    <n v="3504"/>
    <n v="1857.1200000000001"/>
    <n v="0.53"/>
    <x v="2"/>
  </r>
  <r>
    <x v="2"/>
    <n v="1185732"/>
    <x v="256"/>
    <x v="0"/>
    <s v="Connecticut"/>
    <s v="Hartford"/>
    <x v="2"/>
    <n v="43"/>
    <n v="74"/>
    <n v="3182"/>
    <n v="1272.8000000000002"/>
    <n v="0.4"/>
    <x v="2"/>
  </r>
  <r>
    <x v="2"/>
    <n v="1185732"/>
    <x v="256"/>
    <x v="0"/>
    <s v="Connecticut"/>
    <s v="Hartford"/>
    <x v="3"/>
    <n v="44"/>
    <n v="63"/>
    <n v="2772"/>
    <n v="1136.52"/>
    <n v="0.41"/>
    <x v="2"/>
  </r>
  <r>
    <x v="2"/>
    <n v="1185732"/>
    <x v="256"/>
    <x v="0"/>
    <s v="Connecticut"/>
    <s v="Hartford"/>
    <x v="4"/>
    <n v="50"/>
    <n v="70"/>
    <n v="3500"/>
    <n v="1540"/>
    <n v="0.44"/>
    <x v="2"/>
  </r>
  <r>
    <x v="2"/>
    <n v="1185732"/>
    <x v="256"/>
    <x v="0"/>
    <s v="Connecticut"/>
    <s v="Hartford"/>
    <x v="5"/>
    <n v="55"/>
    <n v="113"/>
    <n v="6215"/>
    <n v="3045.35"/>
    <n v="0.49"/>
    <x v="2"/>
  </r>
  <r>
    <x v="2"/>
    <n v="1185732"/>
    <x v="289"/>
    <x v="0"/>
    <s v="Connecticut"/>
    <s v="Hartford"/>
    <x v="0"/>
    <n v="50"/>
    <n v="175"/>
    <n v="8750"/>
    <n v="4812.5"/>
    <n v="0.55000000000000004"/>
    <x v="2"/>
  </r>
  <r>
    <x v="2"/>
    <n v="1185732"/>
    <x v="289"/>
    <x v="0"/>
    <s v="Connecticut"/>
    <s v="Hartford"/>
    <x v="1"/>
    <n v="48"/>
    <n v="94"/>
    <n v="4512"/>
    <n v="2256"/>
    <n v="0.5"/>
    <x v="2"/>
  </r>
  <r>
    <x v="2"/>
    <n v="1185732"/>
    <x v="289"/>
    <x v="0"/>
    <s v="Connecticut"/>
    <s v="Hartford"/>
    <x v="2"/>
    <n v="42"/>
    <n v="87"/>
    <n v="3654"/>
    <n v="1644.2999999999997"/>
    <n v="0.44999999999999996"/>
    <x v="2"/>
  </r>
  <r>
    <x v="2"/>
    <n v="1185732"/>
    <x v="289"/>
    <x v="0"/>
    <s v="Connecticut"/>
    <s v="Hartford"/>
    <x v="3"/>
    <n v="42"/>
    <n v="80"/>
    <n v="3360"/>
    <n v="1411.2"/>
    <n v="0.42"/>
    <x v="2"/>
  </r>
  <r>
    <x v="2"/>
    <n v="1185732"/>
    <x v="289"/>
    <x v="0"/>
    <s v="Connecticut"/>
    <s v="Hartford"/>
    <x v="4"/>
    <n v="53"/>
    <n v="74"/>
    <n v="3922"/>
    <n v="1725.68"/>
    <n v="0.44"/>
    <x v="2"/>
  </r>
  <r>
    <x v="2"/>
    <n v="1185732"/>
    <x v="289"/>
    <x v="0"/>
    <s v="Connecticut"/>
    <s v="Hartford"/>
    <x v="5"/>
    <n v="56"/>
    <n v="123"/>
    <n v="6888"/>
    <n v="3375.12"/>
    <n v="0.49"/>
    <x v="2"/>
  </r>
  <r>
    <x v="2"/>
    <n v="1185732"/>
    <x v="317"/>
    <x v="0"/>
    <s v="Connecticut"/>
    <s v="Hartford"/>
    <x v="0"/>
    <n v="54"/>
    <n v="189"/>
    <n v="10206"/>
    <n v="5511.2400000000007"/>
    <n v="0.54"/>
    <x v="2"/>
  </r>
  <r>
    <x v="2"/>
    <n v="1185732"/>
    <x v="317"/>
    <x v="0"/>
    <s v="Connecticut"/>
    <s v="Hartford"/>
    <x v="1"/>
    <n v="48"/>
    <n v="112"/>
    <n v="5376"/>
    <n v="2849.28"/>
    <n v="0.53"/>
    <x v="2"/>
  </r>
  <r>
    <x v="2"/>
    <n v="1185732"/>
    <x v="317"/>
    <x v="0"/>
    <s v="Connecticut"/>
    <s v="Hartford"/>
    <x v="2"/>
    <n v="44"/>
    <n v="81"/>
    <n v="3564"/>
    <n v="1568.16"/>
    <n v="0.44"/>
    <x v="2"/>
  </r>
  <r>
    <x v="2"/>
    <n v="1185732"/>
    <x v="317"/>
    <x v="0"/>
    <s v="Connecticut"/>
    <s v="Hartford"/>
    <x v="3"/>
    <n v="42"/>
    <n v="80"/>
    <n v="3360"/>
    <n v="1478.4"/>
    <n v="0.44"/>
    <x v="2"/>
  </r>
  <r>
    <x v="2"/>
    <n v="1185732"/>
    <x v="317"/>
    <x v="0"/>
    <s v="Connecticut"/>
    <s v="Hartford"/>
    <x v="4"/>
    <n v="53"/>
    <n v="81"/>
    <n v="4293"/>
    <n v="1888.92"/>
    <n v="0.44"/>
    <x v="2"/>
  </r>
  <r>
    <x v="2"/>
    <n v="1185732"/>
    <x v="317"/>
    <x v="0"/>
    <s v="Connecticut"/>
    <s v="Hartford"/>
    <x v="5"/>
    <n v="56"/>
    <n v="143"/>
    <n v="8008"/>
    <n v="3843.8399999999997"/>
    <n v="0.48"/>
    <x v="2"/>
  </r>
  <r>
    <x v="2"/>
    <n v="1185732"/>
    <x v="349"/>
    <x v="0"/>
    <s v="Connecticut"/>
    <s v="Hartford"/>
    <x v="0"/>
    <n v="51"/>
    <n v="163"/>
    <n v="8313"/>
    <n v="4572.1500000000005"/>
    <n v="0.55000000000000004"/>
    <x v="2"/>
  </r>
  <r>
    <x v="2"/>
    <n v="1185732"/>
    <x v="349"/>
    <x v="0"/>
    <s v="Connecticut"/>
    <s v="Hartford"/>
    <x v="1"/>
    <n v="48"/>
    <n v="108"/>
    <n v="5184"/>
    <n v="2851.2000000000003"/>
    <n v="0.55000000000000004"/>
    <x v="2"/>
  </r>
  <r>
    <x v="2"/>
    <n v="1185732"/>
    <x v="349"/>
    <x v="0"/>
    <s v="Connecticut"/>
    <s v="Hartford"/>
    <x v="2"/>
    <n v="41"/>
    <n v="85"/>
    <n v="3485"/>
    <n v="1463.7"/>
    <n v="0.42"/>
    <x v="2"/>
  </r>
  <r>
    <x v="2"/>
    <n v="1185732"/>
    <x v="349"/>
    <x v="0"/>
    <s v="Connecticut"/>
    <s v="Hartford"/>
    <x v="3"/>
    <n v="41"/>
    <n v="68"/>
    <n v="2788"/>
    <n v="1143.08"/>
    <n v="0.41"/>
    <x v="2"/>
  </r>
  <r>
    <x v="2"/>
    <n v="1185732"/>
    <x v="349"/>
    <x v="0"/>
    <s v="Connecticut"/>
    <s v="Hartford"/>
    <x v="4"/>
    <n v="51"/>
    <n v="52"/>
    <n v="2652"/>
    <n v="1166.8800000000001"/>
    <n v="0.44"/>
    <x v="2"/>
  </r>
  <r>
    <x v="2"/>
    <n v="1185732"/>
    <x v="349"/>
    <x v="0"/>
    <s v="Connecticut"/>
    <s v="Hartford"/>
    <x v="5"/>
    <n v="55"/>
    <n v="105"/>
    <n v="5775"/>
    <n v="2887.5"/>
    <n v="0.5"/>
    <x v="2"/>
  </r>
  <r>
    <x v="2"/>
    <n v="1185732"/>
    <x v="379"/>
    <x v="0"/>
    <s v="Connecticut"/>
    <s v="Hartford"/>
    <x v="0"/>
    <n v="52"/>
    <n v="125"/>
    <n v="6500"/>
    <n v="3510.0000000000005"/>
    <n v="0.54"/>
    <x v="2"/>
  </r>
  <r>
    <x v="2"/>
    <n v="1185732"/>
    <x v="379"/>
    <x v="0"/>
    <s v="Connecticut"/>
    <s v="Hartford"/>
    <x v="1"/>
    <n v="47"/>
    <n v="75"/>
    <n v="3525"/>
    <n v="1833"/>
    <n v="0.52"/>
    <x v="2"/>
  </r>
  <r>
    <x v="2"/>
    <n v="1185732"/>
    <x v="379"/>
    <x v="0"/>
    <s v="Connecticut"/>
    <s v="Hartford"/>
    <x v="2"/>
    <n v="41"/>
    <n v="60"/>
    <n v="2460"/>
    <n v="1082.4000000000001"/>
    <n v="0.44"/>
    <x v="2"/>
  </r>
  <r>
    <x v="2"/>
    <n v="1185732"/>
    <x v="379"/>
    <x v="0"/>
    <s v="Connecticut"/>
    <s v="Hartford"/>
    <x v="3"/>
    <n v="41"/>
    <n v="46"/>
    <n v="1886"/>
    <n v="848.69999999999993"/>
    <n v="0.44999999999999996"/>
    <x v="2"/>
  </r>
  <r>
    <x v="2"/>
    <n v="1185732"/>
    <x v="379"/>
    <x v="0"/>
    <s v="Connecticut"/>
    <s v="Hartford"/>
    <x v="4"/>
    <n v="50"/>
    <n v="51"/>
    <n v="2550"/>
    <n v="1071"/>
    <n v="0.42"/>
    <x v="2"/>
  </r>
  <r>
    <x v="2"/>
    <n v="1185732"/>
    <x v="379"/>
    <x v="0"/>
    <s v="Connecticut"/>
    <s v="Hartford"/>
    <x v="5"/>
    <n v="54"/>
    <n v="83"/>
    <n v="4482"/>
    <n v="2196.1799999999998"/>
    <n v="0.49"/>
    <x v="2"/>
  </r>
  <r>
    <x v="2"/>
    <n v="1185732"/>
    <x v="411"/>
    <x v="0"/>
    <s v="Connecticut"/>
    <s v="Hartford"/>
    <x v="0"/>
    <n v="59"/>
    <n v="113"/>
    <n v="6667"/>
    <n v="3666.8500000000004"/>
    <n v="0.55000000000000004"/>
    <x v="2"/>
  </r>
  <r>
    <x v="2"/>
    <n v="1185732"/>
    <x v="411"/>
    <x v="0"/>
    <s v="Connecticut"/>
    <s v="Hartford"/>
    <x v="1"/>
    <n v="52"/>
    <n v="72"/>
    <n v="3744"/>
    <n v="1872"/>
    <n v="0.5"/>
    <x v="2"/>
  </r>
  <r>
    <x v="2"/>
    <n v="1185732"/>
    <x v="411"/>
    <x v="0"/>
    <s v="Connecticut"/>
    <s v="Hartford"/>
    <x v="2"/>
    <n v="53"/>
    <n v="49"/>
    <n v="2597"/>
    <n v="1116.71"/>
    <n v="0.43"/>
    <x v="2"/>
  </r>
  <r>
    <x v="2"/>
    <n v="1185732"/>
    <x v="411"/>
    <x v="0"/>
    <s v="Connecticut"/>
    <s v="Hartford"/>
    <x v="3"/>
    <n v="50"/>
    <n v="38"/>
    <n v="1900"/>
    <n v="760"/>
    <n v="0.4"/>
    <x v="2"/>
  </r>
  <r>
    <x v="2"/>
    <n v="1185732"/>
    <x v="411"/>
    <x v="0"/>
    <s v="Connecticut"/>
    <s v="Hartford"/>
    <x v="4"/>
    <n v="64"/>
    <n v="42"/>
    <n v="2688"/>
    <n v="1128.96"/>
    <n v="0.42"/>
    <x v="2"/>
  </r>
  <r>
    <x v="0"/>
    <n v="1185732"/>
    <x v="411"/>
    <x v="0"/>
    <s v="Connecticut"/>
    <s v="Hartford"/>
    <x v="5"/>
    <n v="63"/>
    <n v="74"/>
    <n v="4662"/>
    <n v="2331"/>
    <n v="0.5"/>
    <x v="2"/>
  </r>
  <r>
    <x v="0"/>
    <n v="1185732"/>
    <x v="441"/>
    <x v="0"/>
    <s v="Connecticut"/>
    <s v="Hartford"/>
    <x v="0"/>
    <n v="60"/>
    <n v="111"/>
    <n v="6660"/>
    <n v="3330"/>
    <n v="0.5"/>
    <x v="2"/>
  </r>
  <r>
    <x v="0"/>
    <n v="1185732"/>
    <x v="441"/>
    <x v="0"/>
    <s v="Connecticut"/>
    <s v="Hartford"/>
    <x v="1"/>
    <n v="51"/>
    <n v="84"/>
    <n v="4284"/>
    <n v="2227.6800000000003"/>
    <n v="0.52"/>
    <x v="2"/>
  </r>
  <r>
    <x v="0"/>
    <n v="1185732"/>
    <x v="441"/>
    <x v="0"/>
    <s v="Connecticut"/>
    <s v="Hartford"/>
    <x v="2"/>
    <n v="51"/>
    <n v="80"/>
    <n v="4080"/>
    <n v="1835.9999999999998"/>
    <n v="0.44999999999999996"/>
    <x v="2"/>
  </r>
  <r>
    <x v="0"/>
    <n v="1185732"/>
    <x v="441"/>
    <x v="0"/>
    <s v="Connecticut"/>
    <s v="Hartford"/>
    <x v="3"/>
    <n v="50"/>
    <n v="80"/>
    <n v="4000"/>
    <n v="1680"/>
    <n v="0.42"/>
    <x v="2"/>
  </r>
  <r>
    <x v="0"/>
    <n v="1185732"/>
    <x v="441"/>
    <x v="0"/>
    <s v="Connecticut"/>
    <s v="Hartford"/>
    <x v="4"/>
    <n v="60"/>
    <n v="68"/>
    <n v="4080"/>
    <n v="1795.2"/>
    <n v="0.44"/>
    <x v="2"/>
  </r>
  <r>
    <x v="0"/>
    <n v="1185732"/>
    <x v="441"/>
    <x v="0"/>
    <s v="Connecticut"/>
    <s v="Hartford"/>
    <x v="5"/>
    <n v="67"/>
    <n v="95"/>
    <n v="6365"/>
    <n v="2991.5499999999997"/>
    <n v="0.47"/>
    <x v="2"/>
  </r>
  <r>
    <x v="0"/>
    <n v="1185732"/>
    <x v="470"/>
    <x v="0"/>
    <s v="Connecticut"/>
    <s v="Hartford"/>
    <x v="0"/>
    <n v="59"/>
    <n v="150"/>
    <n v="8850"/>
    <n v="4513.5"/>
    <n v="0.51"/>
    <x v="2"/>
  </r>
  <r>
    <x v="0"/>
    <n v="1185732"/>
    <x v="470"/>
    <x v="0"/>
    <s v="Connecticut"/>
    <s v="Hartford"/>
    <x v="1"/>
    <n v="51"/>
    <n v="101"/>
    <n v="5151"/>
    <n v="2627.01"/>
    <n v="0.51"/>
    <x v="2"/>
  </r>
  <r>
    <x v="0"/>
    <n v="1185732"/>
    <x v="470"/>
    <x v="0"/>
    <s v="Connecticut"/>
    <s v="Hartford"/>
    <x v="2"/>
    <n v="50"/>
    <n v="88"/>
    <n v="4400"/>
    <n v="1979.9999999999998"/>
    <n v="0.44999999999999996"/>
    <x v="2"/>
  </r>
  <r>
    <x v="0"/>
    <n v="1185732"/>
    <x v="470"/>
    <x v="0"/>
    <s v="Connecticut"/>
    <s v="Hartford"/>
    <x v="3"/>
    <n v="53"/>
    <n v="87"/>
    <n v="4611"/>
    <n v="1936.62"/>
    <n v="0.42"/>
    <x v="2"/>
  </r>
  <r>
    <x v="0"/>
    <n v="1185732"/>
    <x v="470"/>
    <x v="0"/>
    <s v="Connecticut"/>
    <s v="Hartford"/>
    <x v="4"/>
    <n v="60"/>
    <n v="78"/>
    <n v="4680"/>
    <n v="2106"/>
    <n v="0.44999999999999996"/>
    <x v="2"/>
  </r>
  <r>
    <x v="0"/>
    <n v="1185732"/>
    <x v="470"/>
    <x v="0"/>
    <s v="Connecticut"/>
    <s v="Hartford"/>
    <x v="5"/>
    <n v="67"/>
    <n v="112"/>
    <n v="7504"/>
    <n v="3451.8399999999997"/>
    <n v="0.45999999999999996"/>
    <x v="2"/>
  </r>
  <r>
    <x v="0"/>
    <n v="1185732"/>
    <x v="174"/>
    <x v="0"/>
    <s v="Connecticut"/>
    <s v="Hartford"/>
    <x v="0"/>
    <n v="34"/>
    <n v="115"/>
    <n v="3910"/>
    <n v="1798.6"/>
    <n v="0.45999999999999996"/>
    <x v="2"/>
  </r>
  <r>
    <x v="0"/>
    <n v="1185732"/>
    <x v="174"/>
    <x v="0"/>
    <s v="Connecticut"/>
    <s v="Hartford"/>
    <x v="1"/>
    <n v="34"/>
    <n v="63"/>
    <n v="2142"/>
    <n v="963.89999999999986"/>
    <n v="0.44999999999999996"/>
    <x v="2"/>
  </r>
  <r>
    <x v="0"/>
    <n v="1185732"/>
    <x v="174"/>
    <x v="0"/>
    <s v="Connecticut"/>
    <s v="Hartford"/>
    <x v="2"/>
    <n v="24"/>
    <n v="63"/>
    <n v="1512"/>
    <n v="831.6"/>
    <n v="0.55000000000000004"/>
    <x v="2"/>
  </r>
  <r>
    <x v="0"/>
    <n v="1185732"/>
    <x v="174"/>
    <x v="0"/>
    <s v="Connecticut"/>
    <s v="Hartford"/>
    <x v="3"/>
    <n v="29"/>
    <n v="20"/>
    <n v="580"/>
    <n v="307.40000000000003"/>
    <n v="0.53"/>
    <x v="2"/>
  </r>
  <r>
    <x v="0"/>
    <n v="1185732"/>
    <x v="174"/>
    <x v="0"/>
    <s v="Connecticut"/>
    <s v="Hartford"/>
    <x v="4"/>
    <n v="44"/>
    <n v="33"/>
    <n v="1452"/>
    <n v="580.80000000000007"/>
    <n v="0.4"/>
    <x v="2"/>
  </r>
  <r>
    <x v="0"/>
    <n v="1185732"/>
    <x v="174"/>
    <x v="0"/>
    <s v="Connecticut"/>
    <s v="Hartford"/>
    <x v="5"/>
    <n v="33"/>
    <n v="63"/>
    <n v="2079"/>
    <n v="1122.6600000000001"/>
    <n v="0.54"/>
    <x v="2"/>
  </r>
  <r>
    <x v="0"/>
    <n v="1185732"/>
    <x v="203"/>
    <x v="0"/>
    <s v="Connecticut"/>
    <s v="Hartford"/>
    <x v="0"/>
    <n v="34"/>
    <n v="119"/>
    <n v="4046"/>
    <n v="1982.54"/>
    <n v="0.49"/>
    <x v="2"/>
  </r>
  <r>
    <x v="0"/>
    <n v="1185732"/>
    <x v="203"/>
    <x v="0"/>
    <s v="Connecticut"/>
    <s v="Hartford"/>
    <x v="1"/>
    <n v="34"/>
    <n v="36"/>
    <n v="1224"/>
    <n v="575.28"/>
    <n v="0.47"/>
    <x v="2"/>
  </r>
  <r>
    <x v="0"/>
    <n v="1185732"/>
    <x v="203"/>
    <x v="0"/>
    <s v="Connecticut"/>
    <s v="Hartford"/>
    <x v="2"/>
    <n v="24"/>
    <n v="49"/>
    <n v="1176"/>
    <n v="588"/>
    <n v="0.5"/>
    <x v="2"/>
  </r>
  <r>
    <x v="0"/>
    <n v="1185732"/>
    <x v="203"/>
    <x v="0"/>
    <s v="Rhode Island"/>
    <s v="Providence"/>
    <x v="3"/>
    <n v="29"/>
    <n v="13"/>
    <n v="377"/>
    <n v="203.58"/>
    <n v="0.54"/>
    <x v="2"/>
  </r>
  <r>
    <x v="0"/>
    <n v="1185732"/>
    <x v="203"/>
    <x v="0"/>
    <s v="Rhode Island"/>
    <s v="Providence"/>
    <x v="4"/>
    <n v="41"/>
    <n v="35"/>
    <n v="1435"/>
    <n v="588.34999999999991"/>
    <n v="0.41"/>
    <x v="2"/>
  </r>
  <r>
    <x v="0"/>
    <n v="1185732"/>
    <x v="203"/>
    <x v="0"/>
    <s v="Rhode Island"/>
    <s v="Providence"/>
    <x v="5"/>
    <n v="33"/>
    <n v="65"/>
    <n v="2145"/>
    <n v="1136.8500000000001"/>
    <n v="0.53"/>
    <x v="2"/>
  </r>
  <r>
    <x v="0"/>
    <n v="1185732"/>
    <x v="708"/>
    <x v="0"/>
    <s v="Rhode Island"/>
    <s v="Providence"/>
    <x v="0"/>
    <n v="34"/>
    <n v="111"/>
    <n v="3774"/>
    <n v="1887"/>
    <n v="0.5"/>
    <x v="2"/>
  </r>
  <r>
    <x v="0"/>
    <n v="1185732"/>
    <x v="708"/>
    <x v="0"/>
    <s v="Rhode Island"/>
    <s v="Providence"/>
    <x v="1"/>
    <n v="34"/>
    <n v="44"/>
    <n v="1496"/>
    <n v="673.19999999999993"/>
    <n v="0.44999999999999996"/>
    <x v="2"/>
  </r>
  <r>
    <x v="0"/>
    <n v="1185732"/>
    <x v="708"/>
    <x v="0"/>
    <s v="Rhode Island"/>
    <s v="Providence"/>
    <x v="2"/>
    <n v="23"/>
    <n v="51"/>
    <n v="1173"/>
    <n v="609.96"/>
    <n v="0.52"/>
    <x v="2"/>
  </r>
  <r>
    <x v="0"/>
    <n v="1185732"/>
    <x v="708"/>
    <x v="0"/>
    <s v="Rhode Island"/>
    <s v="Providence"/>
    <x v="3"/>
    <n v="29"/>
    <n v="8"/>
    <n v="232"/>
    <n v="116"/>
    <n v="0.5"/>
    <x v="2"/>
  </r>
  <r>
    <x v="0"/>
    <n v="1185732"/>
    <x v="708"/>
    <x v="0"/>
    <s v="Rhode Island"/>
    <s v="Providence"/>
    <x v="4"/>
    <n v="44"/>
    <n v="20"/>
    <n v="880"/>
    <n v="395.99999999999994"/>
    <n v="0.44999999999999996"/>
    <x v="2"/>
  </r>
  <r>
    <x v="0"/>
    <n v="1185732"/>
    <x v="708"/>
    <x v="0"/>
    <s v="Rhode Island"/>
    <s v="Providence"/>
    <x v="5"/>
    <n v="32"/>
    <n v="51"/>
    <n v="1632"/>
    <n v="881.28000000000009"/>
    <n v="0.54"/>
    <x v="2"/>
  </r>
  <r>
    <x v="0"/>
    <n v="1185732"/>
    <x v="230"/>
    <x v="0"/>
    <s v="Rhode Island"/>
    <s v="Providence"/>
    <x v="0"/>
    <n v="32"/>
    <n v="111"/>
    <n v="3552"/>
    <n v="1740.48"/>
    <n v="0.49"/>
    <x v="2"/>
  </r>
  <r>
    <x v="0"/>
    <n v="1185732"/>
    <x v="230"/>
    <x v="0"/>
    <s v="Rhode Island"/>
    <s v="Providence"/>
    <x v="1"/>
    <n v="32"/>
    <n v="33"/>
    <n v="1056"/>
    <n v="528"/>
    <n v="0.5"/>
    <x v="2"/>
  </r>
  <r>
    <x v="0"/>
    <n v="1185732"/>
    <x v="230"/>
    <x v="0"/>
    <s v="Rhode Island"/>
    <s v="Providence"/>
    <x v="2"/>
    <n v="24"/>
    <n v="36"/>
    <n v="864"/>
    <n v="449.28000000000003"/>
    <n v="0.52"/>
    <x v="2"/>
  </r>
  <r>
    <x v="0"/>
    <n v="1185732"/>
    <x v="230"/>
    <x v="0"/>
    <s v="Rhode Island"/>
    <s v="Providence"/>
    <x v="3"/>
    <n v="29"/>
    <n v="13"/>
    <n v="377"/>
    <n v="199.81"/>
    <n v="0.53"/>
    <x v="2"/>
  </r>
  <r>
    <x v="0"/>
    <n v="1185732"/>
    <x v="230"/>
    <x v="0"/>
    <s v="Rhode Island"/>
    <s v="Providence"/>
    <x v="4"/>
    <n v="44"/>
    <n v="15"/>
    <n v="660"/>
    <n v="264"/>
    <n v="0.4"/>
    <x v="2"/>
  </r>
  <r>
    <x v="0"/>
    <n v="1185732"/>
    <x v="230"/>
    <x v="0"/>
    <s v="Rhode Island"/>
    <s v="Providence"/>
    <x v="5"/>
    <n v="33"/>
    <n v="50"/>
    <n v="1650"/>
    <n v="858"/>
    <n v="0.52"/>
    <x v="2"/>
  </r>
  <r>
    <x v="0"/>
    <n v="1185732"/>
    <x v="259"/>
    <x v="0"/>
    <s v="Rhode Island"/>
    <s v="Providence"/>
    <x v="0"/>
    <n v="49"/>
    <n v="122"/>
    <n v="5978"/>
    <n v="2989"/>
    <n v="0.5"/>
    <x v="2"/>
  </r>
  <r>
    <x v="0"/>
    <n v="1185732"/>
    <x v="259"/>
    <x v="0"/>
    <s v="Rhode Island"/>
    <s v="Providence"/>
    <x v="1"/>
    <n v="43"/>
    <n v="49"/>
    <n v="2107"/>
    <n v="948.14999999999986"/>
    <n v="0.44999999999999996"/>
    <x v="2"/>
  </r>
  <r>
    <x v="0"/>
    <n v="1185732"/>
    <x v="259"/>
    <x v="0"/>
    <s v="Rhode Island"/>
    <s v="Providence"/>
    <x v="2"/>
    <n v="39"/>
    <n v="60"/>
    <n v="2340"/>
    <n v="1263.6000000000001"/>
    <n v="0.54"/>
    <x v="2"/>
  </r>
  <r>
    <x v="0"/>
    <n v="1185732"/>
    <x v="259"/>
    <x v="0"/>
    <s v="Rhode Island"/>
    <s v="Providence"/>
    <x v="3"/>
    <n v="39"/>
    <n v="44"/>
    <n v="1716"/>
    <n v="892.32"/>
    <n v="0.52"/>
    <x v="2"/>
  </r>
  <r>
    <x v="0"/>
    <n v="1185732"/>
    <x v="259"/>
    <x v="0"/>
    <s v="Rhode Island"/>
    <s v="Providence"/>
    <x v="4"/>
    <n v="49"/>
    <n v="46"/>
    <n v="2254"/>
    <n v="901.6"/>
    <n v="0.4"/>
    <x v="2"/>
  </r>
  <r>
    <x v="0"/>
    <n v="1185732"/>
    <x v="259"/>
    <x v="0"/>
    <s v="Rhode Island"/>
    <s v="Providence"/>
    <x v="5"/>
    <n v="52"/>
    <n v="81"/>
    <n v="4212"/>
    <n v="2232.36"/>
    <n v="0.53"/>
    <x v="2"/>
  </r>
  <r>
    <x v="0"/>
    <n v="1185732"/>
    <x v="292"/>
    <x v="0"/>
    <s v="Rhode Island"/>
    <s v="Providence"/>
    <x v="0"/>
    <n v="47"/>
    <n v="138"/>
    <n v="6486"/>
    <n v="2918.7"/>
    <n v="0.44999999999999996"/>
    <x v="2"/>
  </r>
  <r>
    <x v="0"/>
    <n v="1185732"/>
    <x v="292"/>
    <x v="0"/>
    <s v="Rhode Island"/>
    <s v="Providence"/>
    <x v="1"/>
    <n v="41"/>
    <n v="90"/>
    <n v="3690"/>
    <n v="1808.1"/>
    <n v="0.49"/>
    <x v="2"/>
  </r>
  <r>
    <x v="0"/>
    <n v="1185732"/>
    <x v="292"/>
    <x v="0"/>
    <s v="Rhode Island"/>
    <s v="Providence"/>
    <x v="2"/>
    <n v="39"/>
    <n v="65"/>
    <n v="2535"/>
    <n v="1394.25"/>
    <n v="0.55000000000000004"/>
    <x v="2"/>
  </r>
  <r>
    <x v="0"/>
    <n v="1185732"/>
    <x v="292"/>
    <x v="0"/>
    <s v="Rhode Island"/>
    <s v="Providence"/>
    <x v="3"/>
    <n v="39"/>
    <n v="60"/>
    <n v="2340"/>
    <n v="1263.6000000000001"/>
    <n v="0.54"/>
    <x v="2"/>
  </r>
  <r>
    <x v="0"/>
    <n v="1185732"/>
    <x v="292"/>
    <x v="0"/>
    <s v="Rhode Island"/>
    <s v="Providence"/>
    <x v="4"/>
    <n v="48"/>
    <n v="58"/>
    <n v="2784"/>
    <n v="1141.4399999999998"/>
    <n v="0.41"/>
    <x v="2"/>
  </r>
  <r>
    <x v="0"/>
    <n v="1185732"/>
    <x v="292"/>
    <x v="0"/>
    <s v="Rhode Island"/>
    <s v="Providence"/>
    <x v="5"/>
    <n v="51"/>
    <n v="88"/>
    <n v="4488"/>
    <n v="2288.88"/>
    <n v="0.51"/>
    <x v="2"/>
  </r>
  <r>
    <x v="0"/>
    <n v="1185732"/>
    <x v="320"/>
    <x v="0"/>
    <s v="Rhode Island"/>
    <s v="Providence"/>
    <x v="0"/>
    <n v="46"/>
    <n v="167"/>
    <n v="7682"/>
    <n v="3456.8999999999996"/>
    <n v="0.44999999999999996"/>
    <x v="2"/>
  </r>
  <r>
    <x v="0"/>
    <n v="1185732"/>
    <x v="320"/>
    <x v="0"/>
    <s v="Rhode Island"/>
    <s v="Providence"/>
    <x v="1"/>
    <n v="41"/>
    <n v="81"/>
    <n v="3321"/>
    <n v="1660.5"/>
    <n v="0.5"/>
    <x v="2"/>
  </r>
  <r>
    <x v="0"/>
    <n v="1185732"/>
    <x v="320"/>
    <x v="0"/>
    <s v="Rhode Island"/>
    <s v="Providence"/>
    <x v="2"/>
    <n v="37"/>
    <n v="65"/>
    <n v="2405"/>
    <n v="1250.6000000000001"/>
    <n v="0.52"/>
    <x v="2"/>
  </r>
  <r>
    <x v="0"/>
    <n v="1185732"/>
    <x v="320"/>
    <x v="0"/>
    <s v="Rhode Island"/>
    <s v="Providence"/>
    <x v="3"/>
    <n v="37"/>
    <n v="58"/>
    <n v="2146"/>
    <n v="1115.92"/>
    <n v="0.52"/>
    <x v="2"/>
  </r>
  <r>
    <x v="0"/>
    <n v="1185732"/>
    <x v="320"/>
    <x v="0"/>
    <s v="Rhode Island"/>
    <s v="Providence"/>
    <x v="4"/>
    <n v="47"/>
    <n v="63"/>
    <n v="2961"/>
    <n v="1184.4000000000001"/>
    <n v="0.4"/>
    <x v="2"/>
  </r>
  <r>
    <x v="0"/>
    <n v="1185732"/>
    <x v="320"/>
    <x v="0"/>
    <s v="Rhode Island"/>
    <s v="Providence"/>
    <x v="5"/>
    <n v="50"/>
    <n v="116"/>
    <n v="5800"/>
    <n v="2900"/>
    <n v="0.5"/>
    <x v="2"/>
  </r>
  <r>
    <x v="0"/>
    <n v="1185732"/>
    <x v="352"/>
    <x v="0"/>
    <s v="Rhode Island"/>
    <s v="Providence"/>
    <x v="0"/>
    <n v="46"/>
    <n v="143"/>
    <n v="6578"/>
    <n v="3157.44"/>
    <n v="0.48"/>
    <x v="2"/>
  </r>
  <r>
    <x v="0"/>
    <n v="1185732"/>
    <x v="352"/>
    <x v="0"/>
    <s v="Rhode Island"/>
    <s v="Providence"/>
    <x v="1"/>
    <n v="42"/>
    <n v="91"/>
    <n v="3822"/>
    <n v="1796.34"/>
    <n v="0.47"/>
    <x v="2"/>
  </r>
  <r>
    <x v="0"/>
    <n v="1185732"/>
    <x v="352"/>
    <x v="0"/>
    <s v="Rhode Island"/>
    <s v="Providence"/>
    <x v="2"/>
    <n v="38"/>
    <n v="75"/>
    <n v="2850"/>
    <n v="1567.5000000000002"/>
    <n v="0.55000000000000004"/>
    <x v="2"/>
  </r>
  <r>
    <x v="0"/>
    <n v="1185732"/>
    <x v="352"/>
    <x v="0"/>
    <s v="Rhode Island"/>
    <s v="Providence"/>
    <x v="3"/>
    <n v="37"/>
    <n v="39"/>
    <n v="1443"/>
    <n v="764.79000000000008"/>
    <n v="0.53"/>
    <x v="2"/>
  </r>
  <r>
    <x v="0"/>
    <n v="1185732"/>
    <x v="352"/>
    <x v="0"/>
    <s v="Rhode Island"/>
    <s v="Providence"/>
    <x v="4"/>
    <n v="45"/>
    <n v="31"/>
    <n v="1395"/>
    <n v="558"/>
    <n v="0.4"/>
    <x v="2"/>
  </r>
  <r>
    <x v="0"/>
    <n v="1185732"/>
    <x v="352"/>
    <x v="0"/>
    <s v="Rhode Island"/>
    <s v="Providence"/>
    <x v="5"/>
    <n v="52"/>
    <n v="87"/>
    <n v="4524"/>
    <n v="2442.96"/>
    <n v="0.54"/>
    <x v="2"/>
  </r>
  <r>
    <x v="0"/>
    <n v="1185732"/>
    <x v="382"/>
    <x v="0"/>
    <s v="Rhode Island"/>
    <s v="Providence"/>
    <x v="0"/>
    <n v="45"/>
    <n v="111"/>
    <n v="4995"/>
    <n v="2247.75"/>
    <n v="0.44999999999999996"/>
    <x v="2"/>
  </r>
  <r>
    <x v="0"/>
    <n v="1185732"/>
    <x v="382"/>
    <x v="0"/>
    <s v="Rhode Island"/>
    <s v="Providence"/>
    <x v="1"/>
    <n v="43"/>
    <n v="56"/>
    <n v="2408"/>
    <n v="1155.8399999999999"/>
    <n v="0.48"/>
    <x v="2"/>
  </r>
  <r>
    <x v="0"/>
    <n v="1185732"/>
    <x v="382"/>
    <x v="0"/>
    <s v="Rhode Island"/>
    <s v="Providence"/>
    <x v="2"/>
    <n v="36"/>
    <n v="38"/>
    <n v="1368"/>
    <n v="697.68000000000006"/>
    <n v="0.51"/>
    <x v="2"/>
  </r>
  <r>
    <x v="0"/>
    <n v="1185732"/>
    <x v="382"/>
    <x v="0"/>
    <s v="Rhode Island"/>
    <s v="Providence"/>
    <x v="3"/>
    <n v="39"/>
    <n v="27"/>
    <n v="1053"/>
    <n v="568.62"/>
    <n v="0.54"/>
    <x v="2"/>
  </r>
  <r>
    <x v="0"/>
    <n v="1185732"/>
    <x v="382"/>
    <x v="0"/>
    <s v="Rhode Island"/>
    <s v="Providence"/>
    <x v="4"/>
    <n v="47"/>
    <n v="27"/>
    <n v="1269"/>
    <n v="520.29"/>
    <n v="0.41"/>
    <x v="2"/>
  </r>
  <r>
    <x v="0"/>
    <n v="1185732"/>
    <x v="382"/>
    <x v="0"/>
    <s v="Rhode Island"/>
    <s v="Providence"/>
    <x v="5"/>
    <n v="52"/>
    <n v="58"/>
    <n v="3016"/>
    <n v="1538.16"/>
    <n v="0.51"/>
    <x v="2"/>
  </r>
  <r>
    <x v="0"/>
    <n v="1185732"/>
    <x v="414"/>
    <x v="0"/>
    <s v="Rhode Island"/>
    <s v="Providence"/>
    <x v="0"/>
    <n v="53"/>
    <n v="94"/>
    <n v="4982"/>
    <n v="2491"/>
    <n v="0.5"/>
    <x v="2"/>
  </r>
  <r>
    <x v="0"/>
    <n v="1185732"/>
    <x v="414"/>
    <x v="0"/>
    <s v="Rhode Island"/>
    <s v="Providence"/>
    <x v="1"/>
    <n v="46"/>
    <n v="56"/>
    <n v="2576"/>
    <n v="1262.24"/>
    <n v="0.49"/>
    <x v="2"/>
  </r>
  <r>
    <x v="0"/>
    <n v="1185732"/>
    <x v="414"/>
    <x v="0"/>
    <s v="Rhode Island"/>
    <s v="Providence"/>
    <x v="2"/>
    <n v="45"/>
    <n v="29"/>
    <n v="1305"/>
    <n v="678.6"/>
    <n v="0.52"/>
    <x v="2"/>
  </r>
  <r>
    <x v="0"/>
    <n v="1185732"/>
    <x v="414"/>
    <x v="0"/>
    <s v="Rhode Island"/>
    <s v="Providence"/>
    <x v="3"/>
    <n v="47"/>
    <n v="23"/>
    <n v="1081"/>
    <n v="540.5"/>
    <n v="0.5"/>
    <x v="2"/>
  </r>
  <r>
    <x v="0"/>
    <n v="1185732"/>
    <x v="414"/>
    <x v="0"/>
    <s v="Rhode Island"/>
    <s v="Providence"/>
    <x v="4"/>
    <n v="55"/>
    <n v="19"/>
    <n v="1045"/>
    <n v="418"/>
    <n v="0.4"/>
    <x v="2"/>
  </r>
  <r>
    <x v="2"/>
    <n v="1185732"/>
    <x v="414"/>
    <x v="0"/>
    <s v="Rhode Island"/>
    <s v="Providence"/>
    <x v="5"/>
    <n v="64"/>
    <n v="58"/>
    <n v="3712"/>
    <n v="1893.1200000000001"/>
    <n v="0.51"/>
    <x v="2"/>
  </r>
  <r>
    <x v="2"/>
    <n v="1185732"/>
    <x v="444"/>
    <x v="0"/>
    <s v="Rhode Island"/>
    <s v="Providence"/>
    <x v="0"/>
    <n v="55"/>
    <n v="95"/>
    <n v="5225"/>
    <n v="2560.25"/>
    <n v="0.49"/>
    <x v="2"/>
  </r>
  <r>
    <x v="2"/>
    <n v="1185732"/>
    <x v="444"/>
    <x v="0"/>
    <s v="Rhode Island"/>
    <s v="Providence"/>
    <x v="1"/>
    <n v="46"/>
    <n v="63"/>
    <n v="2898"/>
    <n v="1304.0999999999999"/>
    <n v="0.44999999999999996"/>
    <x v="2"/>
  </r>
  <r>
    <x v="2"/>
    <n v="1185732"/>
    <x v="444"/>
    <x v="0"/>
    <s v="Rhode Island"/>
    <s v="Providence"/>
    <x v="2"/>
    <n v="48"/>
    <n v="64"/>
    <n v="3072"/>
    <n v="1658.88"/>
    <n v="0.54"/>
    <x v="2"/>
  </r>
  <r>
    <x v="2"/>
    <n v="1185732"/>
    <x v="444"/>
    <x v="0"/>
    <s v="Rhode Island"/>
    <s v="Providence"/>
    <x v="3"/>
    <n v="48"/>
    <n v="58"/>
    <n v="2784"/>
    <n v="1531.2"/>
    <n v="0.55000000000000004"/>
    <x v="2"/>
  </r>
  <r>
    <x v="2"/>
    <n v="1185732"/>
    <x v="444"/>
    <x v="0"/>
    <s v="Rhode Island"/>
    <s v="Providence"/>
    <x v="4"/>
    <n v="58"/>
    <n v="44"/>
    <n v="2552"/>
    <n v="1122.8800000000001"/>
    <n v="0.44"/>
    <x v="2"/>
  </r>
  <r>
    <x v="2"/>
    <n v="1185732"/>
    <x v="444"/>
    <x v="0"/>
    <s v="Rhode Island"/>
    <s v="Providence"/>
    <x v="5"/>
    <n v="60"/>
    <n v="77"/>
    <n v="4620"/>
    <n v="2402.4"/>
    <n v="0.52"/>
    <x v="2"/>
  </r>
  <r>
    <x v="2"/>
    <n v="1185732"/>
    <x v="473"/>
    <x v="0"/>
    <s v="Rhode Island"/>
    <s v="Providence"/>
    <x v="0"/>
    <n v="54"/>
    <n v="135"/>
    <n v="7290"/>
    <n v="3645"/>
    <n v="0.5"/>
    <x v="2"/>
  </r>
  <r>
    <x v="2"/>
    <n v="1185732"/>
    <x v="473"/>
    <x v="0"/>
    <s v="Rhode Island"/>
    <s v="Providence"/>
    <x v="1"/>
    <n v="45"/>
    <n v="78"/>
    <n v="3510"/>
    <n v="1684.8"/>
    <n v="0.48"/>
    <x v="2"/>
  </r>
  <r>
    <x v="2"/>
    <n v="1185732"/>
    <x v="473"/>
    <x v="0"/>
    <s v="Rhode Island"/>
    <s v="Providence"/>
    <x v="2"/>
    <n v="47"/>
    <n v="74"/>
    <n v="3478"/>
    <n v="1773.78"/>
    <n v="0.51"/>
    <x v="2"/>
  </r>
  <r>
    <x v="2"/>
    <n v="1185732"/>
    <x v="473"/>
    <x v="0"/>
    <s v="Rhode Island"/>
    <s v="Providence"/>
    <x v="3"/>
    <n v="48"/>
    <n v="65"/>
    <n v="3120"/>
    <n v="1560"/>
    <n v="0.5"/>
    <x v="2"/>
  </r>
  <r>
    <x v="2"/>
    <n v="1185732"/>
    <x v="473"/>
    <x v="0"/>
    <s v="Rhode Island"/>
    <s v="Providence"/>
    <x v="4"/>
    <n v="56"/>
    <n v="68"/>
    <n v="3808"/>
    <n v="1637.44"/>
    <n v="0.43"/>
    <x v="2"/>
  </r>
  <r>
    <x v="2"/>
    <n v="1185732"/>
    <x v="473"/>
    <x v="0"/>
    <s v="Rhode Island"/>
    <s v="Providence"/>
    <x v="5"/>
    <n v="60"/>
    <n v="85"/>
    <n v="5100"/>
    <n v="2805"/>
    <n v="0.55000000000000004"/>
    <x v="2"/>
  </r>
  <r>
    <x v="2"/>
    <n v="1185732"/>
    <x v="181"/>
    <x v="0"/>
    <s v="Rhode Island"/>
    <s v="Providence"/>
    <x v="0"/>
    <n v="38"/>
    <n v="126"/>
    <n v="4788"/>
    <n v="2058.84"/>
    <n v="0.43"/>
    <x v="2"/>
  </r>
  <r>
    <x v="2"/>
    <n v="1185732"/>
    <x v="181"/>
    <x v="0"/>
    <s v="Rhode Island"/>
    <s v="Providence"/>
    <x v="1"/>
    <n v="38"/>
    <n v="68"/>
    <n v="2584"/>
    <n v="1136.96"/>
    <n v="0.44"/>
    <x v="2"/>
  </r>
  <r>
    <x v="2"/>
    <n v="1185732"/>
    <x v="181"/>
    <x v="0"/>
    <s v="Rhode Island"/>
    <s v="Providence"/>
    <x v="2"/>
    <n v="27"/>
    <n v="73"/>
    <n v="1971"/>
    <n v="709.56"/>
    <n v="0.36"/>
    <x v="2"/>
  </r>
  <r>
    <x v="2"/>
    <n v="1185732"/>
    <x v="181"/>
    <x v="0"/>
    <s v="Rhode Island"/>
    <s v="Providence"/>
    <x v="3"/>
    <n v="34"/>
    <n v="26"/>
    <n v="884"/>
    <n v="335.92"/>
    <n v="0.38"/>
    <x v="2"/>
  </r>
  <r>
    <x v="2"/>
    <n v="1185732"/>
    <x v="181"/>
    <x v="0"/>
    <s v="Rhode Island"/>
    <s v="Providence"/>
    <x v="4"/>
    <n v="48"/>
    <n v="41"/>
    <n v="1968"/>
    <n v="767.52"/>
    <n v="0.39"/>
    <x v="2"/>
  </r>
  <r>
    <x v="2"/>
    <n v="1185732"/>
    <x v="181"/>
    <x v="0"/>
    <s v="Rhode Island"/>
    <s v="Providence"/>
    <x v="5"/>
    <n v="38"/>
    <n v="70"/>
    <n v="2660"/>
    <n v="1090.5999999999999"/>
    <n v="0.41"/>
    <x v="2"/>
  </r>
  <r>
    <x v="2"/>
    <n v="1185732"/>
    <x v="210"/>
    <x v="0"/>
    <s v="Rhode Island"/>
    <s v="Providence"/>
    <x v="0"/>
    <n v="36"/>
    <n v="140"/>
    <n v="5040"/>
    <n v="2066.4"/>
    <n v="0.41"/>
    <x v="2"/>
  </r>
  <r>
    <x v="2"/>
    <n v="1185732"/>
    <x v="210"/>
    <x v="0"/>
    <s v="Rhode Island"/>
    <s v="Providence"/>
    <x v="1"/>
    <n v="38"/>
    <n v="41"/>
    <n v="1558"/>
    <n v="654.36"/>
    <n v="0.42"/>
    <x v="2"/>
  </r>
  <r>
    <x v="2"/>
    <n v="1185732"/>
    <x v="210"/>
    <x v="0"/>
    <s v="Rhode Island"/>
    <s v="Providence"/>
    <x v="2"/>
    <n v="29"/>
    <n v="60"/>
    <n v="1740"/>
    <n v="661.2"/>
    <n v="0.38"/>
    <x v="2"/>
  </r>
  <r>
    <x v="2"/>
    <n v="1185732"/>
    <x v="210"/>
    <x v="0"/>
    <s v="Massachusetts"/>
    <s v="Boston"/>
    <x v="3"/>
    <n v="32"/>
    <n v="68"/>
    <n v="2176"/>
    <n v="826.88"/>
    <n v="0.38"/>
    <x v="2"/>
  </r>
  <r>
    <x v="2"/>
    <n v="1185732"/>
    <x v="210"/>
    <x v="0"/>
    <s v="Massachusetts"/>
    <s v="Boston"/>
    <x v="4"/>
    <n v="48"/>
    <n v="41"/>
    <n v="1968"/>
    <n v="747.84"/>
    <n v="0.38"/>
    <x v="2"/>
  </r>
  <r>
    <x v="2"/>
    <n v="1185732"/>
    <x v="210"/>
    <x v="0"/>
    <s v="Massachusetts"/>
    <s v="Boston"/>
    <x v="5"/>
    <n v="38"/>
    <n v="75"/>
    <n v="2850"/>
    <n v="1254"/>
    <n v="0.44"/>
    <x v="2"/>
  </r>
  <r>
    <x v="2"/>
    <n v="1185732"/>
    <x v="218"/>
    <x v="0"/>
    <s v="Massachusetts"/>
    <s v="Boston"/>
    <x v="0"/>
    <n v="38"/>
    <n v="127"/>
    <n v="4826"/>
    <n v="2123.44"/>
    <n v="0.44"/>
    <x v="2"/>
  </r>
  <r>
    <x v="2"/>
    <n v="1185732"/>
    <x v="218"/>
    <x v="0"/>
    <s v="Massachusetts"/>
    <s v="Boston"/>
    <x v="1"/>
    <n v="38"/>
    <n v="47"/>
    <n v="1786"/>
    <n v="803.69999999999993"/>
    <n v="0.44999999999999996"/>
    <x v="2"/>
  </r>
  <r>
    <x v="2"/>
    <n v="1185732"/>
    <x v="218"/>
    <x v="0"/>
    <s v="Massachusetts"/>
    <s v="Boston"/>
    <x v="2"/>
    <n v="28"/>
    <n v="50"/>
    <n v="1400"/>
    <n v="546"/>
    <n v="0.39"/>
    <x v="2"/>
  </r>
  <r>
    <x v="2"/>
    <n v="1185732"/>
    <x v="218"/>
    <x v="0"/>
    <s v="Massachusetts"/>
    <s v="Boston"/>
    <x v="3"/>
    <n v="34"/>
    <n v="87"/>
    <n v="2958"/>
    <n v="1064.8799999999999"/>
    <n v="0.36"/>
    <x v="2"/>
  </r>
  <r>
    <x v="2"/>
    <n v="1185732"/>
    <x v="218"/>
    <x v="0"/>
    <s v="Massachusetts"/>
    <s v="Boston"/>
    <x v="4"/>
    <n v="46"/>
    <n v="29"/>
    <n v="1334"/>
    <n v="520.26"/>
    <n v="0.39"/>
    <x v="2"/>
  </r>
  <r>
    <x v="2"/>
    <n v="1185732"/>
    <x v="218"/>
    <x v="0"/>
    <s v="Massachusetts"/>
    <s v="Boston"/>
    <x v="5"/>
    <n v="39"/>
    <n v="54"/>
    <n v="2106"/>
    <n v="863.45999999999992"/>
    <n v="0.41"/>
    <x v="2"/>
  </r>
  <r>
    <x v="2"/>
    <n v="1185732"/>
    <x v="237"/>
    <x v="0"/>
    <s v="Massachusetts"/>
    <s v="Boston"/>
    <x v="0"/>
    <n v="38"/>
    <n v="117"/>
    <n v="4446"/>
    <n v="2000.6999999999998"/>
    <n v="0.44999999999999996"/>
    <x v="2"/>
  </r>
  <r>
    <x v="2"/>
    <n v="1185732"/>
    <x v="237"/>
    <x v="0"/>
    <s v="Massachusetts"/>
    <s v="Boston"/>
    <x v="1"/>
    <n v="37"/>
    <n v="45"/>
    <n v="1665"/>
    <n v="732.6"/>
    <n v="0.44"/>
    <x v="2"/>
  </r>
  <r>
    <x v="2"/>
    <n v="1185732"/>
    <x v="237"/>
    <x v="0"/>
    <s v="Massachusetts"/>
    <s v="Boston"/>
    <x v="2"/>
    <n v="29"/>
    <n v="41"/>
    <n v="1189"/>
    <n v="416.15"/>
    <n v="0.35"/>
    <x v="2"/>
  </r>
  <r>
    <x v="2"/>
    <n v="1185732"/>
    <x v="237"/>
    <x v="0"/>
    <s v="Massachusetts"/>
    <s v="Boston"/>
    <x v="3"/>
    <n v="32"/>
    <n v="35"/>
    <n v="1120"/>
    <n v="436.8"/>
    <n v="0.39"/>
    <x v="2"/>
  </r>
  <r>
    <x v="2"/>
    <n v="1185732"/>
    <x v="237"/>
    <x v="0"/>
    <s v="Massachusetts"/>
    <s v="Boston"/>
    <x v="4"/>
    <n v="49"/>
    <n v="33"/>
    <n v="1617"/>
    <n v="614.46"/>
    <n v="0.38"/>
    <x v="2"/>
  </r>
  <r>
    <x v="2"/>
    <n v="1185732"/>
    <x v="237"/>
    <x v="0"/>
    <s v="Massachusetts"/>
    <s v="Boston"/>
    <x v="5"/>
    <n v="39"/>
    <n v="83"/>
    <n v="3237"/>
    <n v="1424.28"/>
    <n v="0.44"/>
    <x v="2"/>
  </r>
  <r>
    <x v="2"/>
    <n v="1185732"/>
    <x v="266"/>
    <x v="0"/>
    <s v="Massachusetts"/>
    <s v="Boston"/>
    <x v="0"/>
    <n v="53"/>
    <n v="129"/>
    <n v="6837"/>
    <n v="2939.91"/>
    <n v="0.43"/>
    <x v="2"/>
  </r>
  <r>
    <x v="2"/>
    <n v="1185732"/>
    <x v="266"/>
    <x v="0"/>
    <s v="Massachusetts"/>
    <s v="Boston"/>
    <x v="1"/>
    <n v="47"/>
    <n v="54"/>
    <n v="2538"/>
    <n v="1091.3399999999999"/>
    <n v="0.43"/>
    <x v="2"/>
  </r>
  <r>
    <x v="2"/>
    <n v="1185732"/>
    <x v="266"/>
    <x v="0"/>
    <s v="Massachusetts"/>
    <s v="Boston"/>
    <x v="2"/>
    <n v="41"/>
    <n v="56"/>
    <n v="2296"/>
    <n v="918.40000000000009"/>
    <n v="0.4"/>
    <x v="2"/>
  </r>
  <r>
    <x v="2"/>
    <n v="1185732"/>
    <x v="266"/>
    <x v="0"/>
    <s v="Massachusetts"/>
    <s v="Boston"/>
    <x v="3"/>
    <n v="44"/>
    <n v="47"/>
    <n v="2068"/>
    <n v="806.52"/>
    <n v="0.39"/>
    <x v="2"/>
  </r>
  <r>
    <x v="2"/>
    <n v="1185732"/>
    <x v="266"/>
    <x v="0"/>
    <s v="Massachusetts"/>
    <s v="Boston"/>
    <x v="4"/>
    <n v="50"/>
    <n v="54"/>
    <n v="2700"/>
    <n v="1026"/>
    <n v="0.38"/>
    <x v="2"/>
  </r>
  <r>
    <x v="2"/>
    <n v="1185732"/>
    <x v="266"/>
    <x v="0"/>
    <s v="Massachusetts"/>
    <s v="Boston"/>
    <x v="5"/>
    <n v="55"/>
    <n v="88"/>
    <n v="4840"/>
    <n v="1984.3999999999999"/>
    <n v="0.41"/>
    <x v="2"/>
  </r>
  <r>
    <x v="2"/>
    <n v="1185732"/>
    <x v="299"/>
    <x v="0"/>
    <s v="Massachusetts"/>
    <s v="Boston"/>
    <x v="0"/>
    <n v="51"/>
    <n v="155"/>
    <n v="7905"/>
    <n v="3320.1"/>
    <n v="0.42"/>
    <x v="2"/>
  </r>
  <r>
    <x v="2"/>
    <n v="1185732"/>
    <x v="299"/>
    <x v="0"/>
    <s v="Massachusetts"/>
    <s v="Boston"/>
    <x v="1"/>
    <n v="47"/>
    <n v="94"/>
    <n v="4418"/>
    <n v="1855.56"/>
    <n v="0.42"/>
    <x v="2"/>
  </r>
  <r>
    <x v="2"/>
    <n v="1185732"/>
    <x v="299"/>
    <x v="0"/>
    <s v="Massachusetts"/>
    <s v="Boston"/>
    <x v="2"/>
    <n v="42"/>
    <n v="68"/>
    <n v="2856"/>
    <n v="1028.1599999999999"/>
    <n v="0.36"/>
    <x v="2"/>
  </r>
  <r>
    <x v="2"/>
    <n v="1185732"/>
    <x v="299"/>
    <x v="0"/>
    <s v="Massachusetts"/>
    <s v="Boston"/>
    <x v="3"/>
    <n v="41"/>
    <n v="65"/>
    <n v="2665"/>
    <n v="932.74999999999989"/>
    <n v="0.35"/>
    <x v="2"/>
  </r>
  <r>
    <x v="2"/>
    <n v="1185732"/>
    <x v="299"/>
    <x v="0"/>
    <s v="Massachusetts"/>
    <s v="Boston"/>
    <x v="4"/>
    <n v="51"/>
    <n v="59"/>
    <n v="3009"/>
    <n v="1143.42"/>
    <n v="0.38"/>
    <x v="2"/>
  </r>
  <r>
    <x v="2"/>
    <n v="1185732"/>
    <x v="299"/>
    <x v="0"/>
    <s v="Massachusetts"/>
    <s v="Boston"/>
    <x v="5"/>
    <n v="54"/>
    <n v="101"/>
    <n v="5454"/>
    <n v="2181.6"/>
    <n v="0.4"/>
    <x v="2"/>
  </r>
  <r>
    <x v="2"/>
    <n v="1185732"/>
    <x v="327"/>
    <x v="0"/>
    <s v="Massachusetts"/>
    <s v="Boston"/>
    <x v="0"/>
    <n v="52"/>
    <n v="150"/>
    <n v="7800"/>
    <n v="3276"/>
    <n v="0.42"/>
    <x v="2"/>
  </r>
  <r>
    <x v="2"/>
    <n v="1185732"/>
    <x v="327"/>
    <x v="0"/>
    <s v="Massachusetts"/>
    <s v="Boston"/>
    <x v="1"/>
    <n v="49"/>
    <n v="105"/>
    <n v="5145"/>
    <n v="2212.35"/>
    <n v="0.43"/>
    <x v="2"/>
  </r>
  <r>
    <x v="2"/>
    <n v="1185732"/>
    <x v="327"/>
    <x v="0"/>
    <s v="Massachusetts"/>
    <s v="Boston"/>
    <x v="2"/>
    <n v="41"/>
    <n v="77"/>
    <n v="3157"/>
    <n v="1168.0899999999999"/>
    <n v="0.37"/>
    <x v="2"/>
  </r>
  <r>
    <x v="2"/>
    <n v="1185732"/>
    <x v="327"/>
    <x v="0"/>
    <s v="Massachusetts"/>
    <s v="Boston"/>
    <x v="3"/>
    <n v="44"/>
    <n v="56"/>
    <n v="2464"/>
    <n v="887.04"/>
    <n v="0.36"/>
    <x v="2"/>
  </r>
  <r>
    <x v="2"/>
    <n v="1185732"/>
    <x v="327"/>
    <x v="0"/>
    <s v="Massachusetts"/>
    <s v="Boston"/>
    <x v="4"/>
    <n v="53"/>
    <n v="68"/>
    <n v="3604"/>
    <n v="1405.56"/>
    <n v="0.39"/>
    <x v="2"/>
  </r>
  <r>
    <x v="2"/>
    <n v="1185732"/>
    <x v="327"/>
    <x v="0"/>
    <s v="Massachusetts"/>
    <s v="Boston"/>
    <x v="5"/>
    <n v="55"/>
    <n v="128"/>
    <n v="7040"/>
    <n v="2956.7999999999997"/>
    <n v="0.42"/>
    <x v="2"/>
  </r>
  <r>
    <x v="2"/>
    <n v="1185732"/>
    <x v="359"/>
    <x v="0"/>
    <s v="Massachusetts"/>
    <s v="Boston"/>
    <x v="0"/>
    <n v="50"/>
    <n v="161"/>
    <n v="8050"/>
    <n v="3542"/>
    <n v="0.44"/>
    <x v="2"/>
  </r>
  <r>
    <x v="2"/>
    <n v="1185732"/>
    <x v="359"/>
    <x v="0"/>
    <s v="Massachusetts"/>
    <s v="Boston"/>
    <x v="1"/>
    <n v="47"/>
    <n v="88"/>
    <n v="4136"/>
    <n v="1695.76"/>
    <n v="0.41"/>
    <x v="2"/>
  </r>
  <r>
    <x v="2"/>
    <n v="1185732"/>
    <x v="359"/>
    <x v="0"/>
    <s v="Massachusetts"/>
    <s v="Boston"/>
    <x v="2"/>
    <n v="42"/>
    <n v="69"/>
    <n v="2898"/>
    <n v="1014.3"/>
    <n v="0.35"/>
    <x v="2"/>
  </r>
  <r>
    <x v="2"/>
    <n v="1185732"/>
    <x v="359"/>
    <x v="0"/>
    <s v="Massachusetts"/>
    <s v="Boston"/>
    <x v="3"/>
    <n v="42"/>
    <n v="51"/>
    <n v="2142"/>
    <n v="771.12"/>
    <n v="0.36"/>
    <x v="2"/>
  </r>
  <r>
    <x v="2"/>
    <n v="1185732"/>
    <x v="359"/>
    <x v="0"/>
    <s v="Massachusetts"/>
    <s v="Boston"/>
    <x v="4"/>
    <n v="50"/>
    <n v="44"/>
    <n v="2200"/>
    <n v="814"/>
    <n v="0.37"/>
    <x v="2"/>
  </r>
  <r>
    <x v="2"/>
    <n v="1185732"/>
    <x v="359"/>
    <x v="0"/>
    <s v="Massachusetts"/>
    <s v="Boston"/>
    <x v="5"/>
    <n v="58"/>
    <n v="91"/>
    <n v="5278"/>
    <n v="2375.1"/>
    <n v="0.44999999999999996"/>
    <x v="2"/>
  </r>
  <r>
    <x v="2"/>
    <n v="1185732"/>
    <x v="389"/>
    <x v="0"/>
    <s v="Massachusetts"/>
    <s v="Boston"/>
    <x v="0"/>
    <n v="53"/>
    <n v="135"/>
    <n v="7155"/>
    <n v="3005.1"/>
    <n v="0.42"/>
    <x v="2"/>
  </r>
  <r>
    <x v="2"/>
    <n v="1185732"/>
    <x v="389"/>
    <x v="0"/>
    <s v="Massachusetts"/>
    <s v="Boston"/>
    <x v="1"/>
    <n v="49"/>
    <n v="63"/>
    <n v="3087"/>
    <n v="1234.8000000000002"/>
    <n v="0.4"/>
    <x v="2"/>
  </r>
  <r>
    <x v="2"/>
    <n v="1185732"/>
    <x v="389"/>
    <x v="0"/>
    <s v="Massachusetts"/>
    <s v="Boston"/>
    <x v="2"/>
    <n v="41"/>
    <n v="39"/>
    <n v="1599"/>
    <n v="591.63"/>
    <n v="0.37"/>
    <x v="2"/>
  </r>
  <r>
    <x v="2"/>
    <n v="1185732"/>
    <x v="389"/>
    <x v="0"/>
    <s v="Massachusetts"/>
    <s v="Boston"/>
    <x v="3"/>
    <n v="42"/>
    <n v="36"/>
    <n v="1512"/>
    <n v="604.80000000000007"/>
    <n v="0.4"/>
    <x v="2"/>
  </r>
  <r>
    <x v="2"/>
    <n v="1185732"/>
    <x v="389"/>
    <x v="0"/>
    <s v="Massachusetts"/>
    <s v="Boston"/>
    <x v="4"/>
    <n v="52"/>
    <n v="34"/>
    <n v="1768"/>
    <n v="636.48"/>
    <n v="0.36"/>
    <x v="2"/>
  </r>
  <r>
    <x v="2"/>
    <n v="1185732"/>
    <x v="389"/>
    <x v="0"/>
    <s v="Massachusetts"/>
    <s v="Boston"/>
    <x v="5"/>
    <n v="57"/>
    <n v="63"/>
    <n v="3591"/>
    <n v="1615.9499999999998"/>
    <n v="0.44999999999999996"/>
    <x v="2"/>
  </r>
  <r>
    <x v="2"/>
    <n v="1185732"/>
    <x v="421"/>
    <x v="0"/>
    <s v="Massachusetts"/>
    <s v="Boston"/>
    <x v="0"/>
    <n v="57"/>
    <n v="120"/>
    <n v="6840"/>
    <n v="3077.9999999999995"/>
    <n v="0.44999999999999996"/>
    <x v="2"/>
  </r>
  <r>
    <x v="2"/>
    <n v="1185732"/>
    <x v="421"/>
    <x v="0"/>
    <s v="Massachusetts"/>
    <s v="Boston"/>
    <x v="1"/>
    <n v="53"/>
    <n v="56"/>
    <n v="2968"/>
    <n v="1335.6"/>
    <n v="0.44999999999999996"/>
    <x v="2"/>
  </r>
  <r>
    <x v="2"/>
    <n v="1185732"/>
    <x v="421"/>
    <x v="0"/>
    <s v="Massachusetts"/>
    <s v="Boston"/>
    <x v="2"/>
    <n v="53"/>
    <n v="34"/>
    <n v="1802"/>
    <n v="630.69999999999993"/>
    <n v="0.35"/>
    <x v="2"/>
  </r>
  <r>
    <x v="2"/>
    <n v="1185732"/>
    <x v="421"/>
    <x v="0"/>
    <s v="Massachusetts"/>
    <s v="Boston"/>
    <x v="3"/>
    <n v="54"/>
    <n v="27"/>
    <n v="1458"/>
    <n v="554.04"/>
    <n v="0.38"/>
    <x v="2"/>
  </r>
  <r>
    <x v="2"/>
    <n v="1185732"/>
    <x v="421"/>
    <x v="0"/>
    <s v="Massachusetts"/>
    <s v="Boston"/>
    <x v="4"/>
    <n v="62"/>
    <n v="27"/>
    <n v="1674"/>
    <n v="585.9"/>
    <n v="0.35"/>
    <x v="2"/>
  </r>
  <r>
    <x v="5"/>
    <n v="1185732"/>
    <x v="421"/>
    <x v="0"/>
    <s v="Massachusetts"/>
    <s v="Boston"/>
    <x v="5"/>
    <n v="66"/>
    <n v="65"/>
    <n v="4290"/>
    <n v="1887.6"/>
    <n v="0.44"/>
    <x v="2"/>
  </r>
  <r>
    <x v="5"/>
    <n v="1185732"/>
    <x v="451"/>
    <x v="0"/>
    <s v="Massachusetts"/>
    <s v="Boston"/>
    <x v="0"/>
    <n v="62"/>
    <n v="113"/>
    <n v="7006"/>
    <n v="3012.58"/>
    <n v="0.43"/>
    <x v="2"/>
  </r>
  <r>
    <x v="5"/>
    <n v="1185732"/>
    <x v="451"/>
    <x v="0"/>
    <s v="Massachusetts"/>
    <s v="Boston"/>
    <x v="1"/>
    <n v="52"/>
    <n v="90"/>
    <n v="4680"/>
    <n v="2059.1999999999998"/>
    <n v="0.44"/>
    <x v="2"/>
  </r>
  <r>
    <x v="5"/>
    <n v="1185732"/>
    <x v="451"/>
    <x v="0"/>
    <s v="Massachusetts"/>
    <s v="Boston"/>
    <x v="2"/>
    <n v="50"/>
    <n v="83"/>
    <n v="4150"/>
    <n v="1494"/>
    <n v="0.36"/>
    <x v="2"/>
  </r>
  <r>
    <x v="5"/>
    <n v="1185732"/>
    <x v="451"/>
    <x v="0"/>
    <s v="Massachusetts"/>
    <s v="Boston"/>
    <x v="3"/>
    <n v="51"/>
    <n v="80"/>
    <n v="4080"/>
    <n v="1591.2"/>
    <n v="0.39"/>
    <x v="2"/>
  </r>
  <r>
    <x v="5"/>
    <n v="1185732"/>
    <x v="451"/>
    <x v="0"/>
    <s v="Massachusetts"/>
    <s v="Boston"/>
    <x v="4"/>
    <n v="63"/>
    <n v="70"/>
    <n v="4410"/>
    <n v="1675.8"/>
    <n v="0.38"/>
    <x v="2"/>
  </r>
  <r>
    <x v="5"/>
    <n v="1185732"/>
    <x v="451"/>
    <x v="0"/>
    <s v="Massachusetts"/>
    <s v="Boston"/>
    <x v="5"/>
    <n v="64"/>
    <n v="98"/>
    <n v="6272"/>
    <n v="2822.3999999999996"/>
    <n v="0.44999999999999996"/>
    <x v="2"/>
  </r>
  <r>
    <x v="5"/>
    <n v="1185732"/>
    <x v="480"/>
    <x v="0"/>
    <s v="Massachusetts"/>
    <s v="Boston"/>
    <x v="0"/>
    <n v="64"/>
    <n v="150"/>
    <n v="9600"/>
    <n v="3935.9999999999995"/>
    <n v="0.41"/>
    <x v="2"/>
  </r>
  <r>
    <x v="5"/>
    <n v="1185732"/>
    <x v="480"/>
    <x v="0"/>
    <s v="Massachusetts"/>
    <s v="Boston"/>
    <x v="1"/>
    <n v="53"/>
    <n v="105"/>
    <n v="5565"/>
    <n v="2226"/>
    <n v="0.4"/>
    <x v="2"/>
  </r>
  <r>
    <x v="5"/>
    <n v="1185732"/>
    <x v="480"/>
    <x v="0"/>
    <s v="Massachusetts"/>
    <s v="Boston"/>
    <x v="2"/>
    <n v="51"/>
    <n v="98"/>
    <n v="4998"/>
    <n v="1949.22"/>
    <n v="0.39"/>
    <x v="2"/>
  </r>
  <r>
    <x v="5"/>
    <n v="1185732"/>
    <x v="480"/>
    <x v="0"/>
    <s v="Massachusetts"/>
    <s v="Boston"/>
    <x v="3"/>
    <n v="52"/>
    <n v="75"/>
    <n v="3900"/>
    <n v="1482"/>
    <n v="0.38"/>
    <x v="2"/>
  </r>
  <r>
    <x v="5"/>
    <n v="1185732"/>
    <x v="480"/>
    <x v="0"/>
    <s v="Massachusetts"/>
    <s v="Boston"/>
    <x v="4"/>
    <n v="62"/>
    <n v="84"/>
    <n v="5208"/>
    <n v="2031.1200000000001"/>
    <n v="0.39"/>
    <x v="2"/>
  </r>
  <r>
    <x v="5"/>
    <n v="1185732"/>
    <x v="480"/>
    <x v="0"/>
    <s v="Massachusetts"/>
    <s v="Boston"/>
    <x v="5"/>
    <n v="65"/>
    <n v="112"/>
    <n v="7280"/>
    <n v="3203.2"/>
    <n v="0.44"/>
    <x v="2"/>
  </r>
  <r>
    <x v="5"/>
    <n v="1185732"/>
    <x v="178"/>
    <x v="0"/>
    <s v="Massachusetts"/>
    <s v="Boston"/>
    <x v="0"/>
    <n v="44"/>
    <n v="152"/>
    <n v="6688"/>
    <n v="3678.4"/>
    <n v="0.55000000000000004"/>
    <x v="2"/>
  </r>
  <r>
    <x v="5"/>
    <n v="1185732"/>
    <x v="178"/>
    <x v="0"/>
    <s v="Massachusetts"/>
    <s v="Boston"/>
    <x v="1"/>
    <n v="42"/>
    <n v="94"/>
    <n v="3948"/>
    <n v="2368.7999999999997"/>
    <n v="0.6"/>
    <x v="2"/>
  </r>
  <r>
    <x v="5"/>
    <n v="1185732"/>
    <x v="178"/>
    <x v="0"/>
    <s v="Massachusetts"/>
    <s v="Boston"/>
    <x v="2"/>
    <n v="32"/>
    <n v="91"/>
    <n v="2912"/>
    <n v="1310.3999999999999"/>
    <n v="0.44999999999999996"/>
    <x v="2"/>
  </r>
  <r>
    <x v="5"/>
    <n v="1185732"/>
    <x v="178"/>
    <x v="0"/>
    <s v="Massachusetts"/>
    <s v="Boston"/>
    <x v="3"/>
    <n v="39"/>
    <n v="44"/>
    <n v="1716"/>
    <n v="840.84"/>
    <n v="0.49"/>
    <x v="2"/>
  </r>
  <r>
    <x v="5"/>
    <n v="1185732"/>
    <x v="178"/>
    <x v="0"/>
    <s v="Massachusetts"/>
    <s v="Boston"/>
    <x v="4"/>
    <n v="52"/>
    <n v="68"/>
    <n v="3536"/>
    <n v="1661.9199999999998"/>
    <n v="0.47"/>
    <x v="2"/>
  </r>
  <r>
    <x v="5"/>
    <n v="1185732"/>
    <x v="178"/>
    <x v="0"/>
    <s v="Massachusetts"/>
    <s v="Boston"/>
    <x v="5"/>
    <n v="44"/>
    <n v="98"/>
    <n v="4312"/>
    <n v="2199.12"/>
    <n v="0.51"/>
    <x v="2"/>
  </r>
  <r>
    <x v="5"/>
    <n v="1185732"/>
    <x v="207"/>
    <x v="0"/>
    <s v="Massachusetts"/>
    <s v="Boston"/>
    <x v="0"/>
    <n v="41"/>
    <n v="167"/>
    <n v="6847"/>
    <n v="3834.32"/>
    <n v="0.56000000000000005"/>
    <x v="2"/>
  </r>
  <r>
    <x v="5"/>
    <n v="1185732"/>
    <x v="207"/>
    <x v="0"/>
    <s v="Massachusetts"/>
    <s v="Boston"/>
    <x v="1"/>
    <n v="44"/>
    <n v="61"/>
    <n v="2684"/>
    <n v="1610.3999999999999"/>
    <n v="0.6"/>
    <x v="2"/>
  </r>
  <r>
    <x v="5"/>
    <n v="1185732"/>
    <x v="207"/>
    <x v="0"/>
    <s v="Massachusetts"/>
    <s v="Boston"/>
    <x v="2"/>
    <n v="33"/>
    <n v="74"/>
    <n v="2442"/>
    <n v="1221"/>
    <n v="0.5"/>
    <x v="2"/>
  </r>
  <r>
    <x v="5"/>
    <n v="1185732"/>
    <x v="207"/>
    <x v="0"/>
    <s v="Vermont"/>
    <s v="Burlington"/>
    <x v="3"/>
    <n v="36"/>
    <n v="45"/>
    <n v="1620"/>
    <n v="745.19999999999993"/>
    <n v="0.45999999999999996"/>
    <x v="2"/>
  </r>
  <r>
    <x v="5"/>
    <n v="1185732"/>
    <x v="207"/>
    <x v="0"/>
    <s v="Vermont"/>
    <s v="Burlington"/>
    <x v="4"/>
    <n v="54"/>
    <n v="63"/>
    <n v="3402"/>
    <n v="1701"/>
    <n v="0.5"/>
    <x v="2"/>
  </r>
  <r>
    <x v="5"/>
    <n v="1185732"/>
    <x v="207"/>
    <x v="0"/>
    <s v="Vermont"/>
    <s v="Burlington"/>
    <x v="5"/>
    <n v="43"/>
    <n v="85"/>
    <n v="3655"/>
    <n v="1973.7"/>
    <n v="0.54"/>
    <x v="2"/>
  </r>
  <r>
    <x v="5"/>
    <n v="1185732"/>
    <x v="215"/>
    <x v="0"/>
    <s v="Vermont"/>
    <s v="Burlington"/>
    <x v="0"/>
    <n v="44"/>
    <n v="142"/>
    <n v="6248"/>
    <n v="3748.7999999999997"/>
    <n v="0.6"/>
    <x v="2"/>
  </r>
  <r>
    <x v="5"/>
    <n v="1185732"/>
    <x v="215"/>
    <x v="0"/>
    <s v="Vermont"/>
    <s v="Burlington"/>
    <x v="1"/>
    <n v="42"/>
    <n v="70"/>
    <n v="2940"/>
    <n v="1675.8000000000002"/>
    <n v="0.57000000000000006"/>
    <x v="2"/>
  </r>
  <r>
    <x v="5"/>
    <n v="1185732"/>
    <x v="215"/>
    <x v="0"/>
    <s v="Vermont"/>
    <s v="Burlington"/>
    <x v="2"/>
    <n v="34"/>
    <n v="77"/>
    <n v="2618"/>
    <n v="1282.82"/>
    <n v="0.49"/>
    <x v="2"/>
  </r>
  <r>
    <x v="5"/>
    <n v="1185732"/>
    <x v="215"/>
    <x v="0"/>
    <s v="Vermont"/>
    <s v="Burlington"/>
    <x v="3"/>
    <n v="36"/>
    <n v="38"/>
    <n v="1368"/>
    <n v="670.31999999999994"/>
    <n v="0.49"/>
    <x v="2"/>
  </r>
  <r>
    <x v="5"/>
    <n v="1185732"/>
    <x v="215"/>
    <x v="0"/>
    <s v="Vermont"/>
    <s v="Burlington"/>
    <x v="4"/>
    <n v="51"/>
    <n v="47"/>
    <n v="2397"/>
    <n v="1174.53"/>
    <n v="0.49"/>
    <x v="2"/>
  </r>
  <r>
    <x v="5"/>
    <n v="1185732"/>
    <x v="215"/>
    <x v="0"/>
    <s v="Vermont"/>
    <s v="Burlington"/>
    <x v="5"/>
    <n v="41"/>
    <n v="80"/>
    <n v="3280"/>
    <n v="1803.9999999999998"/>
    <n v="0.54999999999999993"/>
    <x v="2"/>
  </r>
  <r>
    <x v="5"/>
    <n v="1185732"/>
    <x v="234"/>
    <x v="0"/>
    <s v="Vermont"/>
    <s v="Burlington"/>
    <x v="0"/>
    <n v="41"/>
    <n v="137"/>
    <n v="5617"/>
    <n v="3145.5200000000004"/>
    <n v="0.56000000000000005"/>
    <x v="2"/>
  </r>
  <r>
    <x v="5"/>
    <n v="1185732"/>
    <x v="234"/>
    <x v="0"/>
    <s v="Vermont"/>
    <s v="Burlington"/>
    <x v="1"/>
    <n v="43"/>
    <n v="56"/>
    <n v="2408"/>
    <n v="1396.64"/>
    <n v="0.58000000000000007"/>
    <x v="2"/>
  </r>
  <r>
    <x v="5"/>
    <n v="1185732"/>
    <x v="234"/>
    <x v="0"/>
    <s v="Vermont"/>
    <s v="Burlington"/>
    <x v="2"/>
    <n v="32"/>
    <n v="65"/>
    <n v="2080"/>
    <n v="1040"/>
    <n v="0.5"/>
    <x v="2"/>
  </r>
  <r>
    <x v="5"/>
    <n v="1185732"/>
    <x v="234"/>
    <x v="0"/>
    <s v="Vermont"/>
    <s v="Burlington"/>
    <x v="3"/>
    <n v="36"/>
    <n v="44"/>
    <n v="1584"/>
    <n v="792"/>
    <n v="0.5"/>
    <x v="2"/>
  </r>
  <r>
    <x v="5"/>
    <n v="1185732"/>
    <x v="234"/>
    <x v="0"/>
    <s v="Vermont"/>
    <s v="Burlington"/>
    <x v="4"/>
    <n v="51"/>
    <n v="38"/>
    <n v="1938"/>
    <n v="891.4799999999999"/>
    <n v="0.45999999999999996"/>
    <x v="2"/>
  </r>
  <r>
    <x v="5"/>
    <n v="1185732"/>
    <x v="234"/>
    <x v="0"/>
    <s v="Vermont"/>
    <s v="Burlington"/>
    <x v="5"/>
    <n v="44"/>
    <n v="90"/>
    <n v="3960"/>
    <n v="2019.6000000000001"/>
    <n v="0.51"/>
    <x v="2"/>
  </r>
  <r>
    <x v="5"/>
    <n v="1185732"/>
    <x v="263"/>
    <x v="0"/>
    <s v="Vermont"/>
    <s v="Burlington"/>
    <x v="0"/>
    <n v="55"/>
    <n v="154"/>
    <n v="8470"/>
    <n v="4827.9000000000005"/>
    <n v="0.57000000000000006"/>
    <x v="2"/>
  </r>
  <r>
    <x v="5"/>
    <n v="1185732"/>
    <x v="263"/>
    <x v="0"/>
    <s v="Vermont"/>
    <s v="Burlington"/>
    <x v="1"/>
    <n v="54"/>
    <n v="80"/>
    <n v="4320"/>
    <n v="2419.2000000000003"/>
    <n v="0.56000000000000005"/>
    <x v="2"/>
  </r>
  <r>
    <x v="5"/>
    <n v="1185732"/>
    <x v="263"/>
    <x v="0"/>
    <s v="Vermont"/>
    <s v="Burlington"/>
    <x v="2"/>
    <n v="49"/>
    <n v="75"/>
    <n v="3675"/>
    <n v="1690.4999999999998"/>
    <n v="0.45999999999999996"/>
    <x v="2"/>
  </r>
  <r>
    <x v="5"/>
    <n v="1185732"/>
    <x v="263"/>
    <x v="0"/>
    <s v="Vermont"/>
    <s v="Burlington"/>
    <x v="3"/>
    <n v="46"/>
    <n v="65"/>
    <n v="2990"/>
    <n v="1405.3"/>
    <n v="0.47"/>
    <x v="2"/>
  </r>
  <r>
    <x v="5"/>
    <n v="1185732"/>
    <x v="263"/>
    <x v="0"/>
    <s v="Vermont"/>
    <s v="Burlington"/>
    <x v="4"/>
    <n v="55"/>
    <n v="72"/>
    <n v="3960"/>
    <n v="1861.1999999999998"/>
    <n v="0.47"/>
    <x v="2"/>
  </r>
  <r>
    <x v="5"/>
    <n v="1185732"/>
    <x v="263"/>
    <x v="0"/>
    <s v="Vermont"/>
    <s v="Burlington"/>
    <x v="5"/>
    <n v="60"/>
    <n v="120"/>
    <n v="7200"/>
    <n v="3744"/>
    <n v="0.52"/>
    <x v="2"/>
  </r>
  <r>
    <x v="5"/>
    <n v="1185732"/>
    <x v="296"/>
    <x v="0"/>
    <s v="Vermont"/>
    <s v="Burlington"/>
    <x v="0"/>
    <n v="58"/>
    <n v="163"/>
    <n v="9454"/>
    <n v="5483.3200000000006"/>
    <n v="0.58000000000000007"/>
    <x v="2"/>
  </r>
  <r>
    <x v="5"/>
    <n v="1185732"/>
    <x v="296"/>
    <x v="0"/>
    <s v="Vermont"/>
    <s v="Burlington"/>
    <x v="1"/>
    <n v="53"/>
    <n v="116"/>
    <n v="6148"/>
    <n v="3627.3200000000006"/>
    <n v="0.59000000000000008"/>
    <x v="2"/>
  </r>
  <r>
    <x v="5"/>
    <n v="1185732"/>
    <x v="296"/>
    <x v="0"/>
    <s v="Vermont"/>
    <s v="Burlington"/>
    <x v="2"/>
    <n v="45"/>
    <n v="81"/>
    <n v="3645"/>
    <n v="1713.1499999999999"/>
    <n v="0.47"/>
    <x v="2"/>
  </r>
  <r>
    <x v="5"/>
    <n v="1185732"/>
    <x v="296"/>
    <x v="0"/>
    <s v="Vermont"/>
    <s v="Burlington"/>
    <x v="3"/>
    <n v="47"/>
    <n v="90"/>
    <n v="4230"/>
    <n v="1903.4999999999998"/>
    <n v="0.44999999999999996"/>
    <x v="2"/>
  </r>
  <r>
    <x v="5"/>
    <n v="1185732"/>
    <x v="296"/>
    <x v="0"/>
    <s v="Vermont"/>
    <s v="Burlington"/>
    <x v="4"/>
    <n v="58"/>
    <n v="81"/>
    <n v="4698"/>
    <n v="2349"/>
    <n v="0.5"/>
    <x v="2"/>
  </r>
  <r>
    <x v="5"/>
    <n v="1185732"/>
    <x v="296"/>
    <x v="0"/>
    <s v="Vermont"/>
    <s v="Burlington"/>
    <x v="5"/>
    <n v="62"/>
    <n v="117"/>
    <n v="7254"/>
    <n v="3772.08"/>
    <n v="0.52"/>
    <x v="2"/>
  </r>
  <r>
    <x v="5"/>
    <n v="1185732"/>
    <x v="324"/>
    <x v="0"/>
    <s v="Vermont"/>
    <s v="Burlington"/>
    <x v="0"/>
    <n v="54"/>
    <n v="182"/>
    <n v="9828"/>
    <n v="5601.9600000000009"/>
    <n v="0.57000000000000006"/>
    <x v="2"/>
  </r>
  <r>
    <x v="5"/>
    <n v="1185732"/>
    <x v="324"/>
    <x v="0"/>
    <s v="Vermont"/>
    <s v="Burlington"/>
    <x v="1"/>
    <n v="51"/>
    <n v="115"/>
    <n v="5865"/>
    <n v="3284.4"/>
    <n v="0.56000000000000005"/>
    <x v="2"/>
  </r>
  <r>
    <x v="5"/>
    <n v="1185732"/>
    <x v="324"/>
    <x v="0"/>
    <s v="Vermont"/>
    <s v="Burlington"/>
    <x v="2"/>
    <n v="46"/>
    <n v="98"/>
    <n v="4508"/>
    <n v="2163.84"/>
    <n v="0.48"/>
    <x v="2"/>
  </r>
  <r>
    <x v="5"/>
    <n v="1185732"/>
    <x v="324"/>
    <x v="0"/>
    <s v="Vermont"/>
    <s v="Burlington"/>
    <x v="3"/>
    <n v="46"/>
    <n v="90"/>
    <n v="4140"/>
    <n v="2028.6"/>
    <n v="0.49"/>
    <x v="2"/>
  </r>
  <r>
    <x v="5"/>
    <n v="1185732"/>
    <x v="324"/>
    <x v="0"/>
    <s v="Vermont"/>
    <s v="Burlington"/>
    <x v="4"/>
    <n v="54"/>
    <n v="94"/>
    <n v="5076"/>
    <n v="2385.7199999999998"/>
    <n v="0.47"/>
    <x v="2"/>
  </r>
  <r>
    <x v="5"/>
    <n v="1185732"/>
    <x v="324"/>
    <x v="0"/>
    <s v="Vermont"/>
    <s v="Burlington"/>
    <x v="5"/>
    <n v="61"/>
    <n v="125"/>
    <n v="7625"/>
    <n v="3965"/>
    <n v="0.52"/>
    <x v="2"/>
  </r>
  <r>
    <x v="5"/>
    <n v="1185732"/>
    <x v="356"/>
    <x v="0"/>
    <s v="Vermont"/>
    <s v="Burlington"/>
    <x v="0"/>
    <n v="58"/>
    <n v="176"/>
    <n v="10208"/>
    <n v="6124.8"/>
    <n v="0.6"/>
    <x v="2"/>
  </r>
  <r>
    <x v="5"/>
    <n v="1185732"/>
    <x v="356"/>
    <x v="0"/>
    <s v="Vermont"/>
    <s v="Burlington"/>
    <x v="1"/>
    <n v="53"/>
    <n v="106"/>
    <n v="5618"/>
    <n v="3314.6200000000003"/>
    <n v="0.59000000000000008"/>
    <x v="2"/>
  </r>
  <r>
    <x v="5"/>
    <n v="1185732"/>
    <x v="356"/>
    <x v="0"/>
    <s v="Vermont"/>
    <s v="Burlington"/>
    <x v="2"/>
    <n v="48"/>
    <n v="105"/>
    <n v="5040"/>
    <n v="2318.3999999999996"/>
    <n v="0.45999999999999996"/>
    <x v="2"/>
  </r>
  <r>
    <x v="5"/>
    <n v="1185732"/>
    <x v="356"/>
    <x v="0"/>
    <s v="Vermont"/>
    <s v="Burlington"/>
    <x v="3"/>
    <n v="49"/>
    <n v="68"/>
    <n v="3332"/>
    <n v="1566.04"/>
    <n v="0.47"/>
    <x v="2"/>
  </r>
  <r>
    <x v="5"/>
    <n v="1185732"/>
    <x v="356"/>
    <x v="0"/>
    <s v="Vermont"/>
    <s v="Burlington"/>
    <x v="4"/>
    <n v="57"/>
    <n v="65"/>
    <n v="3705"/>
    <n v="1815.45"/>
    <n v="0.49"/>
    <x v="2"/>
  </r>
  <r>
    <x v="5"/>
    <n v="1185732"/>
    <x v="356"/>
    <x v="0"/>
    <s v="Vermont"/>
    <s v="Burlington"/>
    <x v="5"/>
    <n v="61"/>
    <n v="104"/>
    <n v="6344"/>
    <n v="3235.44"/>
    <n v="0.51"/>
    <x v="2"/>
  </r>
  <r>
    <x v="5"/>
    <n v="1185732"/>
    <x v="386"/>
    <x v="0"/>
    <s v="Vermont"/>
    <s v="Burlington"/>
    <x v="0"/>
    <n v="56"/>
    <n v="137"/>
    <n v="7672"/>
    <n v="4373.0400000000009"/>
    <n v="0.57000000000000006"/>
    <x v="2"/>
  </r>
  <r>
    <x v="5"/>
    <n v="1185732"/>
    <x v="386"/>
    <x v="0"/>
    <s v="Vermont"/>
    <s v="Burlington"/>
    <x v="1"/>
    <n v="50"/>
    <n v="85"/>
    <n v="4250"/>
    <n v="2550"/>
    <n v="0.6"/>
    <x v="2"/>
  </r>
  <r>
    <x v="5"/>
    <n v="1185732"/>
    <x v="386"/>
    <x v="0"/>
    <s v="Vermont"/>
    <s v="Burlington"/>
    <x v="2"/>
    <n v="46"/>
    <n v="56"/>
    <n v="2576"/>
    <n v="1288"/>
    <n v="0.5"/>
    <x v="2"/>
  </r>
  <r>
    <x v="5"/>
    <n v="1185732"/>
    <x v="386"/>
    <x v="0"/>
    <s v="Vermont"/>
    <s v="Burlington"/>
    <x v="3"/>
    <n v="45"/>
    <n v="52"/>
    <n v="2340"/>
    <n v="1146.5999999999999"/>
    <n v="0.49"/>
    <x v="2"/>
  </r>
  <r>
    <x v="5"/>
    <n v="1185732"/>
    <x v="386"/>
    <x v="0"/>
    <s v="Vermont"/>
    <s v="Burlington"/>
    <x v="4"/>
    <n v="58"/>
    <n v="50"/>
    <n v="2900"/>
    <n v="1363"/>
    <n v="0.47"/>
    <x v="2"/>
  </r>
  <r>
    <x v="5"/>
    <n v="1185732"/>
    <x v="386"/>
    <x v="0"/>
    <s v="Vermont"/>
    <s v="Burlington"/>
    <x v="5"/>
    <n v="59"/>
    <n v="78"/>
    <n v="4602"/>
    <n v="2531.1"/>
    <n v="0.54999999999999993"/>
    <x v="2"/>
  </r>
  <r>
    <x v="5"/>
    <n v="1185732"/>
    <x v="418"/>
    <x v="0"/>
    <s v="Vermont"/>
    <s v="Burlington"/>
    <x v="0"/>
    <n v="62"/>
    <n v="133"/>
    <n v="8246"/>
    <n v="4947.5999999999995"/>
    <n v="0.6"/>
    <x v="2"/>
  </r>
  <r>
    <x v="5"/>
    <n v="1185732"/>
    <x v="418"/>
    <x v="0"/>
    <s v="Vermont"/>
    <s v="Burlington"/>
    <x v="1"/>
    <n v="54"/>
    <n v="75"/>
    <n v="4050"/>
    <n v="2389.5000000000005"/>
    <n v="0.59000000000000008"/>
    <x v="2"/>
  </r>
  <r>
    <x v="5"/>
    <n v="1185732"/>
    <x v="418"/>
    <x v="0"/>
    <s v="Vermont"/>
    <s v="Burlington"/>
    <x v="2"/>
    <n v="59"/>
    <n v="54"/>
    <n v="3186"/>
    <n v="1593"/>
    <n v="0.5"/>
    <x v="2"/>
  </r>
  <r>
    <x v="5"/>
    <n v="1185732"/>
    <x v="418"/>
    <x v="0"/>
    <s v="Vermont"/>
    <s v="Burlington"/>
    <x v="3"/>
    <n v="55"/>
    <n v="46"/>
    <n v="2530"/>
    <n v="1214.3999999999999"/>
    <n v="0.48"/>
    <x v="2"/>
  </r>
  <r>
    <x v="5"/>
    <n v="1185732"/>
    <x v="418"/>
    <x v="0"/>
    <s v="Vermont"/>
    <s v="Burlington"/>
    <x v="4"/>
    <n v="66"/>
    <n v="51"/>
    <n v="3366"/>
    <n v="1615.6799999999998"/>
    <n v="0.48"/>
    <x v="2"/>
  </r>
  <r>
    <x v="3"/>
    <n v="1185732"/>
    <x v="418"/>
    <x v="0"/>
    <s v="Vermont"/>
    <s v="Burlington"/>
    <x v="5"/>
    <n v="71"/>
    <n v="81"/>
    <n v="5751"/>
    <n v="3048.03"/>
    <n v="0.53"/>
    <x v="2"/>
  </r>
  <r>
    <x v="3"/>
    <n v="1185732"/>
    <x v="448"/>
    <x v="0"/>
    <s v="Vermont"/>
    <s v="Burlington"/>
    <x v="0"/>
    <n v="64"/>
    <n v="126"/>
    <n v="8064"/>
    <n v="4838.3999999999996"/>
    <n v="0.6"/>
    <x v="2"/>
  </r>
  <r>
    <x v="3"/>
    <n v="1185732"/>
    <x v="448"/>
    <x v="0"/>
    <s v="Vermont"/>
    <s v="Burlington"/>
    <x v="1"/>
    <n v="55"/>
    <n v="81"/>
    <n v="4455"/>
    <n v="2583.9"/>
    <n v="0.58000000000000007"/>
    <x v="2"/>
  </r>
  <r>
    <x v="3"/>
    <n v="1185732"/>
    <x v="448"/>
    <x v="0"/>
    <s v="Vermont"/>
    <s v="Burlington"/>
    <x v="2"/>
    <n v="57"/>
    <n v="96"/>
    <n v="5472"/>
    <n v="2626.56"/>
    <n v="0.48"/>
    <x v="2"/>
  </r>
  <r>
    <x v="5"/>
    <n v="1185732"/>
    <x v="448"/>
    <x v="0"/>
    <s v="Vermont"/>
    <s v="Burlington"/>
    <x v="3"/>
    <n v="55"/>
    <n v="75"/>
    <n v="4125"/>
    <n v="2062.5"/>
    <n v="0.5"/>
    <x v="2"/>
  </r>
  <r>
    <x v="5"/>
    <n v="1185732"/>
    <x v="448"/>
    <x v="0"/>
    <s v="Vermont"/>
    <s v="Burlington"/>
    <x v="4"/>
    <n v="67"/>
    <n v="80"/>
    <n v="5360"/>
    <n v="2680"/>
    <n v="0.5"/>
    <x v="2"/>
  </r>
  <r>
    <x v="5"/>
    <n v="1185732"/>
    <x v="448"/>
    <x v="0"/>
    <s v="Vermont"/>
    <s v="Burlington"/>
    <x v="5"/>
    <n v="70"/>
    <n v="94"/>
    <n v="6580"/>
    <n v="3487.4"/>
    <n v="0.53"/>
    <x v="2"/>
  </r>
  <r>
    <x v="5"/>
    <n v="1185732"/>
    <x v="477"/>
    <x v="0"/>
    <s v="Vermont"/>
    <s v="Burlington"/>
    <x v="0"/>
    <n v="64"/>
    <n v="168"/>
    <n v="10752"/>
    <n v="6451.2"/>
    <n v="0.6"/>
    <x v="2"/>
  </r>
  <r>
    <x v="5"/>
    <n v="1185732"/>
    <x v="477"/>
    <x v="0"/>
    <s v="Vermont"/>
    <s v="Burlington"/>
    <x v="1"/>
    <n v="55"/>
    <n v="100"/>
    <n v="5500"/>
    <n v="3025.0000000000005"/>
    <n v="0.55000000000000004"/>
    <x v="2"/>
  </r>
  <r>
    <x v="5"/>
    <n v="1185732"/>
    <x v="477"/>
    <x v="0"/>
    <s v="Vermont"/>
    <s v="Burlington"/>
    <x v="2"/>
    <n v="55"/>
    <n v="113"/>
    <n v="6215"/>
    <n v="2921.0499999999997"/>
    <n v="0.47"/>
    <x v="2"/>
  </r>
  <r>
    <x v="5"/>
    <n v="1185732"/>
    <x v="477"/>
    <x v="0"/>
    <s v="Vermont"/>
    <s v="Burlington"/>
    <x v="3"/>
    <n v="56"/>
    <n v="81"/>
    <n v="4536"/>
    <n v="2041.1999999999998"/>
    <n v="0.44999999999999996"/>
    <x v="2"/>
  </r>
  <r>
    <x v="5"/>
    <n v="1185732"/>
    <x v="477"/>
    <x v="0"/>
    <s v="Vermont"/>
    <s v="Burlington"/>
    <x v="4"/>
    <n v="67"/>
    <n v="81"/>
    <n v="5427"/>
    <n v="2604.96"/>
    <n v="0.48"/>
    <x v="2"/>
  </r>
  <r>
    <x v="5"/>
    <n v="1185732"/>
    <x v="477"/>
    <x v="0"/>
    <s v="Vermont"/>
    <s v="Burlington"/>
    <x v="5"/>
    <n v="68"/>
    <n v="106"/>
    <n v="7208"/>
    <n v="3748.1600000000003"/>
    <n v="0.52"/>
    <x v="2"/>
  </r>
  <r>
    <x v="5"/>
    <n v="1185732"/>
    <x v="185"/>
    <x v="0"/>
    <s v="Vermont"/>
    <s v="Burlington"/>
    <x v="0"/>
    <n v="49"/>
    <n v="131"/>
    <n v="6419"/>
    <n v="3530.4500000000003"/>
    <n v="0.55000000000000004"/>
    <x v="2"/>
  </r>
  <r>
    <x v="5"/>
    <n v="1185732"/>
    <x v="185"/>
    <x v="0"/>
    <s v="Vermont"/>
    <s v="Burlington"/>
    <x v="1"/>
    <n v="45"/>
    <n v="91"/>
    <n v="4095"/>
    <n v="2170.35"/>
    <n v="0.53"/>
    <x v="2"/>
  </r>
  <r>
    <x v="5"/>
    <n v="1185732"/>
    <x v="185"/>
    <x v="0"/>
    <s v="Vermont"/>
    <s v="Burlington"/>
    <x v="2"/>
    <n v="38"/>
    <n v="81"/>
    <n v="3078"/>
    <n v="1385.1"/>
    <n v="0.44999999999999996"/>
    <x v="2"/>
  </r>
  <r>
    <x v="5"/>
    <n v="1185732"/>
    <x v="185"/>
    <x v="0"/>
    <s v="Vermont"/>
    <s v="Burlington"/>
    <x v="3"/>
    <n v="43"/>
    <n v="46"/>
    <n v="1978"/>
    <n v="791.2"/>
    <n v="0.4"/>
    <x v="2"/>
  </r>
  <r>
    <x v="5"/>
    <n v="1185732"/>
    <x v="185"/>
    <x v="0"/>
    <s v="Vermont"/>
    <s v="Burlington"/>
    <x v="4"/>
    <n v="59"/>
    <n v="56"/>
    <n v="3304"/>
    <n v="1453.76"/>
    <n v="0.44"/>
    <x v="2"/>
  </r>
  <r>
    <x v="5"/>
    <n v="1185732"/>
    <x v="185"/>
    <x v="0"/>
    <s v="Vermont"/>
    <s v="Burlington"/>
    <x v="5"/>
    <n v="49"/>
    <n v="88"/>
    <n v="4312"/>
    <n v="1940.3999999999999"/>
    <n v="0.44999999999999996"/>
    <x v="2"/>
  </r>
  <r>
    <x v="5"/>
    <n v="1185732"/>
    <x v="693"/>
    <x v="0"/>
    <s v="Vermont"/>
    <s v="Burlington"/>
    <x v="0"/>
    <n v="49"/>
    <n v="180"/>
    <n v="8820"/>
    <n v="4674.6000000000004"/>
    <n v="0.53"/>
    <x v="2"/>
  </r>
  <r>
    <x v="5"/>
    <n v="1185732"/>
    <x v="693"/>
    <x v="0"/>
    <s v="Vermont"/>
    <s v="Burlington"/>
    <x v="1"/>
    <n v="45"/>
    <n v="75"/>
    <n v="3375"/>
    <n v="1721.25"/>
    <n v="0.51"/>
    <x v="2"/>
  </r>
  <r>
    <x v="5"/>
    <n v="1185732"/>
    <x v="693"/>
    <x v="0"/>
    <s v="Vermont"/>
    <s v="Burlington"/>
    <x v="2"/>
    <n v="39"/>
    <n v="90"/>
    <n v="3510"/>
    <n v="1544.4"/>
    <n v="0.44"/>
    <x v="2"/>
  </r>
  <r>
    <x v="5"/>
    <n v="1185732"/>
    <x v="693"/>
    <x v="0"/>
    <s v="New Hampshire"/>
    <s v="Manchester"/>
    <x v="3"/>
    <n v="42"/>
    <n v="58"/>
    <n v="2436"/>
    <n v="1047.48"/>
    <n v="0.43"/>
    <x v="2"/>
  </r>
  <r>
    <x v="5"/>
    <n v="1185732"/>
    <x v="693"/>
    <x v="0"/>
    <s v="New Hampshire"/>
    <s v="Manchester"/>
    <x v="4"/>
    <n v="56"/>
    <n v="83"/>
    <n v="4648"/>
    <n v="1998.6399999999999"/>
    <n v="0.43"/>
    <x v="2"/>
  </r>
  <r>
    <x v="5"/>
    <n v="1185732"/>
    <x v="693"/>
    <x v="0"/>
    <s v="New Hampshire"/>
    <s v="Manchester"/>
    <x v="5"/>
    <n v="46"/>
    <n v="98"/>
    <n v="4508"/>
    <n v="2163.84"/>
    <n v="0.48"/>
    <x v="2"/>
  </r>
  <r>
    <x v="5"/>
    <n v="1185732"/>
    <x v="222"/>
    <x v="0"/>
    <s v="New Hampshire"/>
    <s v="Manchester"/>
    <x v="0"/>
    <n v="49"/>
    <n v="165"/>
    <n v="8085"/>
    <n v="4042.5"/>
    <n v="0.5"/>
    <x v="2"/>
  </r>
  <r>
    <x v="5"/>
    <n v="1185732"/>
    <x v="222"/>
    <x v="0"/>
    <s v="New Hampshire"/>
    <s v="Manchester"/>
    <x v="1"/>
    <n v="49"/>
    <n v="69"/>
    <n v="3381"/>
    <n v="1724.31"/>
    <n v="0.51"/>
    <x v="2"/>
  </r>
  <r>
    <x v="5"/>
    <n v="1185732"/>
    <x v="222"/>
    <x v="0"/>
    <s v="New Hampshire"/>
    <s v="Manchester"/>
    <x v="2"/>
    <n v="38"/>
    <n v="75"/>
    <n v="2850"/>
    <n v="1168.5"/>
    <n v="0.41"/>
    <x v="2"/>
  </r>
  <r>
    <x v="5"/>
    <n v="1185732"/>
    <x v="222"/>
    <x v="0"/>
    <s v="New Hampshire"/>
    <s v="Manchester"/>
    <x v="3"/>
    <n v="44"/>
    <n v="38"/>
    <n v="1672"/>
    <n v="702.24"/>
    <n v="0.42"/>
    <x v="2"/>
  </r>
  <r>
    <x v="5"/>
    <n v="1185732"/>
    <x v="222"/>
    <x v="0"/>
    <s v="New Hampshire"/>
    <s v="Manchester"/>
    <x v="4"/>
    <n v="58"/>
    <n v="60"/>
    <n v="3480"/>
    <n v="1565.9999999999998"/>
    <n v="0.44999999999999996"/>
    <x v="2"/>
  </r>
  <r>
    <x v="5"/>
    <n v="1185732"/>
    <x v="222"/>
    <x v="0"/>
    <s v="New Hampshire"/>
    <s v="Manchester"/>
    <x v="5"/>
    <n v="45"/>
    <n v="75"/>
    <n v="3375"/>
    <n v="1586.25"/>
    <n v="0.47"/>
    <x v="2"/>
  </r>
  <r>
    <x v="5"/>
    <n v="1185732"/>
    <x v="241"/>
    <x v="0"/>
    <s v="New Hampshire"/>
    <s v="Manchester"/>
    <x v="0"/>
    <n v="48"/>
    <n v="154"/>
    <n v="7392"/>
    <n v="3917.76"/>
    <n v="0.53"/>
    <x v="2"/>
  </r>
  <r>
    <x v="5"/>
    <n v="1185732"/>
    <x v="241"/>
    <x v="0"/>
    <s v="New Hampshire"/>
    <s v="Manchester"/>
    <x v="1"/>
    <n v="49"/>
    <n v="68"/>
    <n v="3332"/>
    <n v="1832.6000000000001"/>
    <n v="0.55000000000000004"/>
    <x v="2"/>
  </r>
  <r>
    <x v="5"/>
    <n v="1185732"/>
    <x v="241"/>
    <x v="0"/>
    <s v="New Hampshire"/>
    <s v="Manchester"/>
    <x v="2"/>
    <n v="38"/>
    <n v="73"/>
    <n v="2774"/>
    <n v="1220.56"/>
    <n v="0.44"/>
    <x v="2"/>
  </r>
  <r>
    <x v="5"/>
    <n v="1185732"/>
    <x v="241"/>
    <x v="0"/>
    <s v="New Hampshire"/>
    <s v="Manchester"/>
    <x v="3"/>
    <n v="44"/>
    <n v="49"/>
    <n v="2156"/>
    <n v="883.95999999999992"/>
    <n v="0.41"/>
    <x v="2"/>
  </r>
  <r>
    <x v="5"/>
    <n v="1185732"/>
    <x v="241"/>
    <x v="0"/>
    <s v="New Hampshire"/>
    <s v="Manchester"/>
    <x v="4"/>
    <n v="57"/>
    <n v="53"/>
    <n v="3021"/>
    <n v="1359.4499999999998"/>
    <n v="0.44999999999999996"/>
    <x v="2"/>
  </r>
  <r>
    <x v="5"/>
    <n v="1185732"/>
    <x v="241"/>
    <x v="0"/>
    <s v="New Hampshire"/>
    <s v="Manchester"/>
    <x v="5"/>
    <n v="46"/>
    <n v="98"/>
    <n v="4508"/>
    <n v="2073.6799999999998"/>
    <n v="0.45999999999999996"/>
    <x v="2"/>
  </r>
  <r>
    <x v="5"/>
    <n v="1185732"/>
    <x v="270"/>
    <x v="0"/>
    <s v="New Hampshire"/>
    <s v="Manchester"/>
    <x v="0"/>
    <n v="64"/>
    <n v="173"/>
    <n v="11072"/>
    <n v="5868.16"/>
    <n v="0.53"/>
    <x v="2"/>
  </r>
  <r>
    <x v="5"/>
    <n v="1185732"/>
    <x v="270"/>
    <x v="0"/>
    <s v="New Hampshire"/>
    <s v="Manchester"/>
    <x v="1"/>
    <n v="54"/>
    <n v="87"/>
    <n v="4698"/>
    <n v="2536.92"/>
    <n v="0.54"/>
    <x v="2"/>
  </r>
  <r>
    <x v="5"/>
    <n v="1185732"/>
    <x v="270"/>
    <x v="0"/>
    <s v="New Hampshire"/>
    <s v="Manchester"/>
    <x v="2"/>
    <n v="51"/>
    <n v="98"/>
    <n v="4998"/>
    <n v="2099.16"/>
    <n v="0.42"/>
    <x v="2"/>
  </r>
  <r>
    <x v="5"/>
    <n v="1185732"/>
    <x v="270"/>
    <x v="0"/>
    <s v="New Hampshire"/>
    <s v="Manchester"/>
    <x v="3"/>
    <n v="52"/>
    <n v="80"/>
    <n v="4160"/>
    <n v="1664"/>
    <n v="0.4"/>
    <x v="2"/>
  </r>
  <r>
    <x v="5"/>
    <n v="1185732"/>
    <x v="270"/>
    <x v="0"/>
    <s v="New Hampshire"/>
    <s v="Manchester"/>
    <x v="4"/>
    <n v="63"/>
    <n v="78"/>
    <n v="4914"/>
    <n v="2211.2999999999997"/>
    <n v="0.44999999999999996"/>
    <x v="2"/>
  </r>
  <r>
    <x v="5"/>
    <n v="1185732"/>
    <x v="270"/>
    <x v="0"/>
    <s v="New Hampshire"/>
    <s v="Manchester"/>
    <x v="5"/>
    <n v="65"/>
    <n v="115"/>
    <n v="7475"/>
    <n v="3438.4999999999995"/>
    <n v="0.45999999999999996"/>
    <x v="2"/>
  </r>
  <r>
    <x v="5"/>
    <n v="1185732"/>
    <x v="303"/>
    <x v="0"/>
    <s v="New Hampshire"/>
    <s v="Manchester"/>
    <x v="0"/>
    <n v="59"/>
    <n v="169"/>
    <n v="9971"/>
    <n v="5284.63"/>
    <n v="0.53"/>
    <x v="2"/>
  </r>
  <r>
    <x v="5"/>
    <n v="1185732"/>
    <x v="303"/>
    <x v="0"/>
    <s v="New Hampshire"/>
    <s v="Manchester"/>
    <x v="1"/>
    <n v="56"/>
    <n v="123"/>
    <n v="6888"/>
    <n v="3512.88"/>
    <n v="0.51"/>
    <x v="2"/>
  </r>
  <r>
    <x v="5"/>
    <n v="1185732"/>
    <x v="303"/>
    <x v="0"/>
    <s v="New Hampshire"/>
    <s v="Manchester"/>
    <x v="2"/>
    <n v="53"/>
    <n v="88"/>
    <n v="4664"/>
    <n v="2052.16"/>
    <n v="0.44"/>
    <x v="2"/>
  </r>
  <r>
    <x v="5"/>
    <n v="1185732"/>
    <x v="303"/>
    <x v="0"/>
    <s v="New Hampshire"/>
    <s v="Manchester"/>
    <x v="3"/>
    <n v="52"/>
    <n v="91"/>
    <n v="4732"/>
    <n v="1987.4399999999998"/>
    <n v="0.42"/>
    <x v="2"/>
  </r>
  <r>
    <x v="5"/>
    <n v="1185732"/>
    <x v="303"/>
    <x v="0"/>
    <s v="New Hampshire"/>
    <s v="Manchester"/>
    <x v="4"/>
    <n v="60"/>
    <n v="94"/>
    <n v="5640"/>
    <n v="2425.1999999999998"/>
    <n v="0.43"/>
    <x v="2"/>
  </r>
  <r>
    <x v="5"/>
    <n v="1185732"/>
    <x v="303"/>
    <x v="0"/>
    <s v="New Hampshire"/>
    <s v="Manchester"/>
    <x v="5"/>
    <n v="66"/>
    <n v="138"/>
    <n v="9108"/>
    <n v="4280.7599999999993"/>
    <n v="0.47"/>
    <x v="2"/>
  </r>
  <r>
    <x v="5"/>
    <n v="1185732"/>
    <x v="331"/>
    <x v="0"/>
    <s v="New Hampshire"/>
    <s v="Manchester"/>
    <x v="0"/>
    <n v="64"/>
    <n v="196"/>
    <n v="12544"/>
    <n v="6648.3200000000006"/>
    <n v="0.53"/>
    <x v="2"/>
  </r>
  <r>
    <x v="5"/>
    <n v="1185732"/>
    <x v="331"/>
    <x v="0"/>
    <s v="New Hampshire"/>
    <s v="Manchester"/>
    <x v="1"/>
    <n v="55"/>
    <n v="131"/>
    <n v="7205"/>
    <n v="3602.5"/>
    <n v="0.5"/>
    <x v="2"/>
  </r>
  <r>
    <x v="5"/>
    <n v="1185732"/>
    <x v="331"/>
    <x v="0"/>
    <s v="New Hampshire"/>
    <s v="Manchester"/>
    <x v="2"/>
    <n v="54"/>
    <n v="109"/>
    <n v="5886"/>
    <n v="2413.2599999999998"/>
    <n v="0.41"/>
    <x v="2"/>
  </r>
  <r>
    <x v="5"/>
    <n v="1185732"/>
    <x v="331"/>
    <x v="0"/>
    <s v="New Hampshire"/>
    <s v="Manchester"/>
    <x v="3"/>
    <n v="53"/>
    <n v="85"/>
    <n v="4505"/>
    <n v="1982.2"/>
    <n v="0.44"/>
    <x v="2"/>
  </r>
  <r>
    <x v="5"/>
    <n v="1185732"/>
    <x v="331"/>
    <x v="0"/>
    <s v="New Hampshire"/>
    <s v="Manchester"/>
    <x v="4"/>
    <n v="60"/>
    <n v="102"/>
    <n v="6120"/>
    <n v="2509.1999999999998"/>
    <n v="0.41"/>
    <x v="2"/>
  </r>
  <r>
    <x v="5"/>
    <n v="1185732"/>
    <x v="331"/>
    <x v="0"/>
    <s v="New Hampshire"/>
    <s v="Manchester"/>
    <x v="5"/>
    <n v="64"/>
    <n v="137"/>
    <n v="8768"/>
    <n v="4296.32"/>
    <n v="0.49"/>
    <x v="2"/>
  </r>
  <r>
    <x v="5"/>
    <n v="1185732"/>
    <x v="363"/>
    <x v="0"/>
    <s v="New Hampshire"/>
    <s v="Manchester"/>
    <x v="0"/>
    <n v="60"/>
    <n v="196"/>
    <n v="11760"/>
    <n v="5997.6"/>
    <n v="0.51"/>
    <x v="2"/>
  </r>
  <r>
    <x v="5"/>
    <n v="1185732"/>
    <x v="363"/>
    <x v="0"/>
    <s v="New Hampshire"/>
    <s v="Manchester"/>
    <x v="1"/>
    <n v="58"/>
    <n v="135"/>
    <n v="7830"/>
    <n v="4228.2000000000007"/>
    <n v="0.54"/>
    <x v="2"/>
  </r>
  <r>
    <x v="5"/>
    <n v="1185732"/>
    <x v="363"/>
    <x v="0"/>
    <s v="New Hampshire"/>
    <s v="Manchester"/>
    <x v="2"/>
    <n v="52"/>
    <n v="105"/>
    <n v="5460"/>
    <n v="2456.9999999999995"/>
    <n v="0.44999999999999996"/>
    <x v="2"/>
  </r>
  <r>
    <x v="5"/>
    <n v="1185732"/>
    <x v="363"/>
    <x v="0"/>
    <s v="New Hampshire"/>
    <s v="Manchester"/>
    <x v="3"/>
    <n v="51"/>
    <n v="72"/>
    <n v="3672"/>
    <n v="1542.24"/>
    <n v="0.42"/>
    <x v="2"/>
  </r>
  <r>
    <x v="5"/>
    <n v="1185732"/>
    <x v="363"/>
    <x v="0"/>
    <s v="New Hampshire"/>
    <s v="Manchester"/>
    <x v="4"/>
    <n v="59"/>
    <n v="73"/>
    <n v="4307"/>
    <n v="1938.1499999999999"/>
    <n v="0.44999999999999996"/>
    <x v="2"/>
  </r>
  <r>
    <x v="5"/>
    <n v="1185732"/>
    <x v="363"/>
    <x v="0"/>
    <s v="New Hampshire"/>
    <s v="Manchester"/>
    <x v="5"/>
    <n v="64"/>
    <n v="106"/>
    <n v="6784"/>
    <n v="3188.48"/>
    <n v="0.47"/>
    <x v="2"/>
  </r>
  <r>
    <x v="5"/>
    <n v="1185732"/>
    <x v="393"/>
    <x v="0"/>
    <s v="New Hampshire"/>
    <s v="Manchester"/>
    <x v="0"/>
    <n v="59"/>
    <n v="154"/>
    <n v="9086"/>
    <n v="4724.72"/>
    <n v="0.52"/>
    <x v="2"/>
  </r>
  <r>
    <x v="5"/>
    <n v="1185732"/>
    <x v="393"/>
    <x v="0"/>
    <s v="New Hampshire"/>
    <s v="Manchester"/>
    <x v="1"/>
    <n v="54"/>
    <n v="95"/>
    <n v="5130"/>
    <n v="2667.6"/>
    <n v="0.52"/>
    <x v="2"/>
  </r>
  <r>
    <x v="5"/>
    <n v="1185732"/>
    <x v="393"/>
    <x v="0"/>
    <s v="New Hampshire"/>
    <s v="Manchester"/>
    <x v="2"/>
    <n v="52"/>
    <n v="75"/>
    <n v="3900"/>
    <n v="1677"/>
    <n v="0.43"/>
    <x v="2"/>
  </r>
  <r>
    <x v="5"/>
    <n v="1185732"/>
    <x v="393"/>
    <x v="0"/>
    <s v="New Hampshire"/>
    <s v="Manchester"/>
    <x v="3"/>
    <n v="53"/>
    <n v="56"/>
    <n v="2968"/>
    <n v="1246.56"/>
    <n v="0.42"/>
    <x v="2"/>
  </r>
  <r>
    <x v="5"/>
    <n v="1185732"/>
    <x v="393"/>
    <x v="0"/>
    <s v="New Hampshire"/>
    <s v="Manchester"/>
    <x v="4"/>
    <n v="64"/>
    <n v="63"/>
    <n v="4032"/>
    <n v="1733.76"/>
    <n v="0.43"/>
    <x v="2"/>
  </r>
  <r>
    <x v="5"/>
    <n v="1185732"/>
    <x v="393"/>
    <x v="0"/>
    <s v="New Hampshire"/>
    <s v="Manchester"/>
    <x v="5"/>
    <n v="68"/>
    <n v="98"/>
    <n v="6664"/>
    <n v="3065.4399999999996"/>
    <n v="0.45999999999999996"/>
    <x v="2"/>
  </r>
  <r>
    <x v="0"/>
    <n v="1185732"/>
    <x v="425"/>
    <x v="0"/>
    <s v="New Hampshire"/>
    <s v="Manchester"/>
    <x v="0"/>
    <n v="64"/>
    <n v="119"/>
    <n v="7616"/>
    <n v="4036.48"/>
    <n v="0.53"/>
    <x v="2"/>
  </r>
  <r>
    <x v="0"/>
    <n v="1185732"/>
    <x v="425"/>
    <x v="0"/>
    <s v="New Hampshire"/>
    <s v="Manchester"/>
    <x v="1"/>
    <n v="62"/>
    <n v="84"/>
    <n v="5208"/>
    <n v="2760.2400000000002"/>
    <n v="0.53"/>
    <x v="2"/>
  </r>
  <r>
    <x v="0"/>
    <n v="1185732"/>
    <x v="425"/>
    <x v="0"/>
    <s v="New Hampshire"/>
    <s v="Manchester"/>
    <x v="2"/>
    <n v="59"/>
    <n v="54"/>
    <n v="3186"/>
    <n v="1401.84"/>
    <n v="0.44"/>
    <x v="2"/>
  </r>
  <r>
    <x v="0"/>
    <n v="1185732"/>
    <x v="425"/>
    <x v="0"/>
    <s v="New Hampshire"/>
    <s v="Manchester"/>
    <x v="3"/>
    <n v="62"/>
    <n v="47"/>
    <n v="2914"/>
    <n v="1253.02"/>
    <n v="0.43"/>
    <x v="2"/>
  </r>
  <r>
    <x v="0"/>
    <n v="1185732"/>
    <x v="425"/>
    <x v="0"/>
    <s v="New Hampshire"/>
    <s v="Manchester"/>
    <x v="4"/>
    <n v="71"/>
    <n v="46"/>
    <n v="3266"/>
    <n v="1404.3799999999999"/>
    <n v="0.43"/>
    <x v="2"/>
  </r>
  <r>
    <x v="0"/>
    <n v="1185732"/>
    <x v="425"/>
    <x v="0"/>
    <s v="New Hampshire"/>
    <s v="Manchester"/>
    <x v="5"/>
    <n v="72"/>
    <n v="81"/>
    <n v="5832"/>
    <n v="2799.3599999999997"/>
    <n v="0.48"/>
    <x v="2"/>
  </r>
  <r>
    <x v="0"/>
    <n v="1185732"/>
    <x v="455"/>
    <x v="0"/>
    <s v="New Hampshire"/>
    <s v="Manchester"/>
    <x v="0"/>
    <n v="68"/>
    <n v="117"/>
    <n v="7956"/>
    <n v="4216.68"/>
    <n v="0.53"/>
    <x v="2"/>
  </r>
  <r>
    <x v="0"/>
    <n v="1185732"/>
    <x v="455"/>
    <x v="0"/>
    <s v="New Hampshire"/>
    <s v="Manchester"/>
    <x v="1"/>
    <n v="62"/>
    <n v="98"/>
    <n v="6076"/>
    <n v="3159.52"/>
    <n v="0.52"/>
    <x v="2"/>
  </r>
  <r>
    <x v="0"/>
    <n v="1185732"/>
    <x v="455"/>
    <x v="0"/>
    <s v="New Hampshire"/>
    <s v="Manchester"/>
    <x v="2"/>
    <n v="63"/>
    <n v="104"/>
    <n v="6552"/>
    <n v="2948.3999999999996"/>
    <n v="0.44999999999999996"/>
    <x v="2"/>
  </r>
  <r>
    <x v="0"/>
    <n v="1185732"/>
    <x v="455"/>
    <x v="0"/>
    <s v="New Hampshire"/>
    <s v="Manchester"/>
    <x v="3"/>
    <n v="64"/>
    <n v="85"/>
    <n v="5440"/>
    <n v="2176"/>
    <n v="0.4"/>
    <x v="2"/>
  </r>
  <r>
    <x v="0"/>
    <n v="1185732"/>
    <x v="455"/>
    <x v="0"/>
    <s v="New Hampshire"/>
    <s v="Manchester"/>
    <x v="4"/>
    <n v="71"/>
    <n v="81"/>
    <n v="5751"/>
    <n v="2415.42"/>
    <n v="0.42"/>
    <x v="2"/>
  </r>
  <r>
    <x v="0"/>
    <n v="1185732"/>
    <x v="455"/>
    <x v="0"/>
    <s v="New Hampshire"/>
    <s v="Manchester"/>
    <x v="5"/>
    <n v="78"/>
    <n v="116"/>
    <n v="9048"/>
    <n v="4252.5599999999995"/>
    <n v="0.47"/>
    <x v="2"/>
  </r>
  <r>
    <x v="0"/>
    <n v="1185732"/>
    <x v="484"/>
    <x v="0"/>
    <s v="New Hampshire"/>
    <s v="Manchester"/>
    <x v="0"/>
    <n v="71"/>
    <n v="169"/>
    <n v="11999"/>
    <n v="6599.4500000000007"/>
    <n v="0.55000000000000004"/>
    <x v="2"/>
  </r>
  <r>
    <x v="0"/>
    <n v="1185732"/>
    <x v="484"/>
    <x v="0"/>
    <s v="New Hampshire"/>
    <s v="Manchester"/>
    <x v="1"/>
    <n v="59"/>
    <n v="115"/>
    <n v="6785"/>
    <n v="3731.7500000000005"/>
    <n v="0.55000000000000004"/>
    <x v="2"/>
  </r>
  <r>
    <x v="0"/>
    <n v="1185732"/>
    <x v="484"/>
    <x v="0"/>
    <s v="New Hampshire"/>
    <s v="Manchester"/>
    <x v="2"/>
    <n v="62"/>
    <n v="108"/>
    <n v="6696"/>
    <n v="2812.3199999999997"/>
    <n v="0.42"/>
    <x v="2"/>
  </r>
  <r>
    <x v="0"/>
    <n v="1185732"/>
    <x v="484"/>
    <x v="0"/>
    <s v="New Hampshire"/>
    <s v="Manchester"/>
    <x v="3"/>
    <n v="62"/>
    <n v="88"/>
    <n v="5456"/>
    <n v="2400.64"/>
    <n v="0.44"/>
    <x v="2"/>
  </r>
  <r>
    <x v="0"/>
    <n v="1185732"/>
    <x v="484"/>
    <x v="0"/>
    <s v="New Hampshire"/>
    <s v="Manchester"/>
    <x v="4"/>
    <n v="74"/>
    <n v="105"/>
    <n v="7770"/>
    <n v="3341.1"/>
    <n v="0.43"/>
    <x v="2"/>
  </r>
  <r>
    <x v="0"/>
    <n v="1185732"/>
    <x v="484"/>
    <x v="0"/>
    <s v="New Hampshire"/>
    <s v="Manchester"/>
    <x v="5"/>
    <n v="74"/>
    <n v="117"/>
    <n v="8658"/>
    <n v="4242.42"/>
    <n v="0.49"/>
    <x v="2"/>
  </r>
  <r>
    <x v="0"/>
    <n v="1185732"/>
    <x v="188"/>
    <x v="0"/>
    <s v="New Hampshire"/>
    <s v="Manchester"/>
    <x v="0"/>
    <n v="52"/>
    <n v="145"/>
    <n v="7540"/>
    <n v="3468.4"/>
    <n v="0.46"/>
    <x v="2"/>
  </r>
  <r>
    <x v="0"/>
    <n v="1185732"/>
    <x v="188"/>
    <x v="0"/>
    <s v="New Hampshire"/>
    <s v="Manchester"/>
    <x v="1"/>
    <n v="50"/>
    <n v="84"/>
    <n v="4200"/>
    <n v="1974.0000000000002"/>
    <n v="0.47000000000000003"/>
    <x v="2"/>
  </r>
  <r>
    <x v="0"/>
    <n v="1185732"/>
    <x v="188"/>
    <x v="0"/>
    <s v="New Hampshire"/>
    <s v="Manchester"/>
    <x v="2"/>
    <n v="44"/>
    <n v="90"/>
    <n v="3960"/>
    <n v="1386"/>
    <n v="0.35"/>
    <x v="2"/>
  </r>
  <r>
    <x v="0"/>
    <n v="1185732"/>
    <x v="188"/>
    <x v="0"/>
    <s v="New Hampshire"/>
    <s v="Manchester"/>
    <x v="3"/>
    <n v="49"/>
    <n v="39"/>
    <n v="1911"/>
    <n v="707.06999999999994"/>
    <n v="0.37"/>
    <x v="2"/>
  </r>
  <r>
    <x v="0"/>
    <n v="1185732"/>
    <x v="188"/>
    <x v="0"/>
    <s v="New Hampshire"/>
    <s v="Manchester"/>
    <x v="4"/>
    <n v="60"/>
    <n v="54"/>
    <n v="3240"/>
    <n v="1198.8"/>
    <n v="0.37"/>
    <x v="2"/>
  </r>
  <r>
    <x v="0"/>
    <n v="1185732"/>
    <x v="188"/>
    <x v="0"/>
    <s v="New Hampshire"/>
    <s v="Manchester"/>
    <x v="5"/>
    <n v="54"/>
    <n v="78"/>
    <n v="4212"/>
    <n v="1895.3999999999999"/>
    <n v="0.44999999999999996"/>
    <x v="2"/>
  </r>
  <r>
    <x v="0"/>
    <n v="1185732"/>
    <x v="696"/>
    <x v="0"/>
    <s v="New Hampshire"/>
    <s v="Manchester"/>
    <x v="0"/>
    <n v="52"/>
    <n v="173"/>
    <n v="8996"/>
    <n v="4048.2000000000007"/>
    <n v="0.45000000000000007"/>
    <x v="2"/>
  </r>
  <r>
    <x v="0"/>
    <n v="1185732"/>
    <x v="696"/>
    <x v="0"/>
    <s v="New Hampshire"/>
    <s v="Manchester"/>
    <x v="1"/>
    <n v="53"/>
    <n v="59"/>
    <n v="3127"/>
    <n v="1438.42"/>
    <n v="0.46"/>
    <x v="2"/>
  </r>
  <r>
    <x v="0"/>
    <n v="1185732"/>
    <x v="696"/>
    <x v="0"/>
    <s v="New Hampshire"/>
    <s v="Manchester"/>
    <x v="2"/>
    <n v="43"/>
    <n v="83"/>
    <n v="3569"/>
    <n v="1427.6000000000001"/>
    <n v="0.4"/>
    <x v="2"/>
  </r>
  <r>
    <x v="0"/>
    <n v="1185732"/>
    <x v="0"/>
    <x v="0"/>
    <s v="New York"/>
    <s v="New York"/>
    <x v="0"/>
    <n v="34"/>
    <n v="384"/>
    <n v="13056"/>
    <n v="6789.12"/>
    <n v="0.52"/>
    <x v="1"/>
  </r>
  <r>
    <x v="0"/>
    <n v="1185732"/>
    <x v="1"/>
    <x v="0"/>
    <s v="New York"/>
    <s v="New York"/>
    <x v="1"/>
    <n v="36"/>
    <n v="320"/>
    <n v="11520"/>
    <n v="4031.9999999999995"/>
    <n v="0.35"/>
    <x v="1"/>
  </r>
  <r>
    <x v="0"/>
    <n v="1185732"/>
    <x v="2"/>
    <x v="0"/>
    <s v="New York"/>
    <s v="New York"/>
    <x v="2"/>
    <n v="32"/>
    <n v="350"/>
    <n v="11200"/>
    <n v="4144"/>
    <n v="0.37"/>
    <x v="1"/>
  </r>
  <r>
    <x v="0"/>
    <n v="1185732"/>
    <x v="3"/>
    <x v="0"/>
    <s v="New York"/>
    <s v="New York"/>
    <x v="3"/>
    <n v="36"/>
    <n v="281"/>
    <n v="10116"/>
    <n v="3742.92"/>
    <n v="0.37"/>
    <x v="1"/>
  </r>
  <r>
    <x v="0"/>
    <n v="1185732"/>
    <x v="4"/>
    <x v="0"/>
    <s v="New York"/>
    <s v="New York"/>
    <x v="4"/>
    <n v="43"/>
    <n v="306"/>
    <n v="13158"/>
    <n v="4868.46"/>
    <n v="0.37"/>
    <x v="1"/>
  </r>
  <r>
    <x v="0"/>
    <n v="1185732"/>
    <x v="5"/>
    <x v="0"/>
    <s v="New York"/>
    <s v="New York"/>
    <x v="5"/>
    <n v="38"/>
    <n v="330"/>
    <n v="12540"/>
    <n v="4012.8"/>
    <n v="0.32"/>
    <x v="1"/>
  </r>
  <r>
    <x v="0"/>
    <n v="1185732"/>
    <x v="6"/>
    <x v="0"/>
    <s v="New York"/>
    <s v="New York"/>
    <x v="0"/>
    <n v="33"/>
    <n v="388"/>
    <n v="12804"/>
    <n v="6658.08"/>
    <n v="0.52"/>
    <x v="1"/>
  </r>
  <r>
    <x v="0"/>
    <n v="1185732"/>
    <x v="7"/>
    <x v="0"/>
    <s v="New York"/>
    <s v="New York"/>
    <x v="1"/>
    <n v="39"/>
    <n v="315"/>
    <n v="12285"/>
    <n v="4054.0499999999997"/>
    <n v="0.32999999999999996"/>
    <x v="1"/>
  </r>
  <r>
    <x v="0"/>
    <n v="1185732"/>
    <x v="8"/>
    <x v="0"/>
    <s v="New York"/>
    <s v="New York"/>
    <x v="2"/>
    <n v="32"/>
    <n v="323"/>
    <n v="10336"/>
    <n v="3927.68"/>
    <n v="0.38"/>
    <x v="1"/>
  </r>
  <r>
    <x v="0"/>
    <n v="1185732"/>
    <x v="9"/>
    <x v="0"/>
    <s v="New York"/>
    <s v="New York"/>
    <x v="3"/>
    <n v="32"/>
    <n v="248"/>
    <n v="7936"/>
    <n v="3015.68"/>
    <n v="0.38"/>
    <x v="1"/>
  </r>
  <r>
    <x v="0"/>
    <n v="1185732"/>
    <x v="10"/>
    <x v="0"/>
    <s v="New York"/>
    <s v="New York"/>
    <x v="4"/>
    <n v="43"/>
    <n v="306"/>
    <n v="13158"/>
    <n v="4605.2999999999993"/>
    <n v="0.35"/>
    <x v="1"/>
  </r>
  <r>
    <x v="0"/>
    <n v="1185732"/>
    <x v="11"/>
    <x v="0"/>
    <s v="New York"/>
    <s v="New York"/>
    <x v="5"/>
    <n v="36"/>
    <n v="350"/>
    <n v="12600"/>
    <n v="3653.9999999999995"/>
    <n v="0.28999999999999998"/>
    <x v="1"/>
  </r>
  <r>
    <x v="0"/>
    <n v="1185732"/>
    <x v="12"/>
    <x v="0"/>
    <s v="New York"/>
    <s v="New York"/>
    <x v="0"/>
    <n v="40"/>
    <n v="390"/>
    <n v="15600"/>
    <n v="8112"/>
    <n v="0.52"/>
    <x v="1"/>
  </r>
  <r>
    <x v="0"/>
    <n v="1185732"/>
    <x v="13"/>
    <x v="0"/>
    <s v="New York"/>
    <s v="New York"/>
    <x v="1"/>
    <n v="35"/>
    <n v="315"/>
    <n v="11025"/>
    <n v="3969"/>
    <n v="0.36"/>
    <x v="1"/>
  </r>
  <r>
    <x v="0"/>
    <n v="1185732"/>
    <x v="14"/>
    <x v="0"/>
    <s v="New York"/>
    <s v="New York"/>
    <x v="2"/>
    <n v="27"/>
    <n v="314"/>
    <n v="8478"/>
    <n v="3475.98"/>
    <n v="0.41"/>
    <x v="1"/>
  </r>
  <r>
    <x v="0"/>
    <n v="1185732"/>
    <x v="15"/>
    <x v="0"/>
    <s v="New York"/>
    <s v="New York"/>
    <x v="3"/>
    <n v="31"/>
    <n v="240"/>
    <n v="7440"/>
    <n v="2975.9999999999995"/>
    <n v="0.39999999999999997"/>
    <x v="1"/>
  </r>
  <r>
    <x v="0"/>
    <n v="1185732"/>
    <x v="16"/>
    <x v="0"/>
    <s v="New York"/>
    <s v="New York"/>
    <x v="4"/>
    <n v="43"/>
    <n v="289"/>
    <n v="12427"/>
    <n v="3976.64"/>
    <n v="0.32"/>
    <x v="1"/>
  </r>
  <r>
    <x v="0"/>
    <n v="1185732"/>
    <x v="17"/>
    <x v="0"/>
    <s v="New York"/>
    <s v="New York"/>
    <x v="5"/>
    <n v="36"/>
    <n v="323"/>
    <n v="11628"/>
    <n v="3139.5600000000004"/>
    <n v="0.27"/>
    <x v="1"/>
  </r>
  <r>
    <x v="0"/>
    <n v="1185732"/>
    <x v="18"/>
    <x v="0"/>
    <s v="New York"/>
    <s v="New York"/>
    <x v="0"/>
    <n v="33"/>
    <n v="372"/>
    <n v="12276"/>
    <n v="6629.0400000000009"/>
    <n v="0.54"/>
    <x v="1"/>
  </r>
  <r>
    <x v="0"/>
    <n v="1185732"/>
    <x v="19"/>
    <x v="0"/>
    <s v="New York"/>
    <s v="New York"/>
    <x v="1"/>
    <n v="35"/>
    <n v="315"/>
    <n v="11025"/>
    <n v="3638.2499999999995"/>
    <n v="0.32999999999999996"/>
    <x v="1"/>
  </r>
  <r>
    <x v="0"/>
    <n v="1185732"/>
    <x v="20"/>
    <x v="0"/>
    <s v="New York"/>
    <s v="New York"/>
    <x v="2"/>
    <n v="28"/>
    <n v="315"/>
    <n v="8820"/>
    <n v="3351.6"/>
    <n v="0.38"/>
    <x v="1"/>
  </r>
  <r>
    <x v="0"/>
    <n v="1185732"/>
    <x v="21"/>
    <x v="0"/>
    <s v="New York"/>
    <s v="New York"/>
    <x v="3"/>
    <n v="31"/>
    <n v="289"/>
    <n v="8959"/>
    <n v="3314.83"/>
    <n v="0.37"/>
    <x v="1"/>
  </r>
  <r>
    <x v="0"/>
    <n v="1185732"/>
    <x v="22"/>
    <x v="0"/>
    <s v="New York"/>
    <s v="New York"/>
    <x v="4"/>
    <n v="44"/>
    <n v="281"/>
    <n v="12364"/>
    <n v="4451.04"/>
    <n v="0.36"/>
    <x v="1"/>
  </r>
  <r>
    <x v="0"/>
    <n v="1185732"/>
    <x v="23"/>
    <x v="0"/>
    <s v="New York"/>
    <s v="New York"/>
    <x v="5"/>
    <n v="39"/>
    <n v="333"/>
    <n v="12987"/>
    <n v="3506.4900000000002"/>
    <n v="0.27"/>
    <x v="1"/>
  </r>
  <r>
    <x v="0"/>
    <n v="1185732"/>
    <x v="24"/>
    <x v="0"/>
    <s v="New York"/>
    <s v="New York"/>
    <x v="0"/>
    <n v="44"/>
    <n v="366"/>
    <n v="16104"/>
    <n v="8374.08"/>
    <n v="0.52"/>
    <x v="1"/>
  </r>
  <r>
    <x v="0"/>
    <n v="1185732"/>
    <x v="25"/>
    <x v="0"/>
    <s v="New York"/>
    <s v="New York"/>
    <x v="1"/>
    <n v="37"/>
    <n v="296"/>
    <n v="10952"/>
    <n v="3833.2"/>
    <n v="0.35"/>
    <x v="1"/>
  </r>
  <r>
    <x v="0"/>
    <n v="1185732"/>
    <x v="26"/>
    <x v="0"/>
    <s v="New York"/>
    <s v="New York"/>
    <x v="2"/>
    <n v="36"/>
    <n v="288"/>
    <n v="10368"/>
    <n v="4354.5599999999995"/>
    <n v="0.42"/>
    <x v="1"/>
  </r>
  <r>
    <x v="0"/>
    <n v="1185732"/>
    <x v="27"/>
    <x v="0"/>
    <s v="New York"/>
    <s v="New York"/>
    <x v="3"/>
    <n v="33"/>
    <n v="289"/>
    <n v="9537"/>
    <n v="3814.7999999999997"/>
    <n v="0.39999999999999997"/>
    <x v="1"/>
  </r>
  <r>
    <x v="0"/>
    <n v="1185732"/>
    <x v="28"/>
    <x v="0"/>
    <s v="New York"/>
    <s v="New York"/>
    <x v="4"/>
    <n v="47"/>
    <n v="280"/>
    <n v="13160"/>
    <n v="4606"/>
    <n v="0.35"/>
    <x v="1"/>
  </r>
  <r>
    <x v="0"/>
    <n v="1185732"/>
    <x v="29"/>
    <x v="0"/>
    <s v="New York"/>
    <s v="New York"/>
    <x v="5"/>
    <n v="44"/>
    <n v="320"/>
    <n v="14080"/>
    <n v="4083.2"/>
    <n v="0.28999999999999998"/>
    <x v="1"/>
  </r>
  <r>
    <x v="0"/>
    <n v="1185732"/>
    <x v="30"/>
    <x v="0"/>
    <s v="New York"/>
    <s v="New York"/>
    <x v="0"/>
    <n v="47"/>
    <n v="400"/>
    <n v="18800"/>
    <n v="9776"/>
    <n v="0.52"/>
    <x v="1"/>
  </r>
  <r>
    <x v="0"/>
    <n v="1185732"/>
    <x v="31"/>
    <x v="0"/>
    <s v="New York"/>
    <s v="New York"/>
    <x v="1"/>
    <n v="41"/>
    <n v="340"/>
    <n v="13940"/>
    <n v="4739.5999999999995"/>
    <n v="0.33999999999999997"/>
    <x v="1"/>
  </r>
  <r>
    <x v="0"/>
    <n v="1185732"/>
    <x v="32"/>
    <x v="0"/>
    <s v="New York"/>
    <s v="New York"/>
    <x v="2"/>
    <n v="37"/>
    <n v="296"/>
    <n v="10952"/>
    <n v="4490.32"/>
    <n v="0.41"/>
    <x v="1"/>
  </r>
  <r>
    <x v="0"/>
    <n v="1185732"/>
    <x v="33"/>
    <x v="0"/>
    <s v="New York"/>
    <s v="New York"/>
    <x v="3"/>
    <n v="38"/>
    <n v="297"/>
    <n v="11286"/>
    <n v="4288.68"/>
    <n v="0.38"/>
    <x v="1"/>
  </r>
  <r>
    <x v="0"/>
    <n v="1185732"/>
    <x v="34"/>
    <x v="0"/>
    <s v="New York"/>
    <s v="New York"/>
    <x v="4"/>
    <n v="45"/>
    <n v="288"/>
    <n v="12960"/>
    <n v="4406.3999999999996"/>
    <n v="0.33999999999999997"/>
    <x v="1"/>
  </r>
  <r>
    <x v="0"/>
    <n v="1185732"/>
    <x v="35"/>
    <x v="0"/>
    <s v="New York"/>
    <s v="New York"/>
    <x v="5"/>
    <n v="46"/>
    <n v="347"/>
    <n v="15962"/>
    <n v="5107.84"/>
    <n v="0.32"/>
    <x v="1"/>
  </r>
  <r>
    <x v="0"/>
    <n v="1185732"/>
    <x v="36"/>
    <x v="0"/>
    <s v="New York"/>
    <s v="New York"/>
    <x v="0"/>
    <n v="44"/>
    <n v="434"/>
    <n v="19096"/>
    <n v="9929.92"/>
    <n v="0.52"/>
    <x v="1"/>
  </r>
  <r>
    <x v="0"/>
    <n v="1185732"/>
    <x v="37"/>
    <x v="0"/>
    <s v="New York"/>
    <s v="New York"/>
    <x v="1"/>
    <n v="41"/>
    <n v="318"/>
    <n v="13038"/>
    <n v="4824.0599999999995"/>
    <n v="0.37"/>
    <x v="1"/>
  </r>
  <r>
    <x v="0"/>
    <n v="1185732"/>
    <x v="38"/>
    <x v="0"/>
    <s v="New York"/>
    <s v="New York"/>
    <x v="2"/>
    <n v="35"/>
    <n v="295"/>
    <n v="10325"/>
    <n v="4336.5"/>
    <n v="0.42"/>
    <x v="1"/>
  </r>
  <r>
    <x v="0"/>
    <n v="1185732"/>
    <x v="39"/>
    <x v="0"/>
    <s v="New York"/>
    <s v="New York"/>
    <x v="3"/>
    <n v="35"/>
    <n v="270"/>
    <n v="9450"/>
    <n v="3496.5"/>
    <n v="0.37"/>
    <x v="1"/>
  </r>
  <r>
    <x v="0"/>
    <n v="1185732"/>
    <x v="40"/>
    <x v="0"/>
    <s v="New York"/>
    <s v="New York"/>
    <x v="4"/>
    <n v="46"/>
    <n v="278"/>
    <n v="12788"/>
    <n v="4347.9199999999992"/>
    <n v="0.33999999999999997"/>
    <x v="1"/>
  </r>
  <r>
    <x v="0"/>
    <n v="1185732"/>
    <x v="41"/>
    <x v="0"/>
    <s v="New York"/>
    <s v="New York"/>
    <x v="5"/>
    <n v="47"/>
    <n v="352"/>
    <n v="16544"/>
    <n v="4466.88"/>
    <n v="0.27"/>
    <x v="1"/>
  </r>
  <r>
    <x v="0"/>
    <n v="1185732"/>
    <x v="42"/>
    <x v="0"/>
    <s v="New York"/>
    <s v="New York"/>
    <x v="0"/>
    <n v="41"/>
    <n v="375"/>
    <n v="15375"/>
    <n v="7995"/>
    <n v="0.52"/>
    <x v="1"/>
  </r>
  <r>
    <x v="0"/>
    <n v="1185732"/>
    <x v="43"/>
    <x v="0"/>
    <s v="New York"/>
    <s v="New York"/>
    <x v="1"/>
    <n v="37"/>
    <n v="359"/>
    <n v="13283"/>
    <n v="4516.2199999999993"/>
    <n v="0.33999999999999997"/>
    <x v="1"/>
  </r>
  <r>
    <x v="0"/>
    <n v="1185732"/>
    <x v="44"/>
    <x v="0"/>
    <s v="New York"/>
    <s v="New York"/>
    <x v="2"/>
    <n v="37"/>
    <n v="314"/>
    <n v="11618"/>
    <n v="4298.66"/>
    <n v="0.37"/>
    <x v="1"/>
  </r>
  <r>
    <x v="0"/>
    <n v="1185732"/>
    <x v="45"/>
    <x v="0"/>
    <s v="New York"/>
    <s v="New York"/>
    <x v="3"/>
    <n v="40"/>
    <n v="324"/>
    <n v="12960"/>
    <n v="5184"/>
    <n v="0.39999999999999997"/>
    <x v="1"/>
  </r>
  <r>
    <x v="1"/>
    <n v="1185732"/>
    <x v="46"/>
    <x v="0"/>
    <s v="New York"/>
    <s v="New York"/>
    <x v="4"/>
    <n v="43"/>
    <n v="279"/>
    <n v="11997"/>
    <n v="3959.0099999999993"/>
    <n v="0.32999999999999996"/>
    <x v="1"/>
  </r>
  <r>
    <x v="1"/>
    <n v="1185732"/>
    <x v="47"/>
    <x v="0"/>
    <s v="New York"/>
    <s v="New York"/>
    <x v="5"/>
    <n v="48"/>
    <n v="355"/>
    <n v="17040"/>
    <n v="5112"/>
    <n v="0.3"/>
    <x v="1"/>
  </r>
  <r>
    <x v="1"/>
    <n v="1185732"/>
    <x v="48"/>
    <x v="0"/>
    <s v="New York"/>
    <s v="New York"/>
    <x v="0"/>
    <n v="39"/>
    <n v="408"/>
    <n v="15912"/>
    <n v="8751.6"/>
    <n v="0.55000000000000004"/>
    <x v="1"/>
  </r>
  <r>
    <x v="1"/>
    <n v="1185732"/>
    <x v="49"/>
    <x v="0"/>
    <s v="New York"/>
    <s v="New York"/>
    <x v="1"/>
    <n v="43"/>
    <n v="350"/>
    <n v="15050"/>
    <n v="4966.4999999999991"/>
    <n v="0.32999999999999996"/>
    <x v="1"/>
  </r>
  <r>
    <x v="1"/>
    <n v="1185732"/>
    <x v="50"/>
    <x v="0"/>
    <s v="New York"/>
    <s v="New York"/>
    <x v="2"/>
    <n v="36"/>
    <n v="315"/>
    <n v="11340"/>
    <n v="4422.5999999999995"/>
    <n v="0.38999999999999996"/>
    <x v="1"/>
  </r>
  <r>
    <x v="1"/>
    <n v="1185732"/>
    <x v="51"/>
    <x v="0"/>
    <s v="New York"/>
    <s v="New York"/>
    <x v="3"/>
    <n v="34"/>
    <n v="306"/>
    <n v="10404"/>
    <n v="4057.5599999999995"/>
    <n v="0.38999999999999996"/>
    <x v="1"/>
  </r>
  <r>
    <x v="1"/>
    <n v="1185732"/>
    <x v="52"/>
    <x v="0"/>
    <s v="New York"/>
    <s v="New York"/>
    <x v="4"/>
    <n v="44"/>
    <n v="315"/>
    <n v="13860"/>
    <n v="5128.2"/>
    <n v="0.37"/>
    <x v="1"/>
  </r>
  <r>
    <x v="1"/>
    <n v="1185732"/>
    <x v="53"/>
    <x v="0"/>
    <s v="New York"/>
    <s v="New York"/>
    <x v="5"/>
    <n v="45"/>
    <n v="350"/>
    <n v="15750"/>
    <n v="4725"/>
    <n v="0.3"/>
    <x v="1"/>
  </r>
  <r>
    <x v="1"/>
    <n v="1185732"/>
    <x v="54"/>
    <x v="0"/>
    <s v="New York"/>
    <s v="New York"/>
    <x v="4"/>
    <n v="51"/>
    <n v="289"/>
    <n v="14739"/>
    <n v="4716.4800000000005"/>
    <n v="0.32"/>
    <x v="1"/>
  </r>
  <r>
    <x v="1"/>
    <n v="1185732"/>
    <x v="55"/>
    <x v="0"/>
    <s v="New York"/>
    <s v="New York"/>
    <x v="5"/>
    <n v="50"/>
    <n v="330"/>
    <n v="16500"/>
    <n v="4620"/>
    <n v="0.28000000000000003"/>
    <x v="1"/>
  </r>
  <r>
    <x v="1"/>
    <n v="1185732"/>
    <x v="56"/>
    <x v="0"/>
    <s v="New York"/>
    <s v="New York"/>
    <x v="0"/>
    <n v="46"/>
    <n v="403"/>
    <n v="18538"/>
    <n v="10381.280000000001"/>
    <n v="0.56000000000000005"/>
    <x v="1"/>
  </r>
  <r>
    <x v="1"/>
    <n v="1185732"/>
    <x v="57"/>
    <x v="0"/>
    <s v="New York"/>
    <s v="New York"/>
    <x v="1"/>
    <n v="40"/>
    <n v="312"/>
    <n v="12480"/>
    <n v="4492.8"/>
    <n v="0.36"/>
    <x v="1"/>
  </r>
  <r>
    <x v="1"/>
    <n v="1185732"/>
    <x v="58"/>
    <x v="0"/>
    <s v="New York"/>
    <s v="New York"/>
    <x v="2"/>
    <n v="43"/>
    <n v="294"/>
    <n v="12642"/>
    <n v="5309.6399999999994"/>
    <n v="0.42"/>
    <x v="1"/>
  </r>
  <r>
    <x v="1"/>
    <n v="1185732"/>
    <x v="59"/>
    <x v="0"/>
    <s v="New York"/>
    <s v="New York"/>
    <x v="3"/>
    <n v="41"/>
    <n v="270"/>
    <n v="11070"/>
    <n v="4095.9"/>
    <n v="0.37"/>
    <x v="1"/>
  </r>
  <r>
    <x v="1"/>
    <n v="1185732"/>
    <x v="60"/>
    <x v="0"/>
    <s v="New York"/>
    <s v="New York"/>
    <x v="4"/>
    <n v="47"/>
    <n v="280"/>
    <n v="13160"/>
    <n v="4737.5999999999995"/>
    <n v="0.36"/>
    <x v="1"/>
  </r>
  <r>
    <x v="1"/>
    <n v="1185732"/>
    <x v="61"/>
    <x v="0"/>
    <s v="New York"/>
    <s v="New York"/>
    <x v="5"/>
    <n v="53"/>
    <n v="322"/>
    <n v="17066"/>
    <n v="4778.4800000000005"/>
    <n v="0.28000000000000003"/>
    <x v="1"/>
  </r>
  <r>
    <x v="1"/>
    <n v="1185732"/>
    <x v="62"/>
    <x v="0"/>
    <s v="New York"/>
    <s v="New York"/>
    <x v="0"/>
    <n v="48"/>
    <n v="420"/>
    <n v="20160"/>
    <n v="11289.6"/>
    <n v="0.56000000000000005"/>
    <x v="1"/>
  </r>
  <r>
    <x v="1"/>
    <n v="1185732"/>
    <x v="63"/>
    <x v="0"/>
    <s v="New York"/>
    <s v="New York"/>
    <x v="1"/>
    <n v="43"/>
    <n v="310"/>
    <n v="13330"/>
    <n v="4665.5"/>
    <n v="0.35"/>
    <x v="1"/>
  </r>
  <r>
    <x v="1"/>
    <n v="1185732"/>
    <x v="64"/>
    <x v="0"/>
    <s v="New York"/>
    <s v="New York"/>
    <x v="2"/>
    <n v="42"/>
    <n v="333"/>
    <n v="13986"/>
    <n v="5594.4"/>
    <n v="0.39999999999999997"/>
    <x v="1"/>
  </r>
  <r>
    <x v="1"/>
    <n v="1185732"/>
    <x v="65"/>
    <x v="0"/>
    <s v="New York"/>
    <s v="New York"/>
    <x v="3"/>
    <n v="41"/>
    <n v="306"/>
    <n v="12546"/>
    <n v="5018.3999999999996"/>
    <n v="0.39999999999999997"/>
    <x v="1"/>
  </r>
  <r>
    <x v="1"/>
    <n v="1185732"/>
    <x v="66"/>
    <x v="0"/>
    <s v="New York"/>
    <s v="New York"/>
    <x v="4"/>
    <n v="48"/>
    <n v="279"/>
    <n v="13392"/>
    <n v="4955.04"/>
    <n v="0.37"/>
    <x v="1"/>
  </r>
  <r>
    <x v="1"/>
    <n v="1185732"/>
    <x v="67"/>
    <x v="0"/>
    <s v="New York"/>
    <s v="New York"/>
    <x v="5"/>
    <n v="48"/>
    <n v="340"/>
    <n v="16320"/>
    <n v="4896"/>
    <n v="0.3"/>
    <x v="1"/>
  </r>
  <r>
    <x v="2"/>
    <n v="1197831"/>
    <x v="68"/>
    <x v="0"/>
    <s v="New York"/>
    <s v="New York"/>
    <x v="0"/>
    <n v="20"/>
    <n v="270"/>
    <n v="5400"/>
    <n v="2105.9999999999995"/>
    <n v="0.38999999999999996"/>
    <x v="1"/>
  </r>
  <r>
    <x v="2"/>
    <n v="1197831"/>
    <x v="69"/>
    <x v="0"/>
    <s v="New York"/>
    <s v="New York"/>
    <x v="1"/>
    <n v="26"/>
    <n v="270"/>
    <n v="7020"/>
    <n v="2597.4"/>
    <n v="0.37"/>
    <x v="1"/>
  </r>
  <r>
    <x v="2"/>
    <n v="1197831"/>
    <x v="70"/>
    <x v="0"/>
    <s v="New York"/>
    <s v="New York"/>
    <x v="2"/>
    <n v="27"/>
    <n v="238"/>
    <n v="6426"/>
    <n v="2506.14"/>
    <n v="0.38999999999999996"/>
    <x v="1"/>
  </r>
  <r>
    <x v="2"/>
    <n v="1197831"/>
    <x v="71"/>
    <x v="0"/>
    <s v="New York"/>
    <s v="New York"/>
    <x v="3"/>
    <n v="27"/>
    <n v="210"/>
    <n v="5670"/>
    <n v="2948.4"/>
    <n v="0.52"/>
    <x v="1"/>
  </r>
  <r>
    <x v="2"/>
    <n v="1197831"/>
    <x v="72"/>
    <x v="1"/>
    <s v="Texas"/>
    <s v="Houston"/>
    <x v="4"/>
    <n v="26"/>
    <n v="176"/>
    <n v="4576"/>
    <n v="1555.84"/>
    <n v="0.33999999999999997"/>
    <x v="1"/>
  </r>
  <r>
    <x v="2"/>
    <n v="1197831"/>
    <x v="73"/>
    <x v="1"/>
    <s v="Texas"/>
    <s v="Houston"/>
    <x v="5"/>
    <n v="25"/>
    <n v="224"/>
    <n v="5600"/>
    <n v="3136.0000000000005"/>
    <n v="0.56000000000000005"/>
    <x v="1"/>
  </r>
  <r>
    <x v="2"/>
    <n v="1197831"/>
    <x v="74"/>
    <x v="1"/>
    <s v="Texas"/>
    <s v="Houston"/>
    <x v="0"/>
    <n v="20"/>
    <n v="255"/>
    <n v="5100"/>
    <n v="2091"/>
    <n v="0.41"/>
    <x v="1"/>
  </r>
  <r>
    <x v="2"/>
    <n v="1197831"/>
    <x v="75"/>
    <x v="1"/>
    <s v="Texas"/>
    <s v="Houston"/>
    <x v="1"/>
    <n v="23"/>
    <n v="289"/>
    <n v="6647"/>
    <n v="2791.74"/>
    <n v="0.42"/>
    <x v="1"/>
  </r>
  <r>
    <x v="2"/>
    <n v="1197831"/>
    <x v="76"/>
    <x v="1"/>
    <s v="Texas"/>
    <s v="Houston"/>
    <x v="2"/>
    <n v="27"/>
    <n v="236"/>
    <n v="6372"/>
    <n v="2612.52"/>
    <n v="0.41"/>
    <x v="1"/>
  </r>
  <r>
    <x v="2"/>
    <n v="1197831"/>
    <x v="77"/>
    <x v="1"/>
    <s v="Texas"/>
    <s v="Houston"/>
    <x v="3"/>
    <n v="26"/>
    <n v="213"/>
    <n v="5538"/>
    <n v="2769"/>
    <n v="0.5"/>
    <x v="1"/>
  </r>
  <r>
    <x v="2"/>
    <n v="1197831"/>
    <x v="78"/>
    <x v="1"/>
    <s v="Texas"/>
    <s v="Houston"/>
    <x v="4"/>
    <n v="28"/>
    <n v="160"/>
    <n v="4480"/>
    <n v="1478.3999999999999"/>
    <n v="0.32999999999999996"/>
    <x v="1"/>
  </r>
  <r>
    <x v="2"/>
    <n v="1197831"/>
    <x v="79"/>
    <x v="1"/>
    <s v="Texas"/>
    <s v="Houston"/>
    <x v="5"/>
    <n v="26"/>
    <n v="231"/>
    <n v="6006"/>
    <n v="3303.3"/>
    <n v="0.55000000000000004"/>
    <x v="1"/>
  </r>
  <r>
    <x v="2"/>
    <n v="1197831"/>
    <x v="80"/>
    <x v="1"/>
    <s v="Texas"/>
    <s v="Houston"/>
    <x v="0"/>
    <n v="20"/>
    <n v="306"/>
    <n v="6120"/>
    <n v="2570.4"/>
    <n v="0.42"/>
    <x v="1"/>
  </r>
  <r>
    <x v="2"/>
    <n v="1197831"/>
    <x v="81"/>
    <x v="1"/>
    <s v="Texas"/>
    <s v="Houston"/>
    <x v="1"/>
    <n v="30"/>
    <n v="263"/>
    <n v="7890"/>
    <n v="3077.0999999999995"/>
    <n v="0.38999999999999996"/>
    <x v="1"/>
  </r>
  <r>
    <x v="2"/>
    <n v="1197831"/>
    <x v="82"/>
    <x v="1"/>
    <s v="Texas"/>
    <s v="Houston"/>
    <x v="2"/>
    <n v="23"/>
    <n v="224"/>
    <n v="5152"/>
    <n v="2163.84"/>
    <n v="0.42"/>
    <x v="1"/>
  </r>
  <r>
    <x v="2"/>
    <n v="1197831"/>
    <x v="83"/>
    <x v="1"/>
    <s v="Texas"/>
    <s v="Houston"/>
    <x v="3"/>
    <n v="30"/>
    <n v="204"/>
    <n v="6120"/>
    <n v="2937.6"/>
    <n v="0.48"/>
    <x v="1"/>
  </r>
  <r>
    <x v="2"/>
    <n v="1197831"/>
    <x v="84"/>
    <x v="1"/>
    <s v="Texas"/>
    <s v="Houston"/>
    <x v="4"/>
    <n v="35"/>
    <n v="155"/>
    <n v="5425"/>
    <n v="1736"/>
    <n v="0.32"/>
    <x v="1"/>
  </r>
  <r>
    <x v="2"/>
    <n v="1197831"/>
    <x v="85"/>
    <x v="1"/>
    <s v="Texas"/>
    <s v="Houston"/>
    <x v="5"/>
    <n v="29"/>
    <n v="228"/>
    <n v="6612"/>
    <n v="3636.6000000000004"/>
    <n v="0.55000000000000004"/>
    <x v="1"/>
  </r>
  <r>
    <x v="2"/>
    <n v="1197831"/>
    <x v="86"/>
    <x v="1"/>
    <s v="Texas"/>
    <s v="Houston"/>
    <x v="0"/>
    <n v="23"/>
    <n v="306"/>
    <n v="7038"/>
    <n v="2604.06"/>
    <n v="0.37"/>
    <x v="1"/>
  </r>
  <r>
    <x v="2"/>
    <n v="1197831"/>
    <x v="87"/>
    <x v="1"/>
    <s v="Texas"/>
    <s v="Houston"/>
    <x v="1"/>
    <n v="29"/>
    <n v="306"/>
    <n v="8874"/>
    <n v="3638.3399999999997"/>
    <n v="0.41"/>
    <x v="1"/>
  </r>
  <r>
    <x v="2"/>
    <n v="1197831"/>
    <x v="88"/>
    <x v="1"/>
    <s v="Texas"/>
    <s v="Houston"/>
    <x v="2"/>
    <n v="24"/>
    <n v="232"/>
    <n v="5568"/>
    <n v="2060.16"/>
    <n v="0.37"/>
    <x v="1"/>
  </r>
  <r>
    <x v="2"/>
    <n v="1197831"/>
    <x v="89"/>
    <x v="1"/>
    <s v="Texas"/>
    <s v="Houston"/>
    <x v="3"/>
    <n v="28"/>
    <n v="213"/>
    <n v="5964"/>
    <n v="2862.72"/>
    <n v="0.48"/>
    <x v="1"/>
  </r>
  <r>
    <x v="1"/>
    <n v="1197831"/>
    <x v="90"/>
    <x v="1"/>
    <s v="Texas"/>
    <s v="Houston"/>
    <x v="4"/>
    <n v="34"/>
    <n v="179"/>
    <n v="6086"/>
    <n v="2069.2399999999998"/>
    <n v="0.33999999999999997"/>
    <x v="1"/>
  </r>
  <r>
    <x v="1"/>
    <n v="1197831"/>
    <x v="91"/>
    <x v="1"/>
    <s v="Texas"/>
    <s v="Houston"/>
    <x v="5"/>
    <n v="27"/>
    <n v="272"/>
    <n v="7344"/>
    <n v="4039.2000000000003"/>
    <n v="0.55000000000000004"/>
    <x v="1"/>
  </r>
  <r>
    <x v="1"/>
    <n v="1197831"/>
    <x v="92"/>
    <x v="1"/>
    <s v="Texas"/>
    <s v="Houston"/>
    <x v="0"/>
    <n v="24"/>
    <n v="315"/>
    <n v="7560"/>
    <n v="2948.3999999999996"/>
    <n v="0.38999999999999996"/>
    <x v="1"/>
  </r>
  <r>
    <x v="1"/>
    <n v="1197831"/>
    <x v="93"/>
    <x v="1"/>
    <s v="Texas"/>
    <s v="Houston"/>
    <x v="1"/>
    <n v="30"/>
    <n v="287"/>
    <n v="8610"/>
    <n v="3616.2"/>
    <n v="0.42"/>
    <x v="1"/>
  </r>
  <r>
    <x v="1"/>
    <n v="1197831"/>
    <x v="94"/>
    <x v="1"/>
    <s v="Texas"/>
    <s v="Houston"/>
    <x v="2"/>
    <n v="23"/>
    <n v="240"/>
    <n v="5520"/>
    <n v="2042.3999999999999"/>
    <n v="0.37"/>
    <x v="1"/>
  </r>
  <r>
    <x v="1"/>
    <n v="1197831"/>
    <x v="95"/>
    <x v="1"/>
    <s v="Texas"/>
    <s v="Houston"/>
    <x v="3"/>
    <n v="31"/>
    <n v="245"/>
    <n v="7595"/>
    <n v="3873.4500000000003"/>
    <n v="0.51"/>
    <x v="1"/>
  </r>
  <r>
    <x v="1"/>
    <n v="1197831"/>
    <x v="96"/>
    <x v="1"/>
    <s v="Texas"/>
    <s v="Houston"/>
    <x v="4"/>
    <n v="35"/>
    <n v="180"/>
    <n v="6300"/>
    <n v="2205"/>
    <n v="0.35"/>
    <x v="1"/>
  </r>
  <r>
    <x v="1"/>
    <n v="1197831"/>
    <x v="97"/>
    <x v="1"/>
    <s v="Texas"/>
    <s v="Houston"/>
    <x v="5"/>
    <n v="32"/>
    <n v="295"/>
    <n v="9440"/>
    <n v="5380.8"/>
    <n v="0.57000000000000006"/>
    <x v="1"/>
  </r>
  <r>
    <x v="1"/>
    <n v="1197831"/>
    <x v="98"/>
    <x v="1"/>
    <s v="Texas"/>
    <s v="Houston"/>
    <x v="0"/>
    <n v="28"/>
    <n v="295"/>
    <n v="8260"/>
    <n v="3386.6"/>
    <n v="0.41"/>
    <x v="1"/>
  </r>
  <r>
    <x v="1"/>
    <n v="1197831"/>
    <x v="99"/>
    <x v="1"/>
    <s v="Texas"/>
    <s v="Houston"/>
    <x v="1"/>
    <n v="33"/>
    <n v="323"/>
    <n v="10659"/>
    <n v="4476.78"/>
    <n v="0.42"/>
    <x v="1"/>
  </r>
  <r>
    <x v="1"/>
    <n v="1197831"/>
    <x v="100"/>
    <x v="1"/>
    <s v="Texas"/>
    <s v="Houston"/>
    <x v="2"/>
    <n v="27"/>
    <n v="264"/>
    <n v="7128"/>
    <n v="2851.2"/>
    <n v="0.39999999999999997"/>
    <x v="1"/>
  </r>
  <r>
    <x v="1"/>
    <n v="1197831"/>
    <x v="101"/>
    <x v="1"/>
    <s v="Texas"/>
    <s v="Houston"/>
    <x v="3"/>
    <n v="26"/>
    <n v="263"/>
    <n v="6838"/>
    <n v="3282.24"/>
    <n v="0.48"/>
    <x v="1"/>
  </r>
  <r>
    <x v="1"/>
    <n v="1197831"/>
    <x v="102"/>
    <x v="1"/>
    <s v="Texas"/>
    <s v="Houston"/>
    <x v="4"/>
    <n v="29"/>
    <n v="221"/>
    <n v="6409"/>
    <n v="2050.88"/>
    <n v="0.32"/>
    <x v="1"/>
  </r>
  <r>
    <x v="1"/>
    <n v="1197831"/>
    <x v="103"/>
    <x v="1"/>
    <s v="Texas"/>
    <s v="Houston"/>
    <x v="5"/>
    <n v="38"/>
    <n v="350"/>
    <n v="13300"/>
    <n v="7581.0000000000009"/>
    <n v="0.57000000000000006"/>
    <x v="1"/>
  </r>
  <r>
    <x v="1"/>
    <n v="1197831"/>
    <x v="104"/>
    <x v="1"/>
    <s v="Texas"/>
    <s v="Houston"/>
    <x v="0"/>
    <n v="29"/>
    <n v="295"/>
    <n v="8555"/>
    <n v="3421.9999999999995"/>
    <n v="0.39999999999999997"/>
    <x v="1"/>
  </r>
  <r>
    <x v="1"/>
    <n v="1197831"/>
    <x v="105"/>
    <x v="1"/>
    <s v="Texas"/>
    <s v="Houston"/>
    <x v="1"/>
    <n v="32"/>
    <n v="285"/>
    <n v="9120"/>
    <n v="3830.3999999999996"/>
    <n v="0.42"/>
    <x v="1"/>
  </r>
  <r>
    <x v="1"/>
    <n v="1197831"/>
    <x v="106"/>
    <x v="1"/>
    <s v="Texas"/>
    <s v="Houston"/>
    <x v="2"/>
    <n v="29"/>
    <n v="374"/>
    <n v="10846"/>
    <n v="4446.8599999999997"/>
    <n v="0.41"/>
    <x v="1"/>
  </r>
  <r>
    <x v="1"/>
    <n v="1197831"/>
    <x v="107"/>
    <x v="1"/>
    <s v="Texas"/>
    <s v="Houston"/>
    <x v="3"/>
    <n v="28"/>
    <n v="224"/>
    <n v="6272"/>
    <n v="3261.44"/>
    <n v="0.52"/>
    <x v="1"/>
  </r>
  <r>
    <x v="1"/>
    <n v="1197831"/>
    <x v="108"/>
    <x v="1"/>
    <s v="Texas"/>
    <s v="Houston"/>
    <x v="4"/>
    <n v="33"/>
    <n v="217"/>
    <n v="7161"/>
    <n v="2577.96"/>
    <n v="0.36"/>
    <x v="1"/>
  </r>
  <r>
    <x v="1"/>
    <n v="1197831"/>
    <x v="109"/>
    <x v="1"/>
    <s v="Texas"/>
    <s v="Houston"/>
    <x v="5"/>
    <n v="36"/>
    <n v="302"/>
    <n v="10872"/>
    <n v="5653.4400000000005"/>
    <n v="0.52"/>
    <x v="1"/>
  </r>
  <r>
    <x v="1"/>
    <n v="1197831"/>
    <x v="110"/>
    <x v="1"/>
    <s v="Texas"/>
    <s v="Houston"/>
    <x v="0"/>
    <n v="27"/>
    <n v="305"/>
    <n v="8235"/>
    <n v="3046.95"/>
    <n v="0.37"/>
    <x v="1"/>
  </r>
  <r>
    <x v="1"/>
    <n v="1197831"/>
    <x v="111"/>
    <x v="1"/>
    <s v="Texas"/>
    <s v="Houston"/>
    <x v="1"/>
    <n v="33"/>
    <n v="305"/>
    <n v="10065"/>
    <n v="3824.7"/>
    <n v="0.38"/>
    <x v="1"/>
  </r>
  <r>
    <x v="1"/>
    <n v="1197831"/>
    <x v="112"/>
    <x v="1"/>
    <s v="Texas"/>
    <s v="Houston"/>
    <x v="2"/>
    <n v="29"/>
    <n v="374"/>
    <n v="10846"/>
    <n v="4446.8599999999997"/>
    <n v="0.41"/>
    <x v="1"/>
  </r>
  <r>
    <x v="1"/>
    <n v="1197831"/>
    <x v="113"/>
    <x v="1"/>
    <s v="Texas"/>
    <s v="Houston"/>
    <x v="3"/>
    <n v="30"/>
    <n v="215"/>
    <n v="6450"/>
    <n v="3096"/>
    <n v="0.48"/>
    <x v="1"/>
  </r>
  <r>
    <x v="1"/>
    <n v="1197831"/>
    <x v="114"/>
    <x v="1"/>
    <s v="Texas"/>
    <s v="Houston"/>
    <x v="4"/>
    <n v="35"/>
    <n v="228"/>
    <n v="7980"/>
    <n v="2713.2"/>
    <n v="0.33999999999999997"/>
    <x v="1"/>
  </r>
  <r>
    <x v="1"/>
    <n v="1197831"/>
    <x v="115"/>
    <x v="1"/>
    <s v="Texas"/>
    <s v="Houston"/>
    <x v="5"/>
    <n v="39"/>
    <n v="270"/>
    <n v="10530"/>
    <n v="5686.2000000000007"/>
    <n v="0.54"/>
    <x v="1"/>
  </r>
  <r>
    <x v="1"/>
    <n v="1197831"/>
    <x v="116"/>
    <x v="1"/>
    <s v="Texas"/>
    <s v="Houston"/>
    <x v="0"/>
    <n v="33"/>
    <n v="264"/>
    <n v="8712"/>
    <n v="3659.04"/>
    <n v="0.42"/>
    <x v="1"/>
  </r>
  <r>
    <x v="1"/>
    <n v="1197831"/>
    <x v="117"/>
    <x v="1"/>
    <s v="Texas"/>
    <s v="Houston"/>
    <x v="1"/>
    <n v="32"/>
    <n v="255"/>
    <n v="8160"/>
    <n v="3019.2"/>
    <n v="0.37"/>
    <x v="1"/>
  </r>
  <r>
    <x v="1"/>
    <n v="1197831"/>
    <x v="118"/>
    <x v="1"/>
    <s v="Texas"/>
    <s v="Houston"/>
    <x v="2"/>
    <n v="36"/>
    <n v="315"/>
    <n v="11340"/>
    <n v="4309.2"/>
    <n v="0.38"/>
    <x v="1"/>
  </r>
  <r>
    <x v="1"/>
    <n v="1197831"/>
    <x v="119"/>
    <x v="1"/>
    <s v="Texas"/>
    <s v="Houston"/>
    <x v="3"/>
    <n v="37"/>
    <n v="200"/>
    <n v="7400"/>
    <n v="3700"/>
    <n v="0.5"/>
    <x v="1"/>
  </r>
  <r>
    <x v="1"/>
    <n v="1197831"/>
    <x v="120"/>
    <x v="1"/>
    <s v="Texas"/>
    <s v="Houston"/>
    <x v="4"/>
    <n v="36"/>
    <n v="206"/>
    <n v="7416"/>
    <n v="2669.7599999999998"/>
    <n v="0.36"/>
    <x v="1"/>
  </r>
  <r>
    <x v="1"/>
    <n v="1197831"/>
    <x v="121"/>
    <x v="1"/>
    <s v="Texas"/>
    <s v="Houston"/>
    <x v="5"/>
    <n v="42"/>
    <n v="298"/>
    <n v="12516"/>
    <n v="7134.1200000000008"/>
    <n v="0.57000000000000006"/>
    <x v="1"/>
  </r>
  <r>
    <x v="1"/>
    <n v="1197831"/>
    <x v="122"/>
    <x v="1"/>
    <s v="Texas"/>
    <s v="Houston"/>
    <x v="0"/>
    <n v="31"/>
    <n v="272"/>
    <n v="8432"/>
    <n v="3288.4799999999996"/>
    <n v="0.38999999999999996"/>
    <x v="1"/>
  </r>
  <r>
    <x v="1"/>
    <n v="1197831"/>
    <x v="123"/>
    <x v="1"/>
    <s v="Texas"/>
    <s v="Houston"/>
    <x v="1"/>
    <n v="29"/>
    <n v="248"/>
    <n v="7192"/>
    <n v="2804.8799999999997"/>
    <n v="0.38999999999999996"/>
    <x v="1"/>
  </r>
  <r>
    <x v="1"/>
    <n v="1197831"/>
    <x v="124"/>
    <x v="1"/>
    <s v="Texas"/>
    <s v="Houston"/>
    <x v="2"/>
    <n v="39"/>
    <n v="255"/>
    <n v="9945"/>
    <n v="3679.65"/>
    <n v="0.37"/>
    <x v="1"/>
  </r>
  <r>
    <x v="1"/>
    <n v="1197831"/>
    <x v="125"/>
    <x v="1"/>
    <s v="Texas"/>
    <s v="Houston"/>
    <x v="3"/>
    <n v="36"/>
    <n v="204"/>
    <n v="7344"/>
    <n v="3451.6800000000003"/>
    <n v="0.47000000000000003"/>
    <x v="1"/>
  </r>
  <r>
    <x v="1"/>
    <n v="1197831"/>
    <x v="126"/>
    <x v="1"/>
    <s v="Texas"/>
    <s v="Houston"/>
    <x v="4"/>
    <n v="35"/>
    <n v="184"/>
    <n v="6440"/>
    <n v="2382.8000000000002"/>
    <n v="0.37"/>
    <x v="1"/>
  </r>
  <r>
    <x v="1"/>
    <n v="1197831"/>
    <x v="127"/>
    <x v="1"/>
    <s v="Texas"/>
    <s v="Houston"/>
    <x v="5"/>
    <n v="43"/>
    <n v="233"/>
    <n v="10019"/>
    <n v="5410.26"/>
    <n v="0.54"/>
    <x v="1"/>
  </r>
  <r>
    <x v="1"/>
    <n v="1197831"/>
    <x v="128"/>
    <x v="1"/>
    <s v="Texas"/>
    <s v="Houston"/>
    <x v="0"/>
    <n v="34"/>
    <n v="270"/>
    <n v="9180"/>
    <n v="3488.4"/>
    <n v="0.38"/>
    <x v="1"/>
  </r>
  <r>
    <x v="1"/>
    <n v="1197831"/>
    <x v="129"/>
    <x v="1"/>
    <s v="Texas"/>
    <s v="Houston"/>
    <x v="1"/>
    <n v="31"/>
    <n v="306"/>
    <n v="9486"/>
    <n v="3794.3999999999996"/>
    <n v="0.39999999999999997"/>
    <x v="1"/>
  </r>
  <r>
    <x v="1"/>
    <n v="1197831"/>
    <x v="130"/>
    <x v="1"/>
    <s v="Texas"/>
    <s v="Houston"/>
    <x v="2"/>
    <n v="34"/>
    <n v="281"/>
    <n v="9554"/>
    <n v="3726.0599999999995"/>
    <n v="0.38999999999999996"/>
    <x v="1"/>
  </r>
  <r>
    <x v="1"/>
    <n v="1197831"/>
    <x v="131"/>
    <x v="1"/>
    <s v="Texas"/>
    <s v="Houston"/>
    <x v="3"/>
    <n v="36"/>
    <n v="230"/>
    <n v="8280"/>
    <n v="4140"/>
    <n v="0.5"/>
    <x v="1"/>
  </r>
  <r>
    <x v="1"/>
    <n v="1197831"/>
    <x v="132"/>
    <x v="1"/>
    <s v="Texas"/>
    <s v="Houston"/>
    <x v="4"/>
    <n v="30"/>
    <n v="195"/>
    <n v="5850"/>
    <n v="1872"/>
    <n v="0.32"/>
    <x v="1"/>
  </r>
  <r>
    <x v="1"/>
    <n v="1197831"/>
    <x v="133"/>
    <x v="1"/>
    <s v="Texas"/>
    <s v="Houston"/>
    <x v="5"/>
    <n v="44"/>
    <n v="289"/>
    <n v="12716"/>
    <n v="7248.1200000000008"/>
    <n v="0.57000000000000006"/>
    <x v="1"/>
  </r>
  <r>
    <x v="1"/>
    <n v="1197831"/>
    <x v="134"/>
    <x v="1"/>
    <s v="Texas"/>
    <s v="Houston"/>
    <x v="0"/>
    <n v="32"/>
    <n v="333"/>
    <n v="10656"/>
    <n v="4262.3999999999996"/>
    <n v="0.39999999999999997"/>
    <x v="1"/>
  </r>
  <r>
    <x v="1"/>
    <n v="1197831"/>
    <x v="135"/>
    <x v="1"/>
    <s v="Texas"/>
    <s v="Houston"/>
    <x v="1"/>
    <n v="34"/>
    <n v="333"/>
    <n v="11322"/>
    <n v="4755.24"/>
    <n v="0.42"/>
    <x v="1"/>
  </r>
  <r>
    <x v="1"/>
    <n v="1197831"/>
    <x v="136"/>
    <x v="1"/>
    <s v="Texas"/>
    <s v="Houston"/>
    <x v="2"/>
    <n v="38"/>
    <n v="298"/>
    <n v="11324"/>
    <n v="4303.12"/>
    <n v="0.38"/>
    <x v="1"/>
  </r>
  <r>
    <x v="1"/>
    <n v="1197831"/>
    <x v="137"/>
    <x v="1"/>
    <s v="Texas"/>
    <s v="Houston"/>
    <x v="3"/>
    <n v="36"/>
    <n v="210"/>
    <n v="7560"/>
    <n v="3931.2000000000003"/>
    <n v="0.52"/>
    <x v="1"/>
  </r>
  <r>
    <x v="1"/>
    <n v="1197831"/>
    <x v="138"/>
    <x v="1"/>
    <s v="Texas"/>
    <s v="Houston"/>
    <x v="4"/>
    <n v="30"/>
    <n v="208"/>
    <n v="6240"/>
    <n v="2246.4"/>
    <n v="0.36"/>
    <x v="1"/>
  </r>
  <r>
    <x v="1"/>
    <n v="1197831"/>
    <x v="139"/>
    <x v="1"/>
    <s v="Texas"/>
    <s v="Houston"/>
    <x v="5"/>
    <n v="41"/>
    <n v="306"/>
    <n v="12546"/>
    <n v="6900.3"/>
    <n v="0.55000000000000004"/>
    <x v="1"/>
  </r>
  <r>
    <x v="3"/>
    <n v="1128299"/>
    <x v="140"/>
    <x v="1"/>
    <s v="Texas"/>
    <s v="Houston"/>
    <x v="0"/>
    <n v="30"/>
    <n v="264"/>
    <n v="7920"/>
    <n v="3088.8"/>
    <n v="0.39"/>
    <x v="1"/>
  </r>
  <r>
    <x v="3"/>
    <n v="1128299"/>
    <x v="141"/>
    <x v="1"/>
    <s v="Texas"/>
    <s v="Houston"/>
    <x v="1"/>
    <n v="33"/>
    <n v="248"/>
    <n v="8184"/>
    <n v="1882.3200000000002"/>
    <n v="0.23"/>
    <x v="1"/>
  </r>
  <r>
    <x v="3"/>
    <n v="1128299"/>
    <x v="142"/>
    <x v="1"/>
    <s v="Texas"/>
    <s v="Houston"/>
    <x v="2"/>
    <n v="33"/>
    <n v="271"/>
    <n v="8943"/>
    <n v="3756.0600000000004"/>
    <n v="0.42000000000000004"/>
    <x v="1"/>
  </r>
  <r>
    <x v="3"/>
    <n v="1128299"/>
    <x v="143"/>
    <x v="1"/>
    <s v="Texas"/>
    <s v="Houston"/>
    <x v="3"/>
    <n v="35"/>
    <n v="219"/>
    <n v="7665"/>
    <n v="2759.4"/>
    <n v="0.36"/>
    <x v="1"/>
  </r>
  <r>
    <x v="3"/>
    <n v="1128299"/>
    <x v="144"/>
    <x v="2"/>
    <s v="California"/>
    <s v="San Francisco"/>
    <x v="4"/>
    <n v="38"/>
    <n v="173"/>
    <n v="6574"/>
    <n v="3549.96"/>
    <n v="0.54"/>
    <x v="1"/>
  </r>
  <r>
    <x v="3"/>
    <n v="1128299"/>
    <x v="145"/>
    <x v="2"/>
    <s v="California"/>
    <s v="San Francisco"/>
    <x v="5"/>
    <n v="36"/>
    <n v="233"/>
    <n v="8388"/>
    <n v="1761.4800000000002"/>
    <n v="0.21000000000000002"/>
    <x v="1"/>
  </r>
  <r>
    <x v="3"/>
    <n v="1128299"/>
    <x v="146"/>
    <x v="2"/>
    <s v="California"/>
    <s v="San Francisco"/>
    <x v="0"/>
    <n v="28"/>
    <n v="289"/>
    <n v="8092"/>
    <n v="3398.6400000000003"/>
    <n v="0.42000000000000004"/>
    <x v="1"/>
  </r>
  <r>
    <x v="3"/>
    <n v="1128299"/>
    <x v="147"/>
    <x v="2"/>
    <s v="California"/>
    <s v="San Francisco"/>
    <x v="1"/>
    <n v="36"/>
    <n v="239"/>
    <n v="8604"/>
    <n v="2151"/>
    <n v="0.25"/>
    <x v="1"/>
  </r>
  <r>
    <x v="3"/>
    <n v="1128299"/>
    <x v="148"/>
    <x v="2"/>
    <s v="California"/>
    <s v="San Francisco"/>
    <x v="2"/>
    <n v="40"/>
    <n v="247"/>
    <n v="9880"/>
    <n v="4050.8"/>
    <n v="0.41000000000000003"/>
    <x v="1"/>
  </r>
  <r>
    <x v="3"/>
    <n v="1128299"/>
    <x v="149"/>
    <x v="2"/>
    <s v="California"/>
    <s v="San Francisco"/>
    <x v="3"/>
    <n v="39"/>
    <n v="190"/>
    <n v="7410"/>
    <n v="2519.3999999999996"/>
    <n v="0.33999999999999997"/>
    <x v="1"/>
  </r>
  <r>
    <x v="3"/>
    <n v="1128299"/>
    <x v="150"/>
    <x v="2"/>
    <s v="California"/>
    <s v="San Francisco"/>
    <x v="4"/>
    <n v="42"/>
    <n v="165"/>
    <n v="6930"/>
    <n v="3950.1000000000004"/>
    <n v="0.57000000000000006"/>
    <x v="1"/>
  </r>
  <r>
    <x v="3"/>
    <n v="1128299"/>
    <x v="151"/>
    <x v="2"/>
    <s v="California"/>
    <s v="San Francisco"/>
    <x v="5"/>
    <n v="33"/>
    <n v="210"/>
    <n v="6930"/>
    <n v="1524.6000000000001"/>
    <n v="0.22000000000000003"/>
    <x v="1"/>
  </r>
  <r>
    <x v="3"/>
    <n v="1128299"/>
    <x v="152"/>
    <x v="2"/>
    <s v="California"/>
    <s v="San Francisco"/>
    <x v="0"/>
    <n v="36"/>
    <n v="272"/>
    <n v="9792"/>
    <n v="3818.88"/>
    <n v="0.39"/>
    <x v="1"/>
  </r>
  <r>
    <x v="3"/>
    <n v="1128299"/>
    <x v="153"/>
    <x v="2"/>
    <s v="California"/>
    <s v="San Francisco"/>
    <x v="1"/>
    <n v="39"/>
    <n v="231"/>
    <n v="9009"/>
    <n v="2072.0700000000002"/>
    <n v="0.23"/>
    <x v="1"/>
  </r>
  <r>
    <x v="3"/>
    <n v="1128299"/>
    <x v="154"/>
    <x v="2"/>
    <s v="California"/>
    <s v="San Francisco"/>
    <x v="2"/>
    <n v="47"/>
    <n v="210"/>
    <n v="9870"/>
    <n v="4145.4000000000005"/>
    <n v="0.42000000000000004"/>
    <x v="1"/>
  </r>
  <r>
    <x v="3"/>
    <n v="1128299"/>
    <x v="155"/>
    <x v="2"/>
    <s v="California"/>
    <s v="San Francisco"/>
    <x v="3"/>
    <n v="48"/>
    <n v="204"/>
    <n v="9792"/>
    <n v="3133.44"/>
    <n v="0.32"/>
    <x v="1"/>
  </r>
  <r>
    <x v="3"/>
    <n v="1128299"/>
    <x v="156"/>
    <x v="2"/>
    <s v="California"/>
    <s v="San Francisco"/>
    <x v="4"/>
    <n v="51"/>
    <n v="170"/>
    <n v="8670"/>
    <n v="4681.8"/>
    <n v="0.54"/>
    <x v="1"/>
  </r>
  <r>
    <x v="3"/>
    <n v="1128299"/>
    <x v="157"/>
    <x v="2"/>
    <s v="California"/>
    <s v="San Francisco"/>
    <x v="5"/>
    <n v="41"/>
    <n v="245"/>
    <n v="10045"/>
    <n v="2009"/>
    <n v="0.2"/>
    <x v="1"/>
  </r>
  <r>
    <x v="3"/>
    <n v="1128299"/>
    <x v="158"/>
    <x v="2"/>
    <s v="California"/>
    <s v="San Francisco"/>
    <x v="0"/>
    <n v="40"/>
    <n v="271"/>
    <n v="10840"/>
    <n v="4119.2"/>
    <n v="0.38"/>
    <x v="1"/>
  </r>
  <r>
    <x v="3"/>
    <n v="1128299"/>
    <x v="159"/>
    <x v="2"/>
    <s v="California"/>
    <s v="San Francisco"/>
    <x v="1"/>
    <n v="51"/>
    <n v="216"/>
    <n v="11016"/>
    <n v="2754"/>
    <n v="0.25"/>
    <x v="1"/>
  </r>
  <r>
    <x v="3"/>
    <n v="1128299"/>
    <x v="160"/>
    <x v="2"/>
    <s v="California"/>
    <s v="San Francisco"/>
    <x v="2"/>
    <n v="46"/>
    <n v="254"/>
    <n v="11684"/>
    <n v="4556.76"/>
    <n v="0.39"/>
    <x v="1"/>
  </r>
  <r>
    <x v="3"/>
    <n v="1128299"/>
    <x v="161"/>
    <x v="2"/>
    <s v="California"/>
    <s v="San Francisco"/>
    <x v="3"/>
    <n v="48"/>
    <n v="188"/>
    <n v="9024"/>
    <n v="3068.16"/>
    <n v="0.33999999999999997"/>
    <x v="1"/>
  </r>
  <r>
    <x v="3"/>
    <n v="1128299"/>
    <x v="162"/>
    <x v="2"/>
    <s v="California"/>
    <s v="San Francisco"/>
    <x v="4"/>
    <n v="47"/>
    <n v="158"/>
    <n v="7426"/>
    <n v="4158.5600000000004"/>
    <n v="0.56000000000000005"/>
    <x v="1"/>
  </r>
  <r>
    <x v="3"/>
    <n v="1128299"/>
    <x v="163"/>
    <x v="2"/>
    <s v="California"/>
    <s v="San Francisco"/>
    <x v="5"/>
    <n v="62"/>
    <n v="245"/>
    <n v="15190"/>
    <n v="2886.1000000000004"/>
    <n v="0.19000000000000003"/>
    <x v="1"/>
  </r>
  <r>
    <x v="3"/>
    <n v="1128299"/>
    <x v="164"/>
    <x v="2"/>
    <s v="California"/>
    <s v="San Francisco"/>
    <x v="0"/>
    <n v="44"/>
    <n v="270"/>
    <n v="11880"/>
    <n v="5227.2"/>
    <n v="0.44"/>
    <x v="1"/>
  </r>
  <r>
    <x v="3"/>
    <n v="1128299"/>
    <x v="165"/>
    <x v="2"/>
    <s v="California"/>
    <s v="San Francisco"/>
    <x v="1"/>
    <n v="51"/>
    <n v="233"/>
    <n v="11883"/>
    <n v="3208.4100000000003"/>
    <n v="0.27"/>
    <x v="1"/>
  </r>
  <r>
    <x v="3"/>
    <n v="1128299"/>
    <x v="166"/>
    <x v="2"/>
    <s v="California"/>
    <s v="San Francisco"/>
    <x v="2"/>
    <n v="46"/>
    <n v="225"/>
    <n v="10350"/>
    <n v="4554"/>
    <n v="0.44"/>
    <x v="1"/>
  </r>
  <r>
    <x v="3"/>
    <n v="1128299"/>
    <x v="167"/>
    <x v="2"/>
    <s v="California"/>
    <s v="San Francisco"/>
    <x v="3"/>
    <n v="42"/>
    <n v="228"/>
    <n v="9576"/>
    <n v="4021.92"/>
    <n v="0.42"/>
    <x v="1"/>
  </r>
  <r>
    <x v="3"/>
    <n v="1128299"/>
    <x v="168"/>
    <x v="2"/>
    <s v="California"/>
    <s v="San Francisco"/>
    <x v="4"/>
    <n v="49"/>
    <n v="182"/>
    <n v="8918"/>
    <n v="5083.26"/>
    <n v="0.57000000000000006"/>
    <x v="1"/>
  </r>
  <r>
    <x v="3"/>
    <n v="1128299"/>
    <x v="169"/>
    <x v="2"/>
    <s v="California"/>
    <s v="San Francisco"/>
    <x v="5"/>
    <n v="58"/>
    <n v="225"/>
    <n v="13050"/>
    <n v="3001.5"/>
    <n v="0.23"/>
    <x v="1"/>
  </r>
  <r>
    <x v="3"/>
    <n v="1128299"/>
    <x v="170"/>
    <x v="2"/>
    <s v="California"/>
    <s v="San Francisco"/>
    <x v="0"/>
    <n v="41"/>
    <n v="341"/>
    <n v="13981"/>
    <n v="6011.8300000000008"/>
    <n v="0.43000000000000005"/>
    <x v="1"/>
  </r>
  <r>
    <x v="3"/>
    <n v="1128299"/>
    <x v="171"/>
    <x v="2"/>
    <s v="California"/>
    <s v="San Francisco"/>
    <x v="1"/>
    <n v="50"/>
    <n v="256"/>
    <n v="12800"/>
    <n v="3840"/>
    <n v="0.3"/>
    <x v="1"/>
  </r>
  <r>
    <x v="3"/>
    <n v="1128299"/>
    <x v="172"/>
    <x v="2"/>
    <s v="California"/>
    <s v="San Francisco"/>
    <x v="2"/>
    <n v="42"/>
    <n v="281"/>
    <n v="11802"/>
    <n v="5310.9000000000005"/>
    <n v="0.45"/>
    <x v="1"/>
  </r>
  <r>
    <x v="3"/>
    <n v="1128299"/>
    <x v="173"/>
    <x v="2"/>
    <s v="California"/>
    <s v="San Francisco"/>
    <x v="3"/>
    <n v="41"/>
    <n v="224"/>
    <n v="9184"/>
    <n v="3765.4399999999996"/>
    <n v="0.41"/>
    <x v="1"/>
  </r>
  <r>
    <x v="3"/>
    <n v="1128299"/>
    <x v="174"/>
    <x v="2"/>
    <s v="California"/>
    <s v="San Francisco"/>
    <x v="4"/>
    <n v="44"/>
    <n v="196"/>
    <n v="8624"/>
    <n v="5260.6400000000012"/>
    <n v="0.6100000000000001"/>
    <x v="1"/>
  </r>
  <r>
    <x v="3"/>
    <n v="1128299"/>
    <x v="175"/>
    <x v="2"/>
    <s v="California"/>
    <s v="San Francisco"/>
    <x v="5"/>
    <n v="60"/>
    <n v="306"/>
    <n v="18360"/>
    <n v="4773.6000000000004"/>
    <n v="0.26"/>
    <x v="1"/>
  </r>
  <r>
    <x v="3"/>
    <n v="1128299"/>
    <x v="176"/>
    <x v="2"/>
    <s v="California"/>
    <s v="San Francisco"/>
    <x v="0"/>
    <n v="41"/>
    <n v="338"/>
    <n v="13858"/>
    <n v="5266.04"/>
    <n v="0.38"/>
    <x v="1"/>
  </r>
  <r>
    <x v="3"/>
    <n v="1128299"/>
    <x v="177"/>
    <x v="2"/>
    <s v="California"/>
    <s v="San Francisco"/>
    <x v="1"/>
    <n v="49"/>
    <n v="263"/>
    <n v="12887"/>
    <n v="3092.88"/>
    <n v="0.24000000000000002"/>
    <x v="1"/>
  </r>
  <r>
    <x v="3"/>
    <n v="1128299"/>
    <x v="178"/>
    <x v="2"/>
    <s v="California"/>
    <s v="San Francisco"/>
    <x v="2"/>
    <n v="46"/>
    <n v="264"/>
    <n v="12144"/>
    <n v="4857.6000000000004"/>
    <n v="0.4"/>
    <x v="1"/>
  </r>
  <r>
    <x v="3"/>
    <n v="1128299"/>
    <x v="179"/>
    <x v="2"/>
    <s v="California"/>
    <s v="San Francisco"/>
    <x v="3"/>
    <n v="46"/>
    <n v="247"/>
    <n v="11362"/>
    <n v="4090.3199999999997"/>
    <n v="0.36"/>
    <x v="1"/>
  </r>
  <r>
    <x v="3"/>
    <n v="1128299"/>
    <x v="180"/>
    <x v="2"/>
    <s v="California"/>
    <s v="San Francisco"/>
    <x v="4"/>
    <n v="44"/>
    <n v="240"/>
    <n v="10560"/>
    <n v="5913.6"/>
    <n v="0.56000000000000005"/>
    <x v="1"/>
  </r>
  <r>
    <x v="3"/>
    <n v="1128299"/>
    <x v="181"/>
    <x v="2"/>
    <s v="California"/>
    <s v="San Francisco"/>
    <x v="5"/>
    <n v="56"/>
    <n v="264"/>
    <n v="14784"/>
    <n v="2808.9600000000005"/>
    <n v="0.19000000000000003"/>
    <x v="1"/>
  </r>
  <r>
    <x v="3"/>
    <n v="1128299"/>
    <x v="182"/>
    <x v="2"/>
    <s v="California"/>
    <s v="San Francisco"/>
    <x v="0"/>
    <n v="45"/>
    <n v="302"/>
    <n v="13590"/>
    <n v="5436"/>
    <n v="0.4"/>
    <x v="1"/>
  </r>
  <r>
    <x v="3"/>
    <n v="1128299"/>
    <x v="183"/>
    <x v="2"/>
    <s v="California"/>
    <s v="San Francisco"/>
    <x v="1"/>
    <n v="47"/>
    <n v="278"/>
    <n v="13066"/>
    <n v="2874.52"/>
    <n v="0.22"/>
    <x v="1"/>
  </r>
  <r>
    <x v="3"/>
    <n v="1128299"/>
    <x v="184"/>
    <x v="2"/>
    <s v="California"/>
    <s v="San Francisco"/>
    <x v="2"/>
    <n v="51"/>
    <n v="248"/>
    <n v="12648"/>
    <n v="4932.72"/>
    <n v="0.39"/>
    <x v="1"/>
  </r>
  <r>
    <x v="3"/>
    <n v="1128299"/>
    <x v="185"/>
    <x v="2"/>
    <s v="California"/>
    <s v="San Francisco"/>
    <x v="3"/>
    <n v="52"/>
    <n v="255"/>
    <n v="13260"/>
    <n v="4508.3999999999996"/>
    <n v="0.33999999999999997"/>
    <x v="1"/>
  </r>
  <r>
    <x v="3"/>
    <n v="1128299"/>
    <x v="186"/>
    <x v="2"/>
    <s v="California"/>
    <s v="San Francisco"/>
    <x v="4"/>
    <n v="59"/>
    <n v="263"/>
    <n v="15517"/>
    <n v="8844.69"/>
    <n v="0.57000000000000006"/>
    <x v="1"/>
  </r>
  <r>
    <x v="3"/>
    <n v="1128299"/>
    <x v="187"/>
    <x v="2"/>
    <s v="California"/>
    <s v="San Francisco"/>
    <x v="5"/>
    <n v="60"/>
    <n v="254"/>
    <n v="15240"/>
    <n v="3352.8000000000006"/>
    <n v="0.22000000000000003"/>
    <x v="1"/>
  </r>
  <r>
    <x v="3"/>
    <n v="1128299"/>
    <x v="188"/>
    <x v="2"/>
    <s v="California"/>
    <s v="San Francisco"/>
    <x v="0"/>
    <n v="40"/>
    <n v="287"/>
    <n v="11480"/>
    <n v="4018.0000000000005"/>
    <n v="0.35000000000000003"/>
    <x v="1"/>
  </r>
  <r>
    <x v="3"/>
    <n v="1128299"/>
    <x v="189"/>
    <x v="2"/>
    <s v="California"/>
    <s v="San Francisco"/>
    <x v="1"/>
    <n v="42"/>
    <n v="287"/>
    <n v="12054"/>
    <n v="2049.1799999999998"/>
    <n v="0.16999999999999998"/>
    <x v="1"/>
  </r>
  <r>
    <x v="3"/>
    <n v="1128299"/>
    <x v="190"/>
    <x v="2"/>
    <s v="California"/>
    <s v="San Francisco"/>
    <x v="2"/>
    <n v="39"/>
    <n v="248"/>
    <n v="9672"/>
    <n v="3288.48"/>
    <n v="0.34"/>
    <x v="1"/>
  </r>
  <r>
    <x v="3"/>
    <n v="1128299"/>
    <x v="191"/>
    <x v="2"/>
    <s v="California"/>
    <s v="San Francisco"/>
    <x v="3"/>
    <n v="39"/>
    <n v="247"/>
    <n v="9633"/>
    <n v="2600.91"/>
    <n v="0.26999999999999996"/>
    <x v="1"/>
  </r>
  <r>
    <x v="3"/>
    <n v="1128299"/>
    <x v="192"/>
    <x v="2"/>
    <s v="California"/>
    <s v="San Francisco"/>
    <x v="4"/>
    <n v="43"/>
    <n v="225"/>
    <n v="9675"/>
    <n v="4644.0000000000009"/>
    <n v="0.48000000000000009"/>
    <x v="1"/>
  </r>
  <r>
    <x v="3"/>
    <n v="1128299"/>
    <x v="193"/>
    <x v="2"/>
    <s v="California"/>
    <s v="San Francisco"/>
    <x v="5"/>
    <n v="51"/>
    <n v="264"/>
    <n v="13464"/>
    <n v="2019.6000000000004"/>
    <n v="0.15000000000000002"/>
    <x v="1"/>
  </r>
  <r>
    <x v="3"/>
    <n v="1128299"/>
    <x v="194"/>
    <x v="2"/>
    <s v="California"/>
    <s v="San Francisco"/>
    <x v="0"/>
    <n v="36"/>
    <n v="289"/>
    <n v="10404"/>
    <n v="3433.3200000000006"/>
    <n v="0.33000000000000007"/>
    <x v="1"/>
  </r>
  <r>
    <x v="3"/>
    <n v="1128299"/>
    <x v="195"/>
    <x v="2"/>
    <s v="California"/>
    <s v="San Francisco"/>
    <x v="1"/>
    <n v="39"/>
    <n v="280"/>
    <n v="10920"/>
    <n v="1965.6"/>
    <n v="0.18"/>
    <x v="1"/>
  </r>
  <r>
    <x v="3"/>
    <n v="1128299"/>
    <x v="196"/>
    <x v="2"/>
    <s v="California"/>
    <s v="San Francisco"/>
    <x v="2"/>
    <n v="42"/>
    <n v="210"/>
    <n v="8820"/>
    <n v="2910.6000000000008"/>
    <n v="0.33000000000000007"/>
    <x v="1"/>
  </r>
  <r>
    <x v="3"/>
    <n v="1128299"/>
    <x v="197"/>
    <x v="2"/>
    <s v="California"/>
    <s v="San Francisco"/>
    <x v="3"/>
    <n v="42"/>
    <n v="223"/>
    <n v="9366"/>
    <n v="2903.4599999999996"/>
    <n v="0.30999999999999994"/>
    <x v="1"/>
  </r>
  <r>
    <x v="3"/>
    <n v="1128299"/>
    <x v="198"/>
    <x v="2"/>
    <s v="California"/>
    <s v="San Francisco"/>
    <x v="4"/>
    <n v="50"/>
    <n v="221"/>
    <n v="11050"/>
    <n v="5193.5000000000009"/>
    <n v="0.47000000000000008"/>
    <x v="1"/>
  </r>
  <r>
    <x v="3"/>
    <n v="1128299"/>
    <x v="199"/>
    <x v="2"/>
    <s v="California"/>
    <s v="San Francisco"/>
    <x v="5"/>
    <n v="46"/>
    <n v="224"/>
    <n v="10304"/>
    <n v="1236.48"/>
    <n v="0.12000000000000001"/>
    <x v="1"/>
  </r>
  <r>
    <x v="3"/>
    <n v="1128299"/>
    <x v="200"/>
    <x v="2"/>
    <s v="California"/>
    <s v="San Francisco"/>
    <x v="0"/>
    <n v="39"/>
    <n v="263"/>
    <n v="10257"/>
    <n v="3589.9500000000003"/>
    <n v="0.35000000000000003"/>
    <x v="1"/>
  </r>
  <r>
    <x v="3"/>
    <n v="1128299"/>
    <x v="201"/>
    <x v="2"/>
    <s v="California"/>
    <s v="San Francisco"/>
    <x v="1"/>
    <n v="46"/>
    <n v="306"/>
    <n v="14076"/>
    <n v="2815.2000000000003"/>
    <n v="0.2"/>
    <x v="1"/>
  </r>
  <r>
    <x v="3"/>
    <n v="1128299"/>
    <x v="202"/>
    <x v="2"/>
    <s v="California"/>
    <s v="San Francisco"/>
    <x v="2"/>
    <n v="40"/>
    <n v="247"/>
    <n v="9880"/>
    <n v="3359.2000000000003"/>
    <n v="0.34"/>
    <x v="1"/>
  </r>
  <r>
    <x v="3"/>
    <n v="1128299"/>
    <x v="203"/>
    <x v="2"/>
    <s v="California"/>
    <s v="San Francisco"/>
    <x v="3"/>
    <n v="37"/>
    <n v="210"/>
    <n v="7770"/>
    <n v="2253.2999999999997"/>
    <n v="0.28999999999999998"/>
    <x v="1"/>
  </r>
  <r>
    <x v="3"/>
    <n v="1128299"/>
    <x v="204"/>
    <x v="2"/>
    <s v="California"/>
    <s v="San Francisco"/>
    <x v="4"/>
    <n v="51"/>
    <n v="228"/>
    <n v="11628"/>
    <n v="5465.1600000000008"/>
    <n v="0.47000000000000008"/>
    <x v="1"/>
  </r>
  <r>
    <x v="3"/>
    <n v="1128299"/>
    <x v="205"/>
    <x v="2"/>
    <s v="California"/>
    <s v="San Francisco"/>
    <x v="5"/>
    <n v="56"/>
    <n v="256"/>
    <n v="14336"/>
    <n v="2150.4000000000005"/>
    <n v="0.15000000000000002"/>
    <x v="1"/>
  </r>
  <r>
    <x v="3"/>
    <n v="1128299"/>
    <x v="206"/>
    <x v="2"/>
    <s v="California"/>
    <s v="San Francisco"/>
    <x v="0"/>
    <n v="40"/>
    <n v="322"/>
    <n v="12880"/>
    <n v="4250.4000000000005"/>
    <n v="0.33000000000000007"/>
    <x v="1"/>
  </r>
  <r>
    <x v="3"/>
    <n v="1128299"/>
    <x v="207"/>
    <x v="2"/>
    <s v="California"/>
    <s v="San Francisco"/>
    <x v="1"/>
    <n v="46"/>
    <n v="332"/>
    <n v="15272"/>
    <n v="3207.12"/>
    <n v="0.21"/>
    <x v="1"/>
  </r>
  <r>
    <x v="3"/>
    <n v="1128299"/>
    <x v="208"/>
    <x v="2"/>
    <s v="California"/>
    <s v="San Francisco"/>
    <x v="2"/>
    <n v="44"/>
    <n v="256"/>
    <n v="11264"/>
    <n v="3717.1200000000008"/>
    <n v="0.33000000000000007"/>
    <x v="1"/>
  </r>
  <r>
    <x v="3"/>
    <n v="1128299"/>
    <x v="209"/>
    <x v="2"/>
    <s v="California"/>
    <s v="San Francisco"/>
    <x v="3"/>
    <n v="40"/>
    <n v="271"/>
    <n v="10840"/>
    <n v="3252"/>
    <n v="0.3"/>
    <x v="1"/>
  </r>
  <r>
    <x v="3"/>
    <n v="1128299"/>
    <x v="210"/>
    <x v="2"/>
    <s v="California"/>
    <s v="San Francisco"/>
    <x v="4"/>
    <n v="43"/>
    <n v="245"/>
    <n v="10535"/>
    <n v="5478.2"/>
    <n v="0.52"/>
    <x v="1"/>
  </r>
  <r>
    <x v="3"/>
    <n v="1128299"/>
    <x v="211"/>
    <x v="2"/>
    <s v="California"/>
    <s v="San Francisco"/>
    <x v="5"/>
    <n v="50"/>
    <n v="256"/>
    <n v="12800"/>
    <n v="2176"/>
    <n v="0.17"/>
    <x v="1"/>
  </r>
  <r>
    <x v="4"/>
    <n v="1189833"/>
    <x v="212"/>
    <x v="2"/>
    <s v="California"/>
    <s v="San Francisco"/>
    <x v="0"/>
    <n v="26"/>
    <n v="224"/>
    <n v="5824"/>
    <n v="2504.3200000000002"/>
    <n v="0.43000000000000005"/>
    <x v="1"/>
  </r>
  <r>
    <x v="4"/>
    <n v="1189833"/>
    <x v="213"/>
    <x v="2"/>
    <s v="California"/>
    <s v="San Francisco"/>
    <x v="1"/>
    <n v="35"/>
    <n v="224"/>
    <n v="7840"/>
    <n v="2352"/>
    <n v="0.3"/>
    <x v="1"/>
  </r>
  <r>
    <x v="4"/>
    <n v="1189833"/>
    <x v="214"/>
    <x v="2"/>
    <s v="California"/>
    <s v="San Francisco"/>
    <x v="2"/>
    <n v="36"/>
    <n v="217"/>
    <n v="7812"/>
    <n v="3281.0400000000004"/>
    <n v="0.42000000000000004"/>
    <x v="1"/>
  </r>
  <r>
    <x v="4"/>
    <n v="1189833"/>
    <x v="215"/>
    <x v="2"/>
    <s v="California"/>
    <s v="San Francisco"/>
    <x v="3"/>
    <n v="33"/>
    <n v="182"/>
    <n v="6006"/>
    <n v="2282.2800000000002"/>
    <n v="0.38"/>
    <x v="1"/>
  </r>
  <r>
    <x v="4"/>
    <n v="1189833"/>
    <x v="216"/>
    <x v="2"/>
    <s v="California"/>
    <s v="Los Angeles"/>
    <x v="4"/>
    <n v="36"/>
    <n v="155"/>
    <n v="5580"/>
    <n v="3292.2000000000003"/>
    <n v="0.59000000000000008"/>
    <x v="1"/>
  </r>
  <r>
    <x v="4"/>
    <n v="1189833"/>
    <x v="217"/>
    <x v="2"/>
    <s v="California"/>
    <s v="Los Angeles"/>
    <x v="5"/>
    <n v="29"/>
    <n v="210"/>
    <n v="6090"/>
    <n v="1400.7"/>
    <n v="0.23"/>
    <x v="1"/>
  </r>
  <r>
    <x v="4"/>
    <n v="1189833"/>
    <x v="218"/>
    <x v="2"/>
    <s v="California"/>
    <s v="Los Angeles"/>
    <x v="0"/>
    <n v="28"/>
    <n v="240"/>
    <n v="6720"/>
    <n v="3091.2000000000003"/>
    <n v="0.46"/>
    <x v="1"/>
  </r>
  <r>
    <x v="4"/>
    <n v="1189833"/>
    <x v="219"/>
    <x v="2"/>
    <s v="California"/>
    <s v="Los Angeles"/>
    <x v="1"/>
    <n v="30"/>
    <n v="215"/>
    <n v="6450"/>
    <n v="1999.5"/>
    <n v="0.31"/>
    <x v="1"/>
  </r>
  <r>
    <x v="4"/>
    <n v="1189833"/>
    <x v="220"/>
    <x v="2"/>
    <s v="California"/>
    <s v="Los Angeles"/>
    <x v="2"/>
    <n v="33"/>
    <n v="223"/>
    <n v="7359"/>
    <n v="3090.78"/>
    <n v="0.42000000000000004"/>
    <x v="1"/>
  </r>
  <r>
    <x v="4"/>
    <n v="1189833"/>
    <x v="221"/>
    <x v="2"/>
    <s v="California"/>
    <s v="Los Angeles"/>
    <x v="3"/>
    <n v="34"/>
    <n v="179"/>
    <n v="6086"/>
    <n v="2495.2599999999998"/>
    <n v="0.41"/>
    <x v="1"/>
  </r>
  <r>
    <x v="4"/>
    <n v="1189833"/>
    <x v="222"/>
    <x v="2"/>
    <s v="California"/>
    <s v="Los Angeles"/>
    <x v="4"/>
    <n v="40"/>
    <n v="140"/>
    <n v="5600"/>
    <n v="3192.0000000000005"/>
    <n v="0.57000000000000006"/>
    <x v="1"/>
  </r>
  <r>
    <x v="4"/>
    <n v="1189833"/>
    <x v="223"/>
    <x v="2"/>
    <s v="California"/>
    <s v="Los Angeles"/>
    <x v="5"/>
    <n v="32"/>
    <n v="208"/>
    <n v="6656"/>
    <n v="1730.56"/>
    <n v="0.26"/>
    <x v="1"/>
  </r>
  <r>
    <x v="4"/>
    <n v="1189833"/>
    <x v="224"/>
    <x v="2"/>
    <s v="California"/>
    <s v="Los Angeles"/>
    <x v="0"/>
    <n v="24"/>
    <n v="264"/>
    <n v="6336"/>
    <n v="2787.84"/>
    <n v="0.44"/>
    <x v="1"/>
  </r>
  <r>
    <x v="4"/>
    <n v="1189833"/>
    <x v="225"/>
    <x v="2"/>
    <s v="California"/>
    <s v="Los Angeles"/>
    <x v="1"/>
    <n v="36"/>
    <n v="228"/>
    <n v="8208"/>
    <n v="2298.2400000000002"/>
    <n v="0.28000000000000003"/>
    <x v="1"/>
  </r>
  <r>
    <x v="4"/>
    <n v="1189833"/>
    <x v="226"/>
    <x v="2"/>
    <s v="California"/>
    <s v="Los Angeles"/>
    <x v="2"/>
    <n v="33"/>
    <n v="221"/>
    <n v="7293"/>
    <n v="3354.78"/>
    <n v="0.46"/>
    <x v="1"/>
  </r>
  <r>
    <x v="4"/>
    <n v="1189833"/>
    <x v="227"/>
    <x v="2"/>
    <s v="California"/>
    <s v="Los Angeles"/>
    <x v="3"/>
    <n v="36"/>
    <n v="176"/>
    <n v="6336"/>
    <n v="2471.0399999999995"/>
    <n v="0.38999999999999996"/>
    <x v="1"/>
  </r>
  <r>
    <x v="4"/>
    <n v="1189833"/>
    <x v="228"/>
    <x v="2"/>
    <s v="California"/>
    <s v="Los Angeles"/>
    <x v="4"/>
    <n v="36"/>
    <n v="128"/>
    <n v="4608"/>
    <n v="2718.7200000000003"/>
    <n v="0.59000000000000008"/>
    <x v="1"/>
  </r>
  <r>
    <x v="4"/>
    <n v="1189833"/>
    <x v="229"/>
    <x v="2"/>
    <s v="California"/>
    <s v="Los Angeles"/>
    <x v="5"/>
    <n v="33"/>
    <n v="194"/>
    <n v="6402"/>
    <n v="1472.46"/>
    <n v="0.23"/>
    <x v="1"/>
  </r>
  <r>
    <x v="4"/>
    <n v="1189833"/>
    <x v="230"/>
    <x v="2"/>
    <s v="California"/>
    <s v="Los Angeles"/>
    <x v="0"/>
    <n v="31"/>
    <n v="248"/>
    <n v="7688"/>
    <n v="3536.48"/>
    <n v="0.46"/>
    <x v="1"/>
  </r>
  <r>
    <x v="4"/>
    <n v="1189833"/>
    <x v="231"/>
    <x v="2"/>
    <s v="California"/>
    <s v="Los Angeles"/>
    <x v="1"/>
    <n v="34"/>
    <n v="210"/>
    <n v="7140"/>
    <n v="2070.6"/>
    <n v="0.28999999999999998"/>
    <x v="1"/>
  </r>
  <r>
    <x v="4"/>
    <n v="1189833"/>
    <x v="232"/>
    <x v="2"/>
    <s v="California"/>
    <s v="Los Angeles"/>
    <x v="2"/>
    <n v="38"/>
    <n v="206"/>
    <n v="7828"/>
    <n v="3679.1600000000003"/>
    <n v="0.47000000000000003"/>
    <x v="1"/>
  </r>
  <r>
    <x v="4"/>
    <n v="1189833"/>
    <x v="233"/>
    <x v="2"/>
    <s v="California"/>
    <s v="Los Angeles"/>
    <x v="3"/>
    <n v="31"/>
    <n v="173"/>
    <n v="5363"/>
    <n v="2037.94"/>
    <n v="0.38"/>
    <x v="1"/>
  </r>
  <r>
    <x v="4"/>
    <n v="1189833"/>
    <x v="234"/>
    <x v="2"/>
    <s v="California"/>
    <s v="Los Angeles"/>
    <x v="4"/>
    <n v="38"/>
    <n v="149"/>
    <n v="5662"/>
    <n v="3453.8200000000006"/>
    <n v="0.6100000000000001"/>
    <x v="1"/>
  </r>
  <r>
    <x v="4"/>
    <n v="1189833"/>
    <x v="235"/>
    <x v="2"/>
    <s v="California"/>
    <s v="Los Angeles"/>
    <x v="5"/>
    <n v="49"/>
    <n v="198"/>
    <n v="9702"/>
    <n v="2619.54"/>
    <n v="0.27"/>
    <x v="1"/>
  </r>
  <r>
    <x v="4"/>
    <n v="1189833"/>
    <x v="236"/>
    <x v="2"/>
    <s v="California"/>
    <s v="Los Angeles"/>
    <x v="0"/>
    <n v="32"/>
    <n v="240"/>
    <n v="7680"/>
    <n v="3609.6000000000004"/>
    <n v="0.47000000000000003"/>
    <x v="1"/>
  </r>
  <r>
    <x v="4"/>
    <n v="1189833"/>
    <x v="237"/>
    <x v="2"/>
    <s v="California"/>
    <s v="Los Angeles"/>
    <x v="1"/>
    <n v="34"/>
    <n v="221"/>
    <n v="7514"/>
    <n v="2254.1999999999998"/>
    <n v="0.3"/>
    <x v="1"/>
  </r>
  <r>
    <x v="4"/>
    <n v="1189833"/>
    <x v="238"/>
    <x v="2"/>
    <s v="California"/>
    <s v="Los Angeles"/>
    <x v="2"/>
    <n v="36"/>
    <n v="215"/>
    <n v="7740"/>
    <n v="3483"/>
    <n v="0.45"/>
    <x v="1"/>
  </r>
  <r>
    <x v="4"/>
    <n v="1189833"/>
    <x v="239"/>
    <x v="2"/>
    <s v="California"/>
    <s v="Los Angeles"/>
    <x v="3"/>
    <n v="33"/>
    <n v="193"/>
    <n v="6369"/>
    <n v="2420.2200000000003"/>
    <n v="0.38"/>
    <x v="1"/>
  </r>
  <r>
    <x v="4"/>
    <n v="1189833"/>
    <x v="240"/>
    <x v="2"/>
    <s v="California"/>
    <s v="Los Angeles"/>
    <x v="4"/>
    <n v="38"/>
    <n v="140"/>
    <n v="5320"/>
    <n v="3138.8000000000006"/>
    <n v="0.59000000000000008"/>
    <x v="1"/>
  </r>
  <r>
    <x v="4"/>
    <n v="1189833"/>
    <x v="241"/>
    <x v="2"/>
    <s v="California"/>
    <s v="Los Angeles"/>
    <x v="5"/>
    <n v="43"/>
    <n v="206"/>
    <n v="8858"/>
    <n v="1948.76"/>
    <n v="0.22"/>
    <x v="1"/>
  </r>
  <r>
    <x v="4"/>
    <n v="1189833"/>
    <x v="242"/>
    <x v="2"/>
    <s v="California"/>
    <s v="Los Angeles"/>
    <x v="0"/>
    <n v="36"/>
    <n v="297"/>
    <n v="10692"/>
    <n v="4704.4800000000005"/>
    <n v="0.44"/>
    <x v="1"/>
  </r>
  <r>
    <x v="4"/>
    <n v="1189833"/>
    <x v="243"/>
    <x v="2"/>
    <s v="California"/>
    <s v="Los Angeles"/>
    <x v="1"/>
    <n v="35"/>
    <n v="225"/>
    <n v="7875"/>
    <n v="2362.5"/>
    <n v="0.3"/>
    <x v="1"/>
  </r>
  <r>
    <x v="4"/>
    <n v="1189833"/>
    <x v="244"/>
    <x v="2"/>
    <s v="California"/>
    <s v="Los Angeles"/>
    <x v="2"/>
    <n v="35"/>
    <n v="233"/>
    <n v="8155"/>
    <n v="3425.1000000000004"/>
    <n v="0.42000000000000004"/>
    <x v="1"/>
  </r>
  <r>
    <x v="4"/>
    <n v="1189833"/>
    <x v="245"/>
    <x v="2"/>
    <s v="California"/>
    <s v="Los Angeles"/>
    <x v="3"/>
    <n v="32"/>
    <n v="194"/>
    <n v="6208"/>
    <n v="2296.96"/>
    <n v="0.37"/>
    <x v="1"/>
  </r>
  <r>
    <x v="4"/>
    <n v="1189833"/>
    <x v="246"/>
    <x v="2"/>
    <s v="California"/>
    <s v="Los Angeles"/>
    <x v="4"/>
    <n v="39"/>
    <n v="165"/>
    <n v="6435"/>
    <n v="3861.0000000000005"/>
    <n v="0.60000000000000009"/>
    <x v="1"/>
  </r>
  <r>
    <x v="4"/>
    <n v="1189833"/>
    <x v="247"/>
    <x v="2"/>
    <s v="California"/>
    <s v="Los Angeles"/>
    <x v="5"/>
    <n v="48"/>
    <n v="264"/>
    <n v="12672"/>
    <n v="2787.84"/>
    <n v="0.22"/>
    <x v="1"/>
  </r>
  <r>
    <x v="4"/>
    <n v="1189833"/>
    <x v="248"/>
    <x v="2"/>
    <s v="California"/>
    <s v="Los Angeles"/>
    <x v="0"/>
    <n v="30"/>
    <n v="285"/>
    <n v="8550"/>
    <n v="4018.5000000000005"/>
    <n v="0.47000000000000003"/>
    <x v="1"/>
  </r>
  <r>
    <x v="4"/>
    <n v="1189833"/>
    <x v="249"/>
    <x v="2"/>
    <s v="California"/>
    <s v="Los Angeles"/>
    <x v="1"/>
    <n v="37"/>
    <n v="272"/>
    <n v="10064"/>
    <n v="2918.56"/>
    <n v="0.28999999999999998"/>
    <x v="1"/>
  </r>
  <r>
    <x v="4"/>
    <n v="1189833"/>
    <x v="250"/>
    <x v="2"/>
    <s v="California"/>
    <s v="Los Angeles"/>
    <x v="2"/>
    <n v="33"/>
    <n v="240"/>
    <n v="7920"/>
    <n v="3643.2000000000003"/>
    <n v="0.46"/>
    <x v="1"/>
  </r>
  <r>
    <x v="4"/>
    <n v="1189833"/>
    <x v="251"/>
    <x v="2"/>
    <s v="California"/>
    <s v="Los Angeles"/>
    <x v="3"/>
    <n v="29"/>
    <n v="228"/>
    <n v="6612"/>
    <n v="2644.7999999999997"/>
    <n v="0.39999999999999997"/>
    <x v="1"/>
  </r>
  <r>
    <x v="4"/>
    <n v="1189833"/>
    <x v="252"/>
    <x v="2"/>
    <s v="California"/>
    <s v="Los Angeles"/>
    <x v="4"/>
    <n v="38"/>
    <n v="224"/>
    <n v="8512"/>
    <n v="5107.2000000000007"/>
    <n v="0.60000000000000009"/>
    <x v="1"/>
  </r>
  <r>
    <x v="4"/>
    <n v="1189833"/>
    <x v="253"/>
    <x v="2"/>
    <s v="California"/>
    <s v="Los Angeles"/>
    <x v="5"/>
    <n v="51"/>
    <n v="224"/>
    <n v="11424"/>
    <n v="2627.52"/>
    <n v="0.23"/>
    <x v="1"/>
  </r>
  <r>
    <x v="4"/>
    <n v="1189833"/>
    <x v="254"/>
    <x v="2"/>
    <s v="California"/>
    <s v="Los Angeles"/>
    <x v="0"/>
    <n v="36"/>
    <n v="306"/>
    <n v="11016"/>
    <n v="4957.2"/>
    <n v="0.45"/>
    <x v="1"/>
  </r>
  <r>
    <x v="4"/>
    <n v="1189833"/>
    <x v="255"/>
    <x v="2"/>
    <s v="California"/>
    <s v="Los Angeles"/>
    <x v="1"/>
    <n v="41"/>
    <n v="264"/>
    <n v="10824"/>
    <n v="3355.44"/>
    <n v="0.31"/>
    <x v="1"/>
  </r>
  <r>
    <x v="4"/>
    <n v="1189833"/>
    <x v="256"/>
    <x v="2"/>
    <s v="California"/>
    <s v="Los Angeles"/>
    <x v="2"/>
    <n v="34"/>
    <n v="232"/>
    <n v="7888"/>
    <n v="3470.72"/>
    <n v="0.44"/>
    <x v="1"/>
  </r>
  <r>
    <x v="4"/>
    <n v="1189833"/>
    <x v="257"/>
    <x v="2"/>
    <s v="California"/>
    <s v="Los Angeles"/>
    <x v="3"/>
    <n v="36"/>
    <n v="223"/>
    <n v="8028"/>
    <n v="3050.64"/>
    <n v="0.38"/>
    <x v="1"/>
  </r>
  <r>
    <x v="4"/>
    <n v="1189833"/>
    <x v="258"/>
    <x v="2"/>
    <s v="California"/>
    <s v="Los Angeles"/>
    <x v="4"/>
    <n v="43"/>
    <n v="230"/>
    <n v="9890"/>
    <n v="6131.8000000000011"/>
    <n v="0.62000000000000011"/>
    <x v="1"/>
  </r>
  <r>
    <x v="4"/>
    <n v="1189833"/>
    <x v="259"/>
    <x v="2"/>
    <s v="California"/>
    <s v="Los Angeles"/>
    <x v="5"/>
    <n v="46"/>
    <n v="208"/>
    <n v="9568"/>
    <n v="2200.64"/>
    <n v="0.23"/>
    <x v="1"/>
  </r>
  <r>
    <x v="4"/>
    <n v="1189833"/>
    <x v="260"/>
    <x v="2"/>
    <s v="California"/>
    <s v="Los Angeles"/>
    <x v="0"/>
    <n v="38"/>
    <n v="289"/>
    <n v="10982"/>
    <n v="5051.72"/>
    <n v="0.46"/>
    <x v="1"/>
  </r>
  <r>
    <x v="4"/>
    <n v="1189833"/>
    <x v="261"/>
    <x v="2"/>
    <s v="California"/>
    <s v="Los Angeles"/>
    <x v="1"/>
    <n v="39"/>
    <n v="264"/>
    <n v="10296"/>
    <n v="2779.92"/>
    <n v="0.27"/>
    <x v="1"/>
  </r>
  <r>
    <x v="4"/>
    <n v="1189833"/>
    <x v="262"/>
    <x v="2"/>
    <s v="California"/>
    <s v="Los Angeles"/>
    <x v="2"/>
    <n v="38"/>
    <n v="210"/>
    <n v="7980"/>
    <n v="3591"/>
    <n v="0.45"/>
    <x v="1"/>
  </r>
  <r>
    <x v="4"/>
    <n v="1189833"/>
    <x v="263"/>
    <x v="2"/>
    <s v="California"/>
    <s v="Los Angeles"/>
    <x v="3"/>
    <n v="39"/>
    <n v="195"/>
    <n v="7605"/>
    <n v="3041.9999999999995"/>
    <n v="0.39999999999999997"/>
    <x v="1"/>
  </r>
  <r>
    <x v="4"/>
    <n v="1189833"/>
    <x v="264"/>
    <x v="2"/>
    <s v="California"/>
    <s v="Los Angeles"/>
    <x v="4"/>
    <n v="44"/>
    <n v="195"/>
    <n v="8580"/>
    <n v="5319.6000000000013"/>
    <n v="0.62000000000000011"/>
    <x v="1"/>
  </r>
  <r>
    <x v="4"/>
    <n v="1189833"/>
    <x v="265"/>
    <x v="2"/>
    <s v="California"/>
    <s v="Los Angeles"/>
    <x v="5"/>
    <n v="49"/>
    <n v="210"/>
    <n v="10290"/>
    <n v="2263.8000000000002"/>
    <n v="0.22"/>
    <x v="1"/>
  </r>
  <r>
    <x v="4"/>
    <n v="1189833"/>
    <x v="266"/>
    <x v="2"/>
    <s v="California"/>
    <s v="Los Angeles"/>
    <x v="0"/>
    <n v="36"/>
    <n v="256"/>
    <n v="9216"/>
    <n v="4331.5200000000004"/>
    <n v="0.47000000000000003"/>
    <x v="1"/>
  </r>
  <r>
    <x v="4"/>
    <n v="1189833"/>
    <x v="267"/>
    <x v="2"/>
    <s v="California"/>
    <s v="Los Angeles"/>
    <x v="1"/>
    <n v="43"/>
    <n v="264"/>
    <n v="11352"/>
    <n v="3405.6"/>
    <n v="0.3"/>
    <x v="1"/>
  </r>
  <r>
    <x v="4"/>
    <n v="1189833"/>
    <x v="268"/>
    <x v="2"/>
    <s v="California"/>
    <s v="Los Angeles"/>
    <x v="2"/>
    <n v="33"/>
    <n v="208"/>
    <n v="6864"/>
    <n v="2882.88"/>
    <n v="0.42000000000000004"/>
    <x v="1"/>
  </r>
  <r>
    <x v="4"/>
    <n v="1189833"/>
    <x v="269"/>
    <x v="2"/>
    <s v="California"/>
    <s v="Los Angeles"/>
    <x v="3"/>
    <n v="33"/>
    <n v="213"/>
    <n v="7029"/>
    <n v="2952.18"/>
    <n v="0.42"/>
    <x v="1"/>
  </r>
  <r>
    <x v="4"/>
    <n v="1189833"/>
    <x v="270"/>
    <x v="2"/>
    <s v="California"/>
    <s v="Los Angeles"/>
    <x v="4"/>
    <n v="46"/>
    <n v="210"/>
    <n v="9660"/>
    <n v="5989.2000000000007"/>
    <n v="0.62000000000000011"/>
    <x v="1"/>
  </r>
  <r>
    <x v="4"/>
    <n v="1189833"/>
    <x v="271"/>
    <x v="2"/>
    <s v="California"/>
    <s v="Los Angeles"/>
    <x v="5"/>
    <n v="46"/>
    <n v="208"/>
    <n v="9568"/>
    <n v="2296.3200000000002"/>
    <n v="0.24000000000000002"/>
    <x v="1"/>
  </r>
  <r>
    <x v="4"/>
    <n v="1189833"/>
    <x v="272"/>
    <x v="2"/>
    <s v="California"/>
    <s v="Los Angeles"/>
    <x v="0"/>
    <n v="40"/>
    <n v="272"/>
    <n v="10880"/>
    <n v="5004.8"/>
    <n v="0.46"/>
    <x v="1"/>
  </r>
  <r>
    <x v="4"/>
    <n v="1189833"/>
    <x v="273"/>
    <x v="2"/>
    <s v="California"/>
    <s v="Los Angeles"/>
    <x v="1"/>
    <n v="42"/>
    <n v="264"/>
    <n v="11088"/>
    <n v="3326.4"/>
    <n v="0.3"/>
    <x v="1"/>
  </r>
  <r>
    <x v="4"/>
    <n v="1189833"/>
    <x v="274"/>
    <x v="2"/>
    <s v="California"/>
    <s v="Los Angeles"/>
    <x v="2"/>
    <n v="35"/>
    <n v="223"/>
    <n v="7805"/>
    <n v="3590.3"/>
    <n v="0.46"/>
    <x v="1"/>
  </r>
  <r>
    <x v="4"/>
    <n v="1189833"/>
    <x v="275"/>
    <x v="2"/>
    <s v="California"/>
    <s v="Los Angeles"/>
    <x v="3"/>
    <n v="33"/>
    <n v="221"/>
    <n v="7293"/>
    <n v="3063.06"/>
    <n v="0.42"/>
    <x v="1"/>
  </r>
  <r>
    <x v="4"/>
    <n v="1189833"/>
    <x v="276"/>
    <x v="2"/>
    <s v="California"/>
    <s v="Los Angeles"/>
    <x v="4"/>
    <n v="46"/>
    <n v="204"/>
    <n v="9384"/>
    <n v="5348.880000000001"/>
    <n v="0.57000000000000006"/>
    <x v="1"/>
  </r>
  <r>
    <x v="4"/>
    <n v="1189833"/>
    <x v="277"/>
    <x v="2"/>
    <s v="California"/>
    <s v="Los Angeles"/>
    <x v="5"/>
    <n v="49"/>
    <n v="238"/>
    <n v="11662"/>
    <n v="2798.88"/>
    <n v="0.24000000000000002"/>
    <x v="1"/>
  </r>
  <r>
    <x v="4"/>
    <n v="1189833"/>
    <x v="278"/>
    <x v="2"/>
    <s v="California"/>
    <s v="Los Angeles"/>
    <x v="0"/>
    <n v="39"/>
    <n v="315"/>
    <n v="12285"/>
    <n v="5651.1"/>
    <n v="0.46"/>
    <x v="1"/>
  </r>
  <r>
    <x v="4"/>
    <n v="1189833"/>
    <x v="279"/>
    <x v="2"/>
    <s v="California"/>
    <s v="Los Angeles"/>
    <x v="1"/>
    <n v="42"/>
    <n v="288"/>
    <n v="12096"/>
    <n v="3386.88"/>
    <n v="0.28000000000000003"/>
    <x v="1"/>
  </r>
  <r>
    <x v="4"/>
    <n v="1189833"/>
    <x v="280"/>
    <x v="2"/>
    <s v="California"/>
    <s v="Los Angeles"/>
    <x v="2"/>
    <n v="39"/>
    <n v="231"/>
    <n v="9009"/>
    <n v="4144.1400000000003"/>
    <n v="0.46"/>
    <x v="1"/>
  </r>
  <r>
    <x v="4"/>
    <n v="1189833"/>
    <x v="281"/>
    <x v="2"/>
    <s v="California"/>
    <s v="Los Angeles"/>
    <x v="3"/>
    <n v="35"/>
    <n v="224"/>
    <n v="7840"/>
    <n v="3135.9999999999995"/>
    <n v="0.39999999999999997"/>
    <x v="1"/>
  </r>
  <r>
    <x v="4"/>
    <n v="1189833"/>
    <x v="282"/>
    <x v="2"/>
    <s v="California"/>
    <s v="Los Angeles"/>
    <x v="4"/>
    <n v="43"/>
    <n v="219"/>
    <n v="9417"/>
    <n v="5838.5400000000009"/>
    <n v="0.62000000000000011"/>
    <x v="1"/>
  </r>
  <r>
    <x v="4"/>
    <n v="1189833"/>
    <x v="283"/>
    <x v="2"/>
    <s v="California"/>
    <s v="Los Angeles"/>
    <x v="5"/>
    <n v="44"/>
    <n v="232"/>
    <n v="10208"/>
    <n v="2552"/>
    <n v="0.25"/>
    <x v="1"/>
  </r>
  <r>
    <x v="0"/>
    <n v="1185732"/>
    <x v="284"/>
    <x v="2"/>
    <s v="California"/>
    <s v="Los Angeles"/>
    <x v="0"/>
    <n v="36"/>
    <n v="147"/>
    <n v="5292"/>
    <n v="2381.4"/>
    <n v="0.45"/>
    <x v="1"/>
  </r>
  <r>
    <x v="0"/>
    <n v="1185732"/>
    <x v="285"/>
    <x v="2"/>
    <s v="California"/>
    <s v="Los Angeles"/>
    <x v="1"/>
    <n v="31"/>
    <n v="91"/>
    <n v="2821"/>
    <n v="1156.6099999999999"/>
    <n v="0.41"/>
    <x v="1"/>
  </r>
  <r>
    <x v="0"/>
    <n v="1185732"/>
    <x v="286"/>
    <x v="2"/>
    <s v="California"/>
    <s v="Los Angeles"/>
    <x v="2"/>
    <n v="24"/>
    <n v="94"/>
    <n v="2256"/>
    <n v="879.83999999999992"/>
    <n v="0.38999999999999996"/>
    <x v="1"/>
  </r>
  <r>
    <x v="0"/>
    <n v="1185732"/>
    <x v="287"/>
    <x v="2"/>
    <s v="California"/>
    <s v="Los Angeles"/>
    <x v="3"/>
    <n v="27"/>
    <n v="41"/>
    <n v="1107"/>
    <n v="509.22"/>
    <n v="0.46"/>
    <x v="1"/>
  </r>
  <r>
    <x v="2"/>
    <n v="1197831"/>
    <x v="360"/>
    <x v="1"/>
    <s v="Texas"/>
    <s v="Dallas"/>
    <x v="4"/>
    <n v="26"/>
    <n v="113"/>
    <n v="2938"/>
    <n v="793.2600000000001"/>
    <n v="0.27"/>
    <x v="1"/>
  </r>
  <r>
    <x v="2"/>
    <n v="1197831"/>
    <x v="361"/>
    <x v="1"/>
    <s v="Texas"/>
    <s v="Dallas"/>
    <x v="5"/>
    <n v="24"/>
    <n v="163"/>
    <n v="3912"/>
    <n v="1877.76"/>
    <n v="0.48"/>
    <x v="1"/>
  </r>
  <r>
    <x v="2"/>
    <n v="1197831"/>
    <x v="362"/>
    <x v="1"/>
    <s v="Texas"/>
    <s v="Dallas"/>
    <x v="0"/>
    <n v="19"/>
    <n v="230"/>
    <n v="4370"/>
    <n v="1398.4"/>
    <n v="0.32"/>
    <x v="1"/>
  </r>
  <r>
    <x v="2"/>
    <n v="1197831"/>
    <x v="363"/>
    <x v="1"/>
    <s v="Texas"/>
    <s v="Dallas"/>
    <x v="1"/>
    <n v="23"/>
    <n v="215"/>
    <n v="4945"/>
    <n v="1780.2"/>
    <n v="0.36"/>
    <x v="1"/>
  </r>
  <r>
    <x v="2"/>
    <n v="1197831"/>
    <x v="364"/>
    <x v="1"/>
    <s v="Texas"/>
    <s v="Dallas"/>
    <x v="2"/>
    <n v="27"/>
    <n v="143"/>
    <n v="3861"/>
    <n v="1351.35"/>
    <n v="0.35"/>
    <x v="1"/>
  </r>
  <r>
    <x v="2"/>
    <n v="1197831"/>
    <x v="365"/>
    <x v="1"/>
    <s v="Texas"/>
    <s v="Dallas"/>
    <x v="3"/>
    <n v="28"/>
    <n v="136"/>
    <n v="3808"/>
    <n v="1713.6000000000001"/>
    <n v="0.45"/>
    <x v="1"/>
  </r>
  <r>
    <x v="2"/>
    <n v="1197831"/>
    <x v="366"/>
    <x v="1"/>
    <s v="Texas"/>
    <s v="Dallas"/>
    <x v="4"/>
    <n v="26"/>
    <n v="93"/>
    <n v="2418"/>
    <n v="773.76"/>
    <n v="0.32"/>
    <x v="1"/>
  </r>
  <r>
    <x v="2"/>
    <n v="1197831"/>
    <x v="367"/>
    <x v="1"/>
    <s v="Texas"/>
    <s v="Dallas"/>
    <x v="5"/>
    <n v="26"/>
    <n v="155"/>
    <n v="4030"/>
    <n v="2055.3000000000002"/>
    <n v="0.51"/>
    <x v="1"/>
  </r>
  <r>
    <x v="2"/>
    <n v="1197831"/>
    <x v="368"/>
    <x v="1"/>
    <s v="Texas"/>
    <s v="Dallas"/>
    <x v="0"/>
    <n v="21"/>
    <n v="203"/>
    <n v="4263"/>
    <n v="1662.5699999999997"/>
    <n v="0.38999999999999996"/>
    <x v="1"/>
  </r>
  <r>
    <x v="2"/>
    <n v="1197831"/>
    <x v="369"/>
    <x v="1"/>
    <s v="Texas"/>
    <s v="Dallas"/>
    <x v="1"/>
    <n v="31"/>
    <n v="236"/>
    <n v="7316"/>
    <n v="2926.3999999999996"/>
    <n v="0.39999999999999997"/>
    <x v="1"/>
  </r>
  <r>
    <x v="2"/>
    <n v="1197831"/>
    <x v="370"/>
    <x v="1"/>
    <s v="Texas"/>
    <s v="Dallas"/>
    <x v="2"/>
    <n v="20"/>
    <n v="155"/>
    <n v="3100"/>
    <n v="1178"/>
    <n v="0.38"/>
    <x v="1"/>
  </r>
  <r>
    <x v="2"/>
    <n v="1197831"/>
    <x v="371"/>
    <x v="1"/>
    <s v="Texas"/>
    <s v="Dallas"/>
    <x v="3"/>
    <n v="26"/>
    <n v="140"/>
    <n v="3640"/>
    <n v="1710.8000000000002"/>
    <n v="0.47000000000000003"/>
    <x v="1"/>
  </r>
  <r>
    <x v="2"/>
    <n v="1197831"/>
    <x v="372"/>
    <x v="1"/>
    <s v="Texas"/>
    <s v="Dallas"/>
    <x v="4"/>
    <n v="29"/>
    <n v="96"/>
    <n v="2784"/>
    <n v="1030.08"/>
    <n v="0.37"/>
    <x v="1"/>
  </r>
  <r>
    <x v="2"/>
    <n v="1197831"/>
    <x v="373"/>
    <x v="1"/>
    <s v="Texas"/>
    <s v="Dallas"/>
    <x v="5"/>
    <n v="27"/>
    <n v="153"/>
    <n v="4131"/>
    <n v="2230.7400000000002"/>
    <n v="0.54"/>
    <x v="1"/>
  </r>
  <r>
    <x v="2"/>
    <n v="1197831"/>
    <x v="374"/>
    <x v="1"/>
    <s v="Texas"/>
    <s v="Dallas"/>
    <x v="0"/>
    <n v="13"/>
    <n v="231"/>
    <n v="3003"/>
    <n v="1201.1999999999998"/>
    <n v="0.39999999999999997"/>
    <x v="1"/>
  </r>
  <r>
    <x v="2"/>
    <n v="1197831"/>
    <x v="375"/>
    <x v="1"/>
    <s v="Texas"/>
    <s v="Dallas"/>
    <x v="1"/>
    <n v="21"/>
    <n v="210"/>
    <n v="4410"/>
    <n v="1763.9999999999998"/>
    <n v="0.39999999999999997"/>
    <x v="1"/>
  </r>
  <r>
    <x v="2"/>
    <n v="1197831"/>
    <x v="376"/>
    <x v="1"/>
    <s v="Texas"/>
    <s v="Dallas"/>
    <x v="2"/>
    <n v="20"/>
    <n v="179"/>
    <n v="3580"/>
    <n v="1396.1999999999998"/>
    <n v="0.38999999999999996"/>
    <x v="1"/>
  </r>
  <r>
    <x v="2"/>
    <n v="1197831"/>
    <x v="377"/>
    <x v="1"/>
    <s v="Texas"/>
    <s v="Dallas"/>
    <x v="3"/>
    <n v="20"/>
    <n v="149"/>
    <n v="2980"/>
    <n v="1460.2"/>
    <n v="0.49"/>
    <x v="1"/>
  </r>
  <r>
    <x v="2"/>
    <n v="1197831"/>
    <x v="378"/>
    <x v="1"/>
    <s v="Texas"/>
    <s v="Dallas"/>
    <x v="4"/>
    <n v="26"/>
    <n v="107"/>
    <n v="2782"/>
    <n v="1001.52"/>
    <n v="0.36"/>
    <x v="1"/>
  </r>
  <r>
    <x v="2"/>
    <n v="1197831"/>
    <x v="379"/>
    <x v="1"/>
    <s v="Texas"/>
    <s v="Dallas"/>
    <x v="5"/>
    <n v="22"/>
    <n v="210"/>
    <n v="4620"/>
    <n v="2633.4"/>
    <n v="0.57000000000000006"/>
    <x v="1"/>
  </r>
  <r>
    <x v="2"/>
    <n v="1197831"/>
    <x v="380"/>
    <x v="1"/>
    <s v="Texas"/>
    <s v="Dallas"/>
    <x v="0"/>
    <n v="13"/>
    <n v="233"/>
    <n v="3029"/>
    <n v="1151.02"/>
    <n v="0.38"/>
    <x v="1"/>
  </r>
  <r>
    <x v="2"/>
    <n v="1197831"/>
    <x v="381"/>
    <x v="1"/>
    <s v="Texas"/>
    <s v="Dallas"/>
    <x v="1"/>
    <n v="22"/>
    <n v="248"/>
    <n v="5456"/>
    <n v="2291.52"/>
    <n v="0.42"/>
    <x v="1"/>
  </r>
  <r>
    <x v="2"/>
    <n v="1197831"/>
    <x v="382"/>
    <x v="1"/>
    <s v="Texas"/>
    <s v="Dallas"/>
    <x v="2"/>
    <n v="19"/>
    <n v="200"/>
    <n v="3800"/>
    <n v="1519.9999999999998"/>
    <n v="0.39999999999999997"/>
    <x v="1"/>
  </r>
  <r>
    <x v="2"/>
    <n v="1197831"/>
    <x v="383"/>
    <x v="1"/>
    <s v="Texas"/>
    <s v="Dallas"/>
    <x v="3"/>
    <n v="27"/>
    <n v="182"/>
    <n v="4914"/>
    <n v="2407.86"/>
    <n v="0.49"/>
    <x v="1"/>
  </r>
  <r>
    <x v="2"/>
    <n v="1197831"/>
    <x v="384"/>
    <x v="1"/>
    <s v="Texas"/>
    <s v="Dallas"/>
    <x v="4"/>
    <n v="38"/>
    <n v="153"/>
    <n v="5814"/>
    <n v="2093.04"/>
    <n v="0.36"/>
    <x v="1"/>
  </r>
  <r>
    <x v="2"/>
    <n v="1197831"/>
    <x v="385"/>
    <x v="1"/>
    <s v="Texas"/>
    <s v="Dallas"/>
    <x v="5"/>
    <n v="34"/>
    <n v="264"/>
    <n v="8976"/>
    <n v="4667.5200000000004"/>
    <n v="0.52"/>
    <x v="1"/>
  </r>
  <r>
    <x v="2"/>
    <n v="1197831"/>
    <x v="386"/>
    <x v="1"/>
    <s v="Texas"/>
    <s v="Dallas"/>
    <x v="0"/>
    <n v="30"/>
    <n v="256"/>
    <n v="7680"/>
    <n v="2841.6"/>
    <n v="0.37"/>
    <x v="1"/>
  </r>
  <r>
    <x v="2"/>
    <n v="1197831"/>
    <x v="387"/>
    <x v="1"/>
    <s v="Texas"/>
    <s v="Dallas"/>
    <x v="1"/>
    <n v="40"/>
    <n v="280"/>
    <n v="11200"/>
    <n v="4592"/>
    <n v="0.41"/>
    <x v="1"/>
  </r>
  <r>
    <x v="2"/>
    <n v="1197831"/>
    <x v="388"/>
    <x v="1"/>
    <s v="Texas"/>
    <s v="Dallas"/>
    <x v="2"/>
    <n v="30"/>
    <n v="215"/>
    <n v="6450"/>
    <n v="2515.4999999999995"/>
    <n v="0.38999999999999996"/>
    <x v="1"/>
  </r>
  <r>
    <x v="2"/>
    <n v="1197831"/>
    <x v="389"/>
    <x v="1"/>
    <s v="Texas"/>
    <s v="Dallas"/>
    <x v="3"/>
    <n v="29"/>
    <n v="192"/>
    <n v="5568"/>
    <n v="2728.32"/>
    <n v="0.49"/>
    <x v="1"/>
  </r>
  <r>
    <x v="2"/>
    <n v="1197831"/>
    <x v="390"/>
    <x v="1"/>
    <s v="Texas"/>
    <s v="Dallas"/>
    <x v="4"/>
    <n v="40"/>
    <n v="150"/>
    <n v="6000"/>
    <n v="2220"/>
    <n v="0.37"/>
    <x v="1"/>
  </r>
  <r>
    <x v="2"/>
    <n v="1197831"/>
    <x v="391"/>
    <x v="1"/>
    <s v="Texas"/>
    <s v="Dallas"/>
    <x v="5"/>
    <n v="42"/>
    <n v="280"/>
    <n v="11760"/>
    <n v="6468.0000000000009"/>
    <n v="0.55000000000000004"/>
    <x v="1"/>
  </r>
  <r>
    <x v="2"/>
    <n v="1197831"/>
    <x v="392"/>
    <x v="1"/>
    <s v="Texas"/>
    <s v="Dallas"/>
    <x v="0"/>
    <n v="34"/>
    <n v="256"/>
    <n v="8704"/>
    <n v="3655.68"/>
    <n v="0.42"/>
    <x v="1"/>
  </r>
  <r>
    <x v="2"/>
    <n v="1197831"/>
    <x v="393"/>
    <x v="1"/>
    <s v="Texas"/>
    <s v="Dallas"/>
    <x v="1"/>
    <n v="34"/>
    <n v="264"/>
    <n v="8976"/>
    <n v="3769.92"/>
    <n v="0.42"/>
    <x v="1"/>
  </r>
  <r>
    <x v="2"/>
    <n v="1197831"/>
    <x v="394"/>
    <x v="1"/>
    <s v="Texas"/>
    <s v="Dallas"/>
    <x v="2"/>
    <n v="33"/>
    <n v="322"/>
    <n v="10626"/>
    <n v="4462.92"/>
    <n v="0.42"/>
    <x v="1"/>
  </r>
  <r>
    <x v="2"/>
    <n v="1197831"/>
    <x v="395"/>
    <x v="1"/>
    <s v="Texas"/>
    <s v="Dallas"/>
    <x v="3"/>
    <n v="32"/>
    <n v="201"/>
    <n v="6432"/>
    <n v="3537.6000000000004"/>
    <n v="0.55000000000000004"/>
    <x v="1"/>
  </r>
  <r>
    <x v="2"/>
    <n v="1197831"/>
    <x v="396"/>
    <x v="1"/>
    <s v="Texas"/>
    <s v="Dallas"/>
    <x v="4"/>
    <n v="39"/>
    <n v="184"/>
    <n v="7176"/>
    <n v="2726.88"/>
    <n v="0.38"/>
    <x v="1"/>
  </r>
  <r>
    <x v="2"/>
    <n v="1197831"/>
    <x v="397"/>
    <x v="1"/>
    <s v="Texas"/>
    <s v="Dallas"/>
    <x v="5"/>
    <n v="47"/>
    <n v="272"/>
    <n v="12784"/>
    <n v="7286.880000000001"/>
    <n v="0.57000000000000006"/>
    <x v="1"/>
  </r>
  <r>
    <x v="2"/>
    <n v="1197831"/>
    <x v="398"/>
    <x v="1"/>
    <s v="Texas"/>
    <s v="Dallas"/>
    <x v="0"/>
    <n v="34"/>
    <n v="248"/>
    <n v="8432"/>
    <n v="3625.7599999999993"/>
    <n v="0.42999999999999994"/>
    <x v="1"/>
  </r>
  <r>
    <x v="2"/>
    <n v="1197831"/>
    <x v="399"/>
    <x v="1"/>
    <s v="Texas"/>
    <s v="Dallas"/>
    <x v="1"/>
    <n v="43"/>
    <n v="256"/>
    <n v="11008"/>
    <n v="5063.6799999999994"/>
    <n v="0.45999999999999996"/>
    <x v="1"/>
  </r>
  <r>
    <x v="2"/>
    <n v="1197831"/>
    <x v="400"/>
    <x v="1"/>
    <s v="Texas"/>
    <s v="Dallas"/>
    <x v="2"/>
    <n v="35"/>
    <n v="332"/>
    <n v="11620"/>
    <n v="5461.4"/>
    <n v="0.47"/>
    <x v="1"/>
  </r>
  <r>
    <x v="2"/>
    <n v="1197831"/>
    <x v="401"/>
    <x v="1"/>
    <s v="Texas"/>
    <s v="Dallas"/>
    <x v="3"/>
    <n v="38"/>
    <n v="158"/>
    <n v="6004"/>
    <n v="3242.1600000000003"/>
    <n v="0.54"/>
    <x v="1"/>
  </r>
  <r>
    <x v="2"/>
    <n v="1197831"/>
    <x v="402"/>
    <x v="1"/>
    <s v="Texas"/>
    <s v="Dallas"/>
    <x v="4"/>
    <n v="43"/>
    <n v="158"/>
    <n v="6794"/>
    <n v="2785.54"/>
    <n v="0.41"/>
    <x v="1"/>
  </r>
  <r>
    <x v="2"/>
    <n v="1197831"/>
    <x v="403"/>
    <x v="1"/>
    <s v="Texas"/>
    <s v="Dallas"/>
    <x v="5"/>
    <n v="43"/>
    <n v="240"/>
    <n v="10320"/>
    <n v="6192.0000000000009"/>
    <n v="0.60000000000000009"/>
    <x v="1"/>
  </r>
  <r>
    <x v="2"/>
    <n v="1197831"/>
    <x v="404"/>
    <x v="1"/>
    <s v="Texas"/>
    <s v="Dallas"/>
    <x v="0"/>
    <n v="38"/>
    <n v="232"/>
    <n v="8816"/>
    <n v="4055.3599999999997"/>
    <n v="0.45999999999999996"/>
    <x v="1"/>
  </r>
  <r>
    <x v="2"/>
    <n v="1197831"/>
    <x v="405"/>
    <x v="1"/>
    <s v="Texas"/>
    <s v="Dallas"/>
    <x v="1"/>
    <n v="38"/>
    <n v="203"/>
    <n v="7714"/>
    <n v="3625.58"/>
    <n v="0.47"/>
    <x v="1"/>
  </r>
  <r>
    <x v="2"/>
    <n v="1197831"/>
    <x v="406"/>
    <x v="1"/>
    <s v="Texas"/>
    <s v="Dallas"/>
    <x v="2"/>
    <n v="47"/>
    <n v="254"/>
    <n v="11938"/>
    <n v="5372.0999999999995"/>
    <n v="0.44999999999999996"/>
    <x v="1"/>
  </r>
  <r>
    <x v="2"/>
    <n v="1197831"/>
    <x v="407"/>
    <x v="1"/>
    <s v="Texas"/>
    <s v="Dallas"/>
    <x v="3"/>
    <n v="41"/>
    <n v="135"/>
    <n v="5535"/>
    <n v="3044.2500000000005"/>
    <n v="0.55000000000000004"/>
    <x v="1"/>
  </r>
  <r>
    <x v="2"/>
    <n v="1197831"/>
    <x v="408"/>
    <x v="1"/>
    <s v="Texas"/>
    <s v="Dallas"/>
    <x v="4"/>
    <n v="37"/>
    <n v="149"/>
    <n v="5513"/>
    <n v="2205.1999999999998"/>
    <n v="0.39999999999999997"/>
    <x v="1"/>
  </r>
  <r>
    <x v="2"/>
    <n v="1197831"/>
    <x v="409"/>
    <x v="1"/>
    <s v="Texas"/>
    <s v="Dallas"/>
    <x v="5"/>
    <n v="33"/>
    <n v="236"/>
    <n v="7788"/>
    <n v="4594.920000000001"/>
    <n v="0.59000000000000008"/>
    <x v="1"/>
  </r>
  <r>
    <x v="2"/>
    <n v="1197831"/>
    <x v="410"/>
    <x v="1"/>
    <s v="Texas"/>
    <s v="Dallas"/>
    <x v="0"/>
    <n v="30"/>
    <n v="213"/>
    <n v="6390"/>
    <n v="2811.5999999999995"/>
    <n v="0.43999999999999995"/>
    <x v="1"/>
  </r>
  <r>
    <x v="2"/>
    <n v="1197831"/>
    <x v="411"/>
    <x v="1"/>
    <s v="Texas"/>
    <s v="Dallas"/>
    <x v="1"/>
    <n v="29"/>
    <n v="219"/>
    <n v="6351"/>
    <n v="2984.97"/>
    <n v="0.47"/>
    <x v="1"/>
  </r>
  <r>
    <x v="2"/>
    <n v="1197831"/>
    <x v="412"/>
    <x v="1"/>
    <s v="Texas"/>
    <s v="Dallas"/>
    <x v="2"/>
    <n v="32"/>
    <n v="190"/>
    <n v="6080"/>
    <n v="2675.2"/>
    <n v="0.43999999999999995"/>
    <x v="1"/>
  </r>
  <r>
    <x v="2"/>
    <n v="1197831"/>
    <x v="413"/>
    <x v="1"/>
    <s v="Texas"/>
    <s v="Dallas"/>
    <x v="3"/>
    <n v="30"/>
    <n v="145"/>
    <n v="4350"/>
    <n v="2349"/>
    <n v="0.54"/>
    <x v="1"/>
  </r>
  <r>
    <x v="2"/>
    <n v="1197831"/>
    <x v="414"/>
    <x v="1"/>
    <s v="Texas"/>
    <s v="Dallas"/>
    <x v="4"/>
    <n v="30"/>
    <n v="128"/>
    <n v="3840"/>
    <n v="1535.9999999999998"/>
    <n v="0.39999999999999997"/>
    <x v="1"/>
  </r>
  <r>
    <x v="2"/>
    <n v="1197831"/>
    <x v="415"/>
    <x v="1"/>
    <s v="Texas"/>
    <s v="Dallas"/>
    <x v="5"/>
    <n v="39"/>
    <n v="190"/>
    <n v="7410"/>
    <n v="4297.8"/>
    <n v="0.58000000000000007"/>
    <x v="1"/>
  </r>
  <r>
    <x v="2"/>
    <n v="1197831"/>
    <x v="416"/>
    <x v="1"/>
    <s v="Texas"/>
    <s v="Dallas"/>
    <x v="0"/>
    <n v="31"/>
    <n v="225"/>
    <n v="6975"/>
    <n v="2999.2499999999995"/>
    <n v="0.42999999999999994"/>
    <x v="1"/>
  </r>
  <r>
    <x v="2"/>
    <n v="1197831"/>
    <x v="417"/>
    <x v="1"/>
    <s v="Texas"/>
    <s v="Dallas"/>
    <x v="1"/>
    <n v="27"/>
    <n v="218"/>
    <n v="5886"/>
    <n v="2648.7"/>
    <n v="0.44999999999999996"/>
    <x v="1"/>
  </r>
  <r>
    <x v="2"/>
    <n v="1197831"/>
    <x v="418"/>
    <x v="1"/>
    <s v="Texas"/>
    <s v="Dallas"/>
    <x v="2"/>
    <n v="51"/>
    <n v="228"/>
    <n v="11628"/>
    <n v="5116.32"/>
    <n v="0.43999999999999995"/>
    <x v="1"/>
  </r>
  <r>
    <x v="2"/>
    <n v="1197831"/>
    <x v="419"/>
    <x v="1"/>
    <s v="Texas"/>
    <s v="Dallas"/>
    <x v="3"/>
    <n v="50"/>
    <n v="160"/>
    <n v="8000"/>
    <n v="4160"/>
    <n v="0.52"/>
    <x v="1"/>
  </r>
  <r>
    <x v="2"/>
    <n v="1197831"/>
    <x v="420"/>
    <x v="1"/>
    <s v="Texas"/>
    <s v="Dallas"/>
    <x v="4"/>
    <n v="46"/>
    <n v="162"/>
    <n v="7452"/>
    <n v="2906.2799999999997"/>
    <n v="0.38999999999999996"/>
    <x v="1"/>
  </r>
  <r>
    <x v="2"/>
    <n v="1197831"/>
    <x v="421"/>
    <x v="1"/>
    <s v="Texas"/>
    <s v="Dallas"/>
    <x v="5"/>
    <n v="51"/>
    <n v="236"/>
    <n v="12036"/>
    <n v="7341.9600000000009"/>
    <n v="0.6100000000000001"/>
    <x v="1"/>
  </r>
  <r>
    <x v="2"/>
    <n v="1197831"/>
    <x v="422"/>
    <x v="1"/>
    <s v="Texas"/>
    <s v="Dallas"/>
    <x v="0"/>
    <n v="46"/>
    <n v="281"/>
    <n v="12926"/>
    <n v="6075.2199999999993"/>
    <n v="0.47"/>
    <x v="1"/>
  </r>
  <r>
    <x v="2"/>
    <n v="1197831"/>
    <x v="423"/>
    <x v="1"/>
    <s v="Texas"/>
    <s v="Dallas"/>
    <x v="1"/>
    <n v="39"/>
    <n v="248"/>
    <n v="9672"/>
    <n v="4062.24"/>
    <n v="0.42"/>
    <x v="1"/>
  </r>
  <r>
    <x v="2"/>
    <n v="1197831"/>
    <x v="424"/>
    <x v="1"/>
    <s v="Texas"/>
    <s v="Dallas"/>
    <x v="2"/>
    <n v="46"/>
    <n v="239"/>
    <n v="10994"/>
    <n v="4837.3599999999997"/>
    <n v="0.43999999999999995"/>
    <x v="1"/>
  </r>
  <r>
    <x v="2"/>
    <n v="1197831"/>
    <x v="425"/>
    <x v="1"/>
    <s v="Texas"/>
    <s v="Dallas"/>
    <x v="3"/>
    <n v="44"/>
    <n v="190"/>
    <n v="8360"/>
    <n v="4681.6000000000004"/>
    <n v="0.56000000000000005"/>
    <x v="1"/>
  </r>
  <r>
    <x v="2"/>
    <n v="1197831"/>
    <x v="426"/>
    <x v="1"/>
    <s v="Texas"/>
    <s v="Dallas"/>
    <x v="4"/>
    <n v="47"/>
    <n v="168"/>
    <n v="7896"/>
    <n v="2921.52"/>
    <n v="0.37"/>
    <x v="1"/>
  </r>
  <r>
    <x v="2"/>
    <n v="1197831"/>
    <x v="427"/>
    <x v="1"/>
    <s v="Texas"/>
    <s v="Dallas"/>
    <x v="5"/>
    <n v="54"/>
    <n v="256"/>
    <n v="13824"/>
    <n v="8294.4000000000015"/>
    <n v="0.60000000000000009"/>
    <x v="1"/>
  </r>
  <r>
    <x v="0"/>
    <n v="1185732"/>
    <x v="428"/>
    <x v="1"/>
    <s v="Texas"/>
    <s v="Dallas"/>
    <x v="0"/>
    <n v="34"/>
    <n v="128"/>
    <n v="4352"/>
    <n v="2698.2400000000007"/>
    <n v="0.62000000000000011"/>
    <x v="1"/>
  </r>
  <r>
    <x v="0"/>
    <n v="1185732"/>
    <x v="429"/>
    <x v="1"/>
    <s v="Texas"/>
    <s v="Dallas"/>
    <x v="1"/>
    <n v="34"/>
    <n v="68"/>
    <n v="2312"/>
    <n v="901.68"/>
    <n v="0.38999999999999996"/>
    <x v="1"/>
  </r>
  <r>
    <x v="0"/>
    <n v="1185732"/>
    <x v="430"/>
    <x v="1"/>
    <s v="Texas"/>
    <s v="Dallas"/>
    <x v="2"/>
    <n v="28"/>
    <n v="72"/>
    <n v="2016"/>
    <n v="846.71999999999991"/>
    <n v="0.42"/>
    <x v="1"/>
  </r>
  <r>
    <x v="0"/>
    <n v="1185732"/>
    <x v="431"/>
    <x v="1"/>
    <s v="Texas"/>
    <s v="Dallas"/>
    <x v="3"/>
    <n v="28"/>
    <n v="23"/>
    <n v="644"/>
    <n v="276.91999999999996"/>
    <n v="0.42999999999999994"/>
    <x v="1"/>
  </r>
  <r>
    <x v="0"/>
    <n v="1185732"/>
    <x v="432"/>
    <x v="0"/>
    <s v="Pennsylvania"/>
    <s v="Philadelphia"/>
    <x v="4"/>
    <n v="42"/>
    <n v="41"/>
    <n v="1722"/>
    <n v="706.02"/>
    <n v="0.41"/>
    <x v="1"/>
  </r>
  <r>
    <x v="0"/>
    <n v="1185732"/>
    <x v="433"/>
    <x v="0"/>
    <s v="Pennsylvania"/>
    <s v="Philadelphia"/>
    <x v="5"/>
    <n v="32"/>
    <n v="70"/>
    <n v="2240"/>
    <n v="761.59999999999991"/>
    <n v="0.33999999999999997"/>
    <x v="1"/>
  </r>
  <r>
    <x v="0"/>
    <n v="1185732"/>
    <x v="434"/>
    <x v="0"/>
    <s v="Pennsylvania"/>
    <s v="Philadelphia"/>
    <x v="0"/>
    <n v="32"/>
    <n v="166"/>
    <n v="5312"/>
    <n v="3187.2000000000003"/>
    <n v="0.60000000000000009"/>
    <x v="1"/>
  </r>
  <r>
    <x v="0"/>
    <n v="1185732"/>
    <x v="435"/>
    <x v="0"/>
    <s v="Pennsylvania"/>
    <s v="Philadelphia"/>
    <x v="1"/>
    <n v="32"/>
    <n v="44"/>
    <n v="1408"/>
    <n v="563.19999999999993"/>
    <n v="0.39999999999999997"/>
    <x v="1"/>
  </r>
  <r>
    <x v="0"/>
    <n v="1185732"/>
    <x v="436"/>
    <x v="0"/>
    <s v="Pennsylvania"/>
    <s v="Philadelphia"/>
    <x v="2"/>
    <n v="25"/>
    <n v="54"/>
    <n v="1350"/>
    <n v="607.49999999999989"/>
    <n v="0.44999999999999996"/>
    <x v="1"/>
  </r>
  <r>
    <x v="0"/>
    <n v="1185732"/>
    <x v="437"/>
    <x v="0"/>
    <s v="Pennsylvania"/>
    <s v="Philadelphia"/>
    <x v="3"/>
    <n v="28"/>
    <n v="17"/>
    <n v="476"/>
    <n v="199.92"/>
    <n v="0.42"/>
    <x v="1"/>
  </r>
  <r>
    <x v="0"/>
    <n v="1185732"/>
    <x v="438"/>
    <x v="0"/>
    <s v="Pennsylvania"/>
    <s v="Philadelphia"/>
    <x v="4"/>
    <n v="39"/>
    <n v="40"/>
    <n v="1560"/>
    <n v="577.20000000000005"/>
    <n v="0.37"/>
    <x v="1"/>
  </r>
  <r>
    <x v="0"/>
    <n v="1185732"/>
    <x v="439"/>
    <x v="0"/>
    <s v="Pennsylvania"/>
    <s v="Philadelphia"/>
    <x v="5"/>
    <n v="30"/>
    <n v="74"/>
    <n v="2220"/>
    <n v="777"/>
    <n v="0.35"/>
    <x v="1"/>
  </r>
  <r>
    <x v="0"/>
    <n v="1185732"/>
    <x v="440"/>
    <x v="0"/>
    <s v="Pennsylvania"/>
    <s v="Philadelphia"/>
    <x v="0"/>
    <n v="39"/>
    <n v="156"/>
    <n v="6084"/>
    <n v="3528.7200000000003"/>
    <n v="0.58000000000000007"/>
    <x v="1"/>
  </r>
  <r>
    <x v="0"/>
    <n v="1185732"/>
    <x v="441"/>
    <x v="0"/>
    <s v="Pennsylvania"/>
    <s v="Philadelphia"/>
    <x v="1"/>
    <n v="33"/>
    <n v="53"/>
    <n v="1749"/>
    <n v="647.13"/>
    <n v="0.37"/>
    <x v="1"/>
  </r>
  <r>
    <x v="0"/>
    <n v="1185732"/>
    <x v="442"/>
    <x v="0"/>
    <s v="Pennsylvania"/>
    <s v="Philadelphia"/>
    <x v="2"/>
    <n v="29"/>
    <n v="58"/>
    <n v="1682"/>
    <n v="756.9"/>
    <n v="0.44999999999999996"/>
    <x v="1"/>
  </r>
  <r>
    <x v="0"/>
    <n v="1185732"/>
    <x v="443"/>
    <x v="0"/>
    <s v="Pennsylvania"/>
    <s v="Philadelphia"/>
    <x v="3"/>
    <n v="32"/>
    <n v="8"/>
    <n v="256"/>
    <n v="112.63999999999999"/>
    <n v="0.43999999999999995"/>
    <x v="1"/>
  </r>
  <r>
    <x v="0"/>
    <n v="1185732"/>
    <x v="444"/>
    <x v="0"/>
    <s v="Pennsylvania"/>
    <s v="Philadelphia"/>
    <x v="4"/>
    <n v="41"/>
    <n v="24"/>
    <n v="984"/>
    <n v="334.55999999999995"/>
    <n v="0.33999999999999997"/>
    <x v="1"/>
  </r>
  <r>
    <x v="0"/>
    <n v="1185732"/>
    <x v="445"/>
    <x v="0"/>
    <s v="Pennsylvania"/>
    <s v="Philadelphia"/>
    <x v="5"/>
    <n v="38"/>
    <n v="61"/>
    <n v="2318"/>
    <n v="718.58"/>
    <n v="0.31"/>
    <x v="1"/>
  </r>
  <r>
    <x v="0"/>
    <n v="1185732"/>
    <x v="446"/>
    <x v="0"/>
    <s v="Pennsylvania"/>
    <s v="Philadelphia"/>
    <x v="0"/>
    <n v="35"/>
    <n v="140"/>
    <n v="4900"/>
    <n v="2793.0000000000005"/>
    <n v="0.57000000000000006"/>
    <x v="1"/>
  </r>
  <r>
    <x v="0"/>
    <n v="1185732"/>
    <x v="447"/>
    <x v="0"/>
    <s v="Pennsylvania"/>
    <s v="Philadelphia"/>
    <x v="1"/>
    <n v="37"/>
    <n v="51"/>
    <n v="1887"/>
    <n v="603.84"/>
    <n v="0.32"/>
    <x v="1"/>
  </r>
  <r>
    <x v="0"/>
    <n v="1185732"/>
    <x v="448"/>
    <x v="0"/>
    <s v="Pennsylvania"/>
    <s v="Philadelphia"/>
    <x v="2"/>
    <n v="27"/>
    <n v="51"/>
    <n v="1377"/>
    <n v="578.34"/>
    <n v="0.42"/>
    <x v="1"/>
  </r>
  <r>
    <x v="0"/>
    <n v="1185732"/>
    <x v="449"/>
    <x v="0"/>
    <s v="Pennsylvania"/>
    <s v="Philadelphia"/>
    <x v="3"/>
    <n v="36"/>
    <n v="24"/>
    <n v="864"/>
    <n v="328.32"/>
    <n v="0.38"/>
    <x v="1"/>
  </r>
  <r>
    <x v="0"/>
    <n v="1185732"/>
    <x v="450"/>
    <x v="0"/>
    <s v="Pennsylvania"/>
    <s v="Philadelphia"/>
    <x v="4"/>
    <n v="45"/>
    <n v="26"/>
    <n v="1170"/>
    <n v="432.9"/>
    <n v="0.37"/>
    <x v="1"/>
  </r>
  <r>
    <x v="0"/>
    <n v="1185732"/>
    <x v="451"/>
    <x v="0"/>
    <s v="Pennsylvania"/>
    <s v="Philadelphia"/>
    <x v="5"/>
    <n v="39"/>
    <n v="64"/>
    <n v="2496"/>
    <n v="673.92000000000007"/>
    <n v="0.27"/>
    <x v="1"/>
  </r>
  <r>
    <x v="0"/>
    <n v="1185732"/>
    <x v="452"/>
    <x v="0"/>
    <s v="Pennsylvania"/>
    <s v="Philadelphia"/>
    <x v="0"/>
    <n v="44"/>
    <n v="150"/>
    <n v="6600"/>
    <n v="3432"/>
    <n v="0.52"/>
    <x v="1"/>
  </r>
  <r>
    <x v="0"/>
    <n v="1185732"/>
    <x v="453"/>
    <x v="0"/>
    <s v="Pennsylvania"/>
    <s v="Philadelphia"/>
    <x v="1"/>
    <n v="40"/>
    <n v="54"/>
    <n v="2160"/>
    <n v="712.8"/>
    <n v="0.32999999999999996"/>
    <x v="1"/>
  </r>
  <r>
    <x v="0"/>
    <n v="1185732"/>
    <x v="454"/>
    <x v="0"/>
    <s v="Pennsylvania"/>
    <s v="Philadelphia"/>
    <x v="2"/>
    <n v="38"/>
    <n v="53"/>
    <n v="2014"/>
    <n v="745.18"/>
    <n v="0.37"/>
    <x v="1"/>
  </r>
  <r>
    <x v="0"/>
    <n v="1185732"/>
    <x v="455"/>
    <x v="0"/>
    <s v="Pennsylvania"/>
    <s v="Philadelphia"/>
    <x v="3"/>
    <n v="42"/>
    <n v="34"/>
    <n v="1428"/>
    <n v="571.19999999999993"/>
    <n v="0.39999999999999997"/>
    <x v="1"/>
  </r>
  <r>
    <x v="0"/>
    <n v="1185732"/>
    <x v="456"/>
    <x v="0"/>
    <s v="Pennsylvania"/>
    <s v="Philadelphia"/>
    <x v="4"/>
    <n v="51"/>
    <n v="39"/>
    <n v="1989"/>
    <n v="735.93"/>
    <n v="0.37"/>
    <x v="1"/>
  </r>
  <r>
    <x v="0"/>
    <n v="1185732"/>
    <x v="457"/>
    <x v="0"/>
    <s v="Pennsylvania"/>
    <s v="Philadelphia"/>
    <x v="5"/>
    <n v="51"/>
    <n v="78"/>
    <n v="3978"/>
    <n v="1471.86"/>
    <n v="0.37"/>
    <x v="1"/>
  </r>
  <r>
    <x v="0"/>
    <n v="1185732"/>
    <x v="458"/>
    <x v="0"/>
    <s v="Pennsylvania"/>
    <s v="Philadelphia"/>
    <x v="0"/>
    <n v="49"/>
    <n v="170"/>
    <n v="8330"/>
    <n v="4748.1000000000004"/>
    <n v="0.57000000000000006"/>
    <x v="1"/>
  </r>
  <r>
    <x v="0"/>
    <n v="1185732"/>
    <x v="459"/>
    <x v="0"/>
    <s v="Pennsylvania"/>
    <s v="Philadelphia"/>
    <x v="1"/>
    <n v="41"/>
    <n v="85"/>
    <n v="3485"/>
    <n v="1359.1499999999999"/>
    <n v="0.38999999999999996"/>
    <x v="1"/>
  </r>
  <r>
    <x v="0"/>
    <n v="1185732"/>
    <x v="460"/>
    <x v="0"/>
    <s v="Pennsylvania"/>
    <s v="Philadelphia"/>
    <x v="2"/>
    <n v="42"/>
    <n v="54"/>
    <n v="2268"/>
    <n v="975.2399999999999"/>
    <n v="0.42999999999999994"/>
    <x v="1"/>
  </r>
  <r>
    <x v="0"/>
    <n v="1185732"/>
    <x v="461"/>
    <x v="0"/>
    <s v="Pennsylvania"/>
    <s v="Philadelphia"/>
    <x v="3"/>
    <n v="43"/>
    <n v="53"/>
    <n v="2279"/>
    <n v="1071.1299999999999"/>
    <n v="0.47"/>
    <x v="1"/>
  </r>
  <r>
    <x v="0"/>
    <n v="1185732"/>
    <x v="462"/>
    <x v="0"/>
    <s v="Pennsylvania"/>
    <s v="Philadelphia"/>
    <x v="4"/>
    <n v="43"/>
    <n v="48"/>
    <n v="2064"/>
    <n v="866.88"/>
    <n v="0.42"/>
    <x v="1"/>
  </r>
  <r>
    <x v="0"/>
    <n v="1185732"/>
    <x v="463"/>
    <x v="0"/>
    <s v="Pennsylvania"/>
    <s v="Philadelphia"/>
    <x v="5"/>
    <n v="52"/>
    <n v="105"/>
    <n v="5460"/>
    <n v="1910.9999999999998"/>
    <n v="0.35"/>
    <x v="1"/>
  </r>
  <r>
    <x v="0"/>
    <n v="1185732"/>
    <x v="464"/>
    <x v="0"/>
    <s v="Pennsylvania"/>
    <s v="Philadelphia"/>
    <x v="0"/>
    <n v="49"/>
    <n v="175"/>
    <n v="8575"/>
    <n v="4887.7500000000009"/>
    <n v="0.57000000000000006"/>
    <x v="1"/>
  </r>
  <r>
    <x v="0"/>
    <n v="1185732"/>
    <x v="465"/>
    <x v="0"/>
    <s v="Pennsylvania"/>
    <s v="Philadelphia"/>
    <x v="1"/>
    <n v="45"/>
    <n v="99"/>
    <n v="4455"/>
    <n v="1737.4499999999998"/>
    <n v="0.38999999999999996"/>
    <x v="1"/>
  </r>
  <r>
    <x v="0"/>
    <n v="1185732"/>
    <x v="466"/>
    <x v="0"/>
    <s v="Pennsylvania"/>
    <s v="Philadelphia"/>
    <x v="2"/>
    <n v="43"/>
    <n v="72"/>
    <n v="3096"/>
    <n v="1331.2799999999997"/>
    <n v="0.42999999999999994"/>
    <x v="1"/>
  </r>
  <r>
    <x v="0"/>
    <n v="1185732"/>
    <x v="467"/>
    <x v="0"/>
    <s v="Pennsylvania"/>
    <s v="Philadelphia"/>
    <x v="3"/>
    <n v="39"/>
    <n v="56"/>
    <n v="2184"/>
    <n v="1026.48"/>
    <n v="0.47"/>
    <x v="1"/>
  </r>
  <r>
    <x v="0"/>
    <n v="1185732"/>
    <x v="468"/>
    <x v="0"/>
    <s v="Pennsylvania"/>
    <s v="Philadelphia"/>
    <x v="4"/>
    <n v="50"/>
    <n v="64"/>
    <n v="3200"/>
    <n v="1280"/>
    <n v="0.39999999999999997"/>
    <x v="1"/>
  </r>
  <r>
    <x v="0"/>
    <n v="1185732"/>
    <x v="469"/>
    <x v="0"/>
    <s v="Pennsylvania"/>
    <s v="Philadelphia"/>
    <x v="5"/>
    <n v="50"/>
    <n v="116"/>
    <n v="5800"/>
    <n v="2088"/>
    <n v="0.36"/>
    <x v="1"/>
  </r>
  <r>
    <x v="0"/>
    <n v="1185732"/>
    <x v="470"/>
    <x v="0"/>
    <s v="Pennsylvania"/>
    <s v="Philadelphia"/>
    <x v="0"/>
    <n v="51"/>
    <n v="179"/>
    <n v="9129"/>
    <n v="5294.8200000000006"/>
    <n v="0.58000000000000007"/>
    <x v="1"/>
  </r>
  <r>
    <x v="0"/>
    <n v="1185732"/>
    <x v="471"/>
    <x v="0"/>
    <s v="Pennsylvania"/>
    <s v="Philadelphia"/>
    <x v="1"/>
    <n v="44"/>
    <n v="102"/>
    <n v="4488"/>
    <n v="1884.96"/>
    <n v="0.42"/>
    <x v="1"/>
  </r>
  <r>
    <x v="0"/>
    <n v="1185732"/>
    <x v="472"/>
    <x v="0"/>
    <s v="Pennsylvania"/>
    <s v="Philadelphia"/>
    <x v="2"/>
    <n v="38"/>
    <n v="79"/>
    <n v="3002"/>
    <n v="1410.9399999999998"/>
    <n v="0.47"/>
    <x v="1"/>
  </r>
  <r>
    <x v="0"/>
    <n v="1185732"/>
    <x v="473"/>
    <x v="0"/>
    <s v="Pennsylvania"/>
    <s v="Philadelphia"/>
    <x v="3"/>
    <n v="43"/>
    <n v="62"/>
    <n v="2666"/>
    <n v="1226.3599999999999"/>
    <n v="0.45999999999999996"/>
    <x v="1"/>
  </r>
  <r>
    <x v="0"/>
    <n v="1185732"/>
    <x v="474"/>
    <x v="0"/>
    <s v="Pennsylvania"/>
    <s v="Philadelphia"/>
    <x v="4"/>
    <n v="46"/>
    <n v="54"/>
    <n v="2484"/>
    <n v="968.75999999999988"/>
    <n v="0.38999999999999996"/>
    <x v="1"/>
  </r>
  <r>
    <x v="0"/>
    <n v="1185732"/>
    <x v="475"/>
    <x v="0"/>
    <s v="Pennsylvania"/>
    <s v="Philadelphia"/>
    <x v="5"/>
    <n v="49"/>
    <n v="123"/>
    <n v="6027"/>
    <n v="2169.7199999999998"/>
    <n v="0.36"/>
    <x v="1"/>
  </r>
  <r>
    <x v="0"/>
    <n v="1185732"/>
    <x v="476"/>
    <x v="0"/>
    <s v="Pennsylvania"/>
    <s v="Philadelphia"/>
    <x v="0"/>
    <n v="46"/>
    <n v="162"/>
    <n v="7452"/>
    <n v="3875.04"/>
    <n v="0.52"/>
    <x v="1"/>
  </r>
  <r>
    <x v="0"/>
    <n v="1185732"/>
    <x v="477"/>
    <x v="0"/>
    <s v="Pennsylvania"/>
    <s v="Philadelphia"/>
    <x v="1"/>
    <n v="40"/>
    <n v="91"/>
    <n v="3640"/>
    <n v="1237.5999999999999"/>
    <n v="0.33999999999999997"/>
    <x v="1"/>
  </r>
  <r>
    <x v="0"/>
    <n v="1185732"/>
    <x v="478"/>
    <x v="0"/>
    <s v="Pennsylvania"/>
    <s v="Philadelphia"/>
    <x v="2"/>
    <n v="32"/>
    <n v="60"/>
    <n v="1920"/>
    <n v="767.99999999999989"/>
    <n v="0.39999999999999997"/>
    <x v="1"/>
  </r>
  <r>
    <x v="0"/>
    <n v="1185732"/>
    <x v="479"/>
    <x v="0"/>
    <s v="Pennsylvania"/>
    <s v="Philadelphia"/>
    <x v="3"/>
    <n v="32"/>
    <n v="53"/>
    <n v="1696"/>
    <n v="695.36"/>
    <n v="0.41"/>
    <x v="1"/>
  </r>
  <r>
    <x v="0"/>
    <n v="1185732"/>
    <x v="480"/>
    <x v="0"/>
    <s v="Pennsylvania"/>
    <s v="Philadelphia"/>
    <x v="4"/>
    <n v="36"/>
    <n v="41"/>
    <n v="1476"/>
    <n v="501.84"/>
    <n v="0.33999999999999997"/>
    <x v="1"/>
  </r>
  <r>
    <x v="0"/>
    <n v="1185732"/>
    <x v="481"/>
    <x v="0"/>
    <s v="Pennsylvania"/>
    <s v="Philadelphia"/>
    <x v="5"/>
    <n v="48"/>
    <n v="79"/>
    <n v="3792"/>
    <n v="1175.52"/>
    <n v="0.31"/>
    <x v="1"/>
  </r>
  <r>
    <x v="0"/>
    <n v="1185732"/>
    <x v="482"/>
    <x v="0"/>
    <s v="Pennsylvania"/>
    <s v="Philadelphia"/>
    <x v="0"/>
    <n v="47"/>
    <n v="124"/>
    <n v="5828"/>
    <n v="3088.84"/>
    <n v="0.53"/>
    <x v="1"/>
  </r>
  <r>
    <x v="0"/>
    <n v="1185732"/>
    <x v="483"/>
    <x v="0"/>
    <s v="Pennsylvania"/>
    <s v="Philadelphia"/>
    <x v="1"/>
    <n v="35"/>
    <n v="68"/>
    <n v="2380"/>
    <n v="761.6"/>
    <n v="0.32"/>
    <x v="1"/>
  </r>
  <r>
    <x v="0"/>
    <n v="1185732"/>
    <x v="484"/>
    <x v="0"/>
    <s v="Pennsylvania"/>
    <s v="Philadelphia"/>
    <x v="2"/>
    <n v="38"/>
    <n v="38"/>
    <n v="1444"/>
    <n v="548.72"/>
    <n v="0.38"/>
    <x v="1"/>
  </r>
  <r>
    <x v="0"/>
    <n v="1185732"/>
    <x v="485"/>
    <x v="0"/>
    <s v="Pennsylvania"/>
    <s v="Philadelphia"/>
    <x v="3"/>
    <n v="40"/>
    <n v="34"/>
    <n v="1360"/>
    <n v="516.79999999999995"/>
    <n v="0.38"/>
    <x v="1"/>
  </r>
  <r>
    <x v="0"/>
    <n v="1185732"/>
    <x v="486"/>
    <x v="0"/>
    <s v="Pennsylvania"/>
    <s v="Philadelphia"/>
    <x v="4"/>
    <n v="43"/>
    <n v="30"/>
    <n v="1290"/>
    <n v="425.69999999999993"/>
    <n v="0.32999999999999996"/>
    <x v="1"/>
  </r>
  <r>
    <x v="0"/>
    <n v="1185732"/>
    <x v="487"/>
    <x v="0"/>
    <s v="Pennsylvania"/>
    <s v="Philadelphia"/>
    <x v="5"/>
    <n v="42"/>
    <n v="74"/>
    <n v="3108"/>
    <n v="994.56000000000006"/>
    <n v="0.32"/>
    <x v="1"/>
  </r>
  <r>
    <x v="0"/>
    <n v="1185732"/>
    <x v="488"/>
    <x v="0"/>
    <s v="Pennsylvania"/>
    <s v="Philadelphia"/>
    <x v="0"/>
    <n v="48"/>
    <n v="124"/>
    <n v="5952"/>
    <n v="3571.2000000000007"/>
    <n v="0.60000000000000009"/>
    <x v="1"/>
  </r>
  <r>
    <x v="0"/>
    <n v="1185732"/>
    <x v="489"/>
    <x v="0"/>
    <s v="Pennsylvania"/>
    <s v="Philadelphia"/>
    <x v="1"/>
    <n v="43"/>
    <n v="68"/>
    <n v="2924"/>
    <n v="1228.08"/>
    <n v="0.42"/>
    <x v="1"/>
  </r>
  <r>
    <x v="0"/>
    <n v="1185732"/>
    <x v="490"/>
    <x v="0"/>
    <s v="Pennsylvania"/>
    <s v="Philadelphia"/>
    <x v="2"/>
    <n v="47"/>
    <n v="66"/>
    <n v="3102"/>
    <n v="1364.8799999999999"/>
    <n v="0.43999999999999995"/>
    <x v="1"/>
  </r>
  <r>
    <x v="0"/>
    <n v="1185732"/>
    <x v="491"/>
    <x v="0"/>
    <s v="Pennsylvania"/>
    <s v="Philadelphia"/>
    <x v="3"/>
    <n v="43"/>
    <n v="60"/>
    <n v="2580"/>
    <n v="1186.8"/>
    <n v="0.45999999999999996"/>
    <x v="1"/>
  </r>
  <r>
    <x v="0"/>
    <n v="1185732"/>
    <x v="492"/>
    <x v="0"/>
    <s v="Pennsylvania"/>
    <s v="Philadelphia"/>
    <x v="4"/>
    <n v="51"/>
    <n v="48"/>
    <n v="2448"/>
    <n v="954.71999999999991"/>
    <n v="0.38999999999999996"/>
    <x v="1"/>
  </r>
  <r>
    <x v="0"/>
    <n v="1185732"/>
    <x v="493"/>
    <x v="0"/>
    <s v="Pennsylvania"/>
    <s v="Philadelphia"/>
    <x v="5"/>
    <n v="53"/>
    <n v="75"/>
    <n v="3975"/>
    <n v="1431"/>
    <n v="0.36"/>
    <x v="1"/>
  </r>
  <r>
    <x v="0"/>
    <n v="1185732"/>
    <x v="494"/>
    <x v="0"/>
    <s v="Pennsylvania"/>
    <s v="Philadelphia"/>
    <x v="0"/>
    <n v="53"/>
    <n v="143"/>
    <n v="7579"/>
    <n v="4623.1900000000005"/>
    <n v="0.6100000000000001"/>
    <x v="1"/>
  </r>
  <r>
    <x v="0"/>
    <n v="1185732"/>
    <x v="495"/>
    <x v="0"/>
    <s v="Pennsylvania"/>
    <s v="Philadelphia"/>
    <x v="1"/>
    <n v="47"/>
    <n v="85"/>
    <n v="3995"/>
    <n v="1637.9499999999998"/>
    <n v="0.41"/>
    <x v="1"/>
  </r>
  <r>
    <x v="0"/>
    <n v="1185732"/>
    <x v="496"/>
    <x v="0"/>
    <s v="Pennsylvania"/>
    <s v="Philadelphia"/>
    <x v="2"/>
    <n v="44"/>
    <n v="79"/>
    <n v="3476"/>
    <n v="1529.4399999999998"/>
    <n v="0.43999999999999995"/>
    <x v="1"/>
  </r>
  <r>
    <x v="0"/>
    <n v="1185732"/>
    <x v="497"/>
    <x v="0"/>
    <s v="Pennsylvania"/>
    <s v="Philadelphia"/>
    <x v="3"/>
    <n v="40"/>
    <n v="53"/>
    <n v="2120"/>
    <n v="953.99999999999989"/>
    <n v="0.44999999999999996"/>
    <x v="1"/>
  </r>
  <r>
    <x v="0"/>
    <n v="1185732"/>
    <x v="498"/>
    <x v="0"/>
    <s v="Pennsylvania"/>
    <s v="Philadelphia"/>
    <x v="4"/>
    <n v="46"/>
    <n v="56"/>
    <n v="2576"/>
    <n v="1004.6399999999999"/>
    <n v="0.38999999999999996"/>
    <x v="1"/>
  </r>
  <r>
    <x v="0"/>
    <n v="1185732"/>
    <x v="0"/>
    <x v="0"/>
    <s v="Pennsylvania"/>
    <s v="Philadelphia"/>
    <x v="5"/>
    <n v="53"/>
    <n v="83"/>
    <n v="4399"/>
    <n v="1407.68"/>
    <n v="0.32"/>
    <x v="1"/>
  </r>
  <r>
    <x v="3"/>
    <n v="1128299"/>
    <x v="1"/>
    <x v="0"/>
    <s v="Pennsylvania"/>
    <s v="Philadelphia"/>
    <x v="0"/>
    <n v="27"/>
    <n v="158"/>
    <n v="4266"/>
    <n v="1791.7200000000003"/>
    <n v="0.42000000000000004"/>
    <x v="1"/>
  </r>
  <r>
    <x v="3"/>
    <n v="1128299"/>
    <x v="2"/>
    <x v="0"/>
    <s v="Pennsylvania"/>
    <s v="Philadelphia"/>
    <x v="1"/>
    <n v="35"/>
    <n v="135"/>
    <n v="4725"/>
    <n v="1464.75"/>
    <n v="0.31"/>
    <x v="1"/>
  </r>
  <r>
    <x v="3"/>
    <n v="1128299"/>
    <x v="3"/>
    <x v="0"/>
    <s v="Pennsylvania"/>
    <s v="Philadelphia"/>
    <x v="2"/>
    <n v="36"/>
    <n v="140"/>
    <n v="5040"/>
    <n v="2368.8000000000002"/>
    <n v="0.47000000000000003"/>
    <x v="1"/>
  </r>
  <r>
    <x v="3"/>
    <n v="1128299"/>
    <x v="4"/>
    <x v="0"/>
    <s v="Pennsylvania"/>
    <s v="Philadelphia"/>
    <x v="3"/>
    <n v="34"/>
    <n v="90"/>
    <n v="3060"/>
    <n v="1254.5999999999999"/>
    <n v="0.41"/>
    <x v="1"/>
  </r>
  <r>
    <x v="3"/>
    <n v="1128299"/>
    <x v="5"/>
    <x v="2"/>
    <s v="Nevada"/>
    <s v="Las Vegas"/>
    <x v="4"/>
    <n v="37"/>
    <n v="80"/>
    <n v="2960"/>
    <n v="1687.2000000000003"/>
    <n v="0.57000000000000006"/>
    <x v="1"/>
  </r>
  <r>
    <x v="3"/>
    <n v="1128299"/>
    <x v="6"/>
    <x v="2"/>
    <s v="Nevada"/>
    <s v="Las Vegas"/>
    <x v="5"/>
    <n v="36"/>
    <n v="166"/>
    <n v="5976"/>
    <n v="1434.24"/>
    <n v="0.24000000000000002"/>
    <x v="1"/>
  </r>
  <r>
    <x v="3"/>
    <n v="1128299"/>
    <x v="7"/>
    <x v="2"/>
    <s v="Nevada"/>
    <s v="Las Vegas"/>
    <x v="0"/>
    <n v="27"/>
    <n v="173"/>
    <n v="4671"/>
    <n v="2008.5300000000002"/>
    <n v="0.43000000000000005"/>
    <x v="1"/>
  </r>
  <r>
    <x v="3"/>
    <n v="1128299"/>
    <x v="499"/>
    <x v="2"/>
    <s v="Nevada"/>
    <s v="Las Vegas"/>
    <x v="1"/>
    <n v="35"/>
    <n v="145"/>
    <n v="5075"/>
    <n v="1573.25"/>
    <n v="0.31"/>
    <x v="1"/>
  </r>
  <r>
    <x v="3"/>
    <n v="1128299"/>
    <x v="500"/>
    <x v="2"/>
    <s v="Nevada"/>
    <s v="Las Vegas"/>
    <x v="2"/>
    <n v="31"/>
    <n v="140"/>
    <n v="4340"/>
    <n v="1866.2000000000003"/>
    <n v="0.43000000000000005"/>
    <x v="1"/>
  </r>
  <r>
    <x v="3"/>
    <n v="1128299"/>
    <x v="501"/>
    <x v="2"/>
    <s v="Nevada"/>
    <s v="Las Vegas"/>
    <x v="3"/>
    <n v="30"/>
    <n v="85"/>
    <n v="2550"/>
    <n v="1045.5"/>
    <n v="0.41"/>
    <x v="1"/>
  </r>
  <r>
    <x v="3"/>
    <n v="1128299"/>
    <x v="502"/>
    <x v="2"/>
    <s v="Nevada"/>
    <s v="Las Vegas"/>
    <x v="4"/>
    <n v="37"/>
    <n v="70"/>
    <n v="2590"/>
    <n v="1579.9000000000003"/>
    <n v="0.6100000000000001"/>
    <x v="1"/>
  </r>
  <r>
    <x v="3"/>
    <n v="1128299"/>
    <x v="503"/>
    <x v="2"/>
    <s v="Nevada"/>
    <s v="Las Vegas"/>
    <x v="5"/>
    <n v="31"/>
    <n v="140"/>
    <n v="4340"/>
    <n v="998.2"/>
    <n v="0.23"/>
    <x v="1"/>
  </r>
  <r>
    <x v="3"/>
    <n v="1128299"/>
    <x v="504"/>
    <x v="2"/>
    <s v="Nevada"/>
    <s v="Las Vegas"/>
    <x v="0"/>
    <n v="31"/>
    <n v="182"/>
    <n v="5642"/>
    <n v="2538.9"/>
    <n v="0.45"/>
    <x v="1"/>
  </r>
  <r>
    <x v="3"/>
    <n v="1128299"/>
    <x v="505"/>
    <x v="2"/>
    <s v="Nevada"/>
    <s v="Las Vegas"/>
    <x v="1"/>
    <n v="42"/>
    <n v="124"/>
    <n v="5208"/>
    <n v="1666.56"/>
    <n v="0.32"/>
    <x v="1"/>
  </r>
  <r>
    <x v="3"/>
    <n v="1128299"/>
    <x v="506"/>
    <x v="2"/>
    <s v="Nevada"/>
    <s v="Las Vegas"/>
    <x v="2"/>
    <n v="43"/>
    <n v="128"/>
    <n v="5504"/>
    <n v="2586.88"/>
    <n v="0.47000000000000003"/>
    <x v="1"/>
  </r>
  <r>
    <x v="3"/>
    <n v="1128299"/>
    <x v="507"/>
    <x v="2"/>
    <s v="Nevada"/>
    <s v="Las Vegas"/>
    <x v="3"/>
    <n v="41"/>
    <n v="93"/>
    <n v="3813"/>
    <n v="1563.33"/>
    <n v="0.41"/>
    <x v="1"/>
  </r>
  <r>
    <x v="3"/>
    <n v="1128299"/>
    <x v="508"/>
    <x v="2"/>
    <s v="Nevada"/>
    <s v="Las Vegas"/>
    <x v="4"/>
    <n v="44"/>
    <n v="60"/>
    <n v="2640"/>
    <n v="1636.8000000000002"/>
    <n v="0.62000000000000011"/>
    <x v="1"/>
  </r>
  <r>
    <x v="3"/>
    <n v="1128299"/>
    <x v="509"/>
    <x v="2"/>
    <s v="Nevada"/>
    <s v="Las Vegas"/>
    <x v="5"/>
    <n v="39"/>
    <n v="124"/>
    <n v="4836"/>
    <n v="1257.3600000000001"/>
    <n v="0.26"/>
    <x v="1"/>
  </r>
  <r>
    <x v="3"/>
    <n v="1128299"/>
    <x v="510"/>
    <x v="2"/>
    <s v="Nevada"/>
    <s v="Las Vegas"/>
    <x v="0"/>
    <n v="41"/>
    <n v="171"/>
    <n v="7011"/>
    <n v="2944.6200000000003"/>
    <n v="0.42000000000000004"/>
    <x v="1"/>
  </r>
  <r>
    <x v="3"/>
    <n v="1128299"/>
    <x v="8"/>
    <x v="2"/>
    <s v="Nevada"/>
    <s v="Las Vegas"/>
    <x v="1"/>
    <n v="46"/>
    <n v="116"/>
    <n v="5336"/>
    <n v="1547.4399999999998"/>
    <n v="0.28999999999999998"/>
    <x v="1"/>
  </r>
  <r>
    <x v="3"/>
    <n v="1128299"/>
    <x v="9"/>
    <x v="2"/>
    <s v="Nevada"/>
    <s v="Las Vegas"/>
    <x v="2"/>
    <n v="47"/>
    <n v="120"/>
    <n v="5640"/>
    <n v="2538"/>
    <n v="0.45"/>
    <x v="1"/>
  </r>
  <r>
    <x v="3"/>
    <n v="1128299"/>
    <x v="10"/>
    <x v="2"/>
    <s v="Nevada"/>
    <s v="Las Vegas"/>
    <x v="3"/>
    <n v="40"/>
    <n v="90"/>
    <n v="3600"/>
    <n v="1476"/>
    <n v="0.41"/>
    <x v="1"/>
  </r>
  <r>
    <x v="3"/>
    <n v="1128299"/>
    <x v="11"/>
    <x v="2"/>
    <s v="Nevada"/>
    <s v="Las Vegas"/>
    <x v="4"/>
    <n v="47"/>
    <n v="62"/>
    <n v="2914"/>
    <n v="1777.5400000000002"/>
    <n v="0.6100000000000001"/>
    <x v="1"/>
  </r>
  <r>
    <x v="3"/>
    <n v="1128299"/>
    <x v="12"/>
    <x v="2"/>
    <s v="Nevada"/>
    <s v="Las Vegas"/>
    <x v="5"/>
    <n v="54"/>
    <n v="123"/>
    <n v="6642"/>
    <n v="1793.3400000000001"/>
    <n v="0.27"/>
    <x v="1"/>
  </r>
  <r>
    <x v="3"/>
    <n v="1128299"/>
    <x v="13"/>
    <x v="2"/>
    <s v="Nevada"/>
    <s v="Las Vegas"/>
    <x v="0"/>
    <n v="43"/>
    <n v="171"/>
    <n v="7353"/>
    <n v="3529.44"/>
    <n v="0.48"/>
    <x v="1"/>
  </r>
  <r>
    <x v="3"/>
    <n v="1128299"/>
    <x v="14"/>
    <x v="2"/>
    <s v="Nevada"/>
    <s v="Las Vegas"/>
    <x v="1"/>
    <n v="43"/>
    <n v="120"/>
    <n v="5160"/>
    <n v="1805.9999999999998"/>
    <n v="0.35"/>
    <x v="1"/>
  </r>
  <r>
    <x v="3"/>
    <n v="1128299"/>
    <x v="15"/>
    <x v="2"/>
    <s v="Nevada"/>
    <s v="Las Vegas"/>
    <x v="2"/>
    <n v="49"/>
    <n v="132"/>
    <n v="6468"/>
    <n v="3039.96"/>
    <n v="0.47000000000000003"/>
    <x v="1"/>
  </r>
  <r>
    <x v="3"/>
    <n v="1128299"/>
    <x v="16"/>
    <x v="2"/>
    <s v="Nevada"/>
    <s v="Las Vegas"/>
    <x v="3"/>
    <n v="47"/>
    <n v="105"/>
    <n v="4935"/>
    <n v="2270.1"/>
    <n v="0.45999999999999996"/>
    <x v="1"/>
  </r>
  <r>
    <x v="3"/>
    <n v="1128299"/>
    <x v="17"/>
    <x v="2"/>
    <s v="Nevada"/>
    <s v="Las Vegas"/>
    <x v="4"/>
    <n v="43"/>
    <n v="66"/>
    <n v="2838"/>
    <n v="1873.0800000000004"/>
    <n v="0.66000000000000014"/>
    <x v="1"/>
  </r>
  <r>
    <x v="3"/>
    <n v="1128299"/>
    <x v="18"/>
    <x v="2"/>
    <s v="Nevada"/>
    <s v="Las Vegas"/>
    <x v="5"/>
    <n v="54"/>
    <n v="140"/>
    <n v="7560"/>
    <n v="2419.2000000000003"/>
    <n v="0.32"/>
    <x v="1"/>
  </r>
  <r>
    <x v="3"/>
    <n v="1128299"/>
    <x v="19"/>
    <x v="2"/>
    <s v="Nevada"/>
    <s v="Las Vegas"/>
    <x v="0"/>
    <n v="47"/>
    <n v="245"/>
    <n v="11515"/>
    <n v="5757.5"/>
    <n v="0.5"/>
    <x v="1"/>
  </r>
  <r>
    <x v="3"/>
    <n v="1128299"/>
    <x v="20"/>
    <x v="2"/>
    <s v="Nevada"/>
    <s v="Las Vegas"/>
    <x v="1"/>
    <n v="51"/>
    <n v="182"/>
    <n v="9282"/>
    <n v="3341.52"/>
    <n v="0.36"/>
    <x v="1"/>
  </r>
  <r>
    <x v="3"/>
    <n v="1128299"/>
    <x v="21"/>
    <x v="2"/>
    <s v="Nevada"/>
    <s v="Las Vegas"/>
    <x v="2"/>
    <n v="46"/>
    <n v="176"/>
    <n v="8096"/>
    <n v="3886.08"/>
    <n v="0.48"/>
    <x v="1"/>
  </r>
  <r>
    <x v="3"/>
    <n v="1128299"/>
    <x v="22"/>
    <x v="2"/>
    <s v="Nevada"/>
    <s v="Las Vegas"/>
    <x v="3"/>
    <n v="47"/>
    <n v="145"/>
    <n v="6815"/>
    <n v="3066.7499999999995"/>
    <n v="0.44999999999999996"/>
    <x v="1"/>
  </r>
  <r>
    <x v="3"/>
    <n v="1128299"/>
    <x v="23"/>
    <x v="2"/>
    <s v="Nevada"/>
    <s v="Las Vegas"/>
    <x v="4"/>
    <n v="47"/>
    <n v="105"/>
    <n v="4935"/>
    <n v="3207.7500000000005"/>
    <n v="0.65000000000000013"/>
    <x v="1"/>
  </r>
  <r>
    <x v="3"/>
    <n v="1128299"/>
    <x v="24"/>
    <x v="2"/>
    <s v="Nevada"/>
    <s v="Las Vegas"/>
    <x v="5"/>
    <n v="57"/>
    <n v="192"/>
    <n v="10944"/>
    <n v="3064.32"/>
    <n v="0.28000000000000003"/>
    <x v="1"/>
  </r>
  <r>
    <x v="3"/>
    <n v="1128299"/>
    <x v="25"/>
    <x v="2"/>
    <s v="Nevada"/>
    <s v="Las Vegas"/>
    <x v="0"/>
    <n v="48"/>
    <n v="233"/>
    <n v="11184"/>
    <n v="4920.96"/>
    <n v="0.44"/>
    <x v="1"/>
  </r>
  <r>
    <x v="3"/>
    <n v="1128299"/>
    <x v="26"/>
    <x v="2"/>
    <s v="Nevada"/>
    <s v="Las Vegas"/>
    <x v="1"/>
    <n v="46"/>
    <n v="204"/>
    <n v="9384"/>
    <n v="2533.6800000000003"/>
    <n v="0.27"/>
    <x v="1"/>
  </r>
  <r>
    <x v="3"/>
    <n v="1128299"/>
    <x v="27"/>
    <x v="2"/>
    <s v="Nevada"/>
    <s v="Las Vegas"/>
    <x v="2"/>
    <n v="47"/>
    <n v="171"/>
    <n v="8037"/>
    <n v="3616.65"/>
    <n v="0.45"/>
    <x v="1"/>
  </r>
  <r>
    <x v="3"/>
    <n v="1128299"/>
    <x v="28"/>
    <x v="2"/>
    <s v="Nevada"/>
    <s v="Las Vegas"/>
    <x v="3"/>
    <n v="46"/>
    <n v="140"/>
    <n v="6440"/>
    <n v="2704.7999999999997"/>
    <n v="0.42"/>
    <x v="1"/>
  </r>
  <r>
    <x v="3"/>
    <n v="1128299"/>
    <x v="511"/>
    <x v="2"/>
    <s v="Nevada"/>
    <s v="Las Vegas"/>
    <x v="4"/>
    <n v="47"/>
    <n v="150"/>
    <n v="7050"/>
    <n v="4159.5000000000009"/>
    <n v="0.59000000000000008"/>
    <x v="1"/>
  </r>
  <r>
    <x v="3"/>
    <n v="1128299"/>
    <x v="512"/>
    <x v="2"/>
    <s v="Nevada"/>
    <s v="Las Vegas"/>
    <x v="5"/>
    <n v="61"/>
    <n v="170"/>
    <n v="10370"/>
    <n v="2799.9"/>
    <n v="0.27"/>
    <x v="1"/>
  </r>
  <r>
    <x v="3"/>
    <n v="1128299"/>
    <x v="513"/>
    <x v="2"/>
    <s v="Nevada"/>
    <s v="Las Vegas"/>
    <x v="0"/>
    <n v="44"/>
    <n v="238"/>
    <n v="10472"/>
    <n v="4817.12"/>
    <n v="0.46"/>
    <x v="1"/>
  </r>
  <r>
    <x v="3"/>
    <n v="1128299"/>
    <x v="514"/>
    <x v="2"/>
    <s v="Nevada"/>
    <s v="Las Vegas"/>
    <x v="1"/>
    <n v="56"/>
    <n v="208"/>
    <n v="11648"/>
    <n v="3377.9199999999996"/>
    <n v="0.28999999999999998"/>
    <x v="1"/>
  </r>
  <r>
    <x v="3"/>
    <n v="1128299"/>
    <x v="515"/>
    <x v="2"/>
    <s v="Nevada"/>
    <s v="Las Vegas"/>
    <x v="2"/>
    <n v="44"/>
    <n v="179"/>
    <n v="7876"/>
    <n v="3307.9200000000005"/>
    <n v="0.42000000000000004"/>
    <x v="1"/>
  </r>
  <r>
    <x v="3"/>
    <n v="1128299"/>
    <x v="516"/>
    <x v="2"/>
    <s v="Nevada"/>
    <s v="Las Vegas"/>
    <x v="3"/>
    <n v="42"/>
    <n v="152"/>
    <n v="6384"/>
    <n v="2681.2799999999997"/>
    <n v="0.42"/>
    <x v="1"/>
  </r>
  <r>
    <x v="3"/>
    <n v="1128299"/>
    <x v="517"/>
    <x v="2"/>
    <s v="Nevada"/>
    <s v="Las Vegas"/>
    <x v="4"/>
    <n v="50"/>
    <n v="152"/>
    <n v="7600"/>
    <n v="4484.0000000000009"/>
    <n v="0.59000000000000008"/>
    <x v="1"/>
  </r>
  <r>
    <x v="3"/>
    <n v="1128299"/>
    <x v="518"/>
    <x v="2"/>
    <s v="Nevada"/>
    <s v="Las Vegas"/>
    <x v="5"/>
    <n v="55"/>
    <n v="128"/>
    <n v="7040"/>
    <n v="1830.4"/>
    <n v="0.26"/>
    <x v="1"/>
  </r>
  <r>
    <x v="3"/>
    <n v="1128299"/>
    <x v="519"/>
    <x v="2"/>
    <s v="Nevada"/>
    <s v="Las Vegas"/>
    <x v="0"/>
    <n v="41"/>
    <n v="186"/>
    <n v="7626"/>
    <n v="2897.88"/>
    <n v="0.38"/>
    <x v="1"/>
  </r>
  <r>
    <x v="3"/>
    <n v="1128299"/>
    <x v="520"/>
    <x v="2"/>
    <s v="Nevada"/>
    <s v="Las Vegas"/>
    <x v="1"/>
    <n v="51"/>
    <n v="180"/>
    <n v="9180"/>
    <n v="2478.6000000000004"/>
    <n v="0.27"/>
    <x v="1"/>
  </r>
  <r>
    <x v="3"/>
    <n v="1128299"/>
    <x v="521"/>
    <x v="2"/>
    <s v="Nevada"/>
    <s v="Las Vegas"/>
    <x v="2"/>
    <n v="46"/>
    <n v="144"/>
    <n v="6624"/>
    <n v="2715.84"/>
    <n v="0.41000000000000003"/>
    <x v="1"/>
  </r>
  <r>
    <x v="3"/>
    <n v="1128299"/>
    <x v="522"/>
    <x v="2"/>
    <s v="Nevada"/>
    <s v="Las Vegas"/>
    <x v="3"/>
    <n v="43"/>
    <n v="124"/>
    <n v="5332"/>
    <n v="1866.1999999999998"/>
    <n v="0.35"/>
    <x v="1"/>
  </r>
  <r>
    <x v="3"/>
    <n v="1128299"/>
    <x v="523"/>
    <x v="2"/>
    <s v="Nevada"/>
    <s v="Las Vegas"/>
    <x v="4"/>
    <n v="53"/>
    <n v="128"/>
    <n v="6784"/>
    <n v="3595.5200000000009"/>
    <n v="0.53000000000000014"/>
    <x v="1"/>
  </r>
  <r>
    <x v="3"/>
    <n v="1128299"/>
    <x v="524"/>
    <x v="2"/>
    <s v="Nevada"/>
    <s v="Las Vegas"/>
    <x v="5"/>
    <n v="54"/>
    <n v="140"/>
    <n v="7560"/>
    <n v="1587.6000000000001"/>
    <n v="0.21000000000000002"/>
    <x v="1"/>
  </r>
  <r>
    <x v="3"/>
    <n v="1128299"/>
    <x v="525"/>
    <x v="2"/>
    <s v="Nevada"/>
    <s v="Las Vegas"/>
    <x v="0"/>
    <n v="47"/>
    <n v="171"/>
    <n v="8037"/>
    <n v="3214.8"/>
    <n v="0.4"/>
    <x v="1"/>
  </r>
  <r>
    <x v="3"/>
    <n v="1128299"/>
    <x v="526"/>
    <x v="2"/>
    <s v="Nevada"/>
    <s v="Las Vegas"/>
    <x v="1"/>
    <n v="50"/>
    <n v="193"/>
    <n v="9650"/>
    <n v="2412.5"/>
    <n v="0.25"/>
    <x v="1"/>
  </r>
  <r>
    <x v="3"/>
    <n v="1128299"/>
    <x v="527"/>
    <x v="2"/>
    <s v="Nevada"/>
    <s v="Las Vegas"/>
    <x v="2"/>
    <n v="47"/>
    <n v="113"/>
    <n v="5311"/>
    <n v="2230.6200000000003"/>
    <n v="0.42000000000000004"/>
    <x v="1"/>
  </r>
  <r>
    <x v="3"/>
    <n v="1128299"/>
    <x v="528"/>
    <x v="2"/>
    <s v="Nevada"/>
    <s v="Las Vegas"/>
    <x v="3"/>
    <n v="43"/>
    <n v="119"/>
    <n v="5117"/>
    <n v="1688.61"/>
    <n v="0.32999999999999996"/>
    <x v="1"/>
  </r>
  <r>
    <x v="3"/>
    <n v="1128299"/>
    <x v="529"/>
    <x v="2"/>
    <s v="Nevada"/>
    <s v="Las Vegas"/>
    <x v="4"/>
    <n v="48"/>
    <n v="107"/>
    <n v="5136"/>
    <n v="2773.440000000001"/>
    <n v="0.54000000000000015"/>
    <x v="1"/>
  </r>
  <r>
    <x v="3"/>
    <n v="1128299"/>
    <x v="530"/>
    <x v="2"/>
    <s v="Nevada"/>
    <s v="Las Vegas"/>
    <x v="5"/>
    <n v="53"/>
    <n v="120"/>
    <n v="6360"/>
    <n v="1399.2000000000003"/>
    <n v="0.22000000000000003"/>
    <x v="1"/>
  </r>
  <r>
    <x v="3"/>
    <n v="1128299"/>
    <x v="29"/>
    <x v="2"/>
    <s v="Nevada"/>
    <s v="Las Vegas"/>
    <x v="0"/>
    <n v="47"/>
    <n v="196"/>
    <n v="9212"/>
    <n v="3869.0400000000004"/>
    <n v="0.42000000000000004"/>
    <x v="1"/>
  </r>
  <r>
    <x v="3"/>
    <n v="1128299"/>
    <x v="30"/>
    <x v="2"/>
    <s v="Nevada"/>
    <s v="Las Vegas"/>
    <x v="1"/>
    <n v="52"/>
    <n v="201"/>
    <n v="10452"/>
    <n v="2613"/>
    <n v="0.25"/>
    <x v="1"/>
  </r>
  <r>
    <x v="3"/>
    <n v="1128299"/>
    <x v="31"/>
    <x v="2"/>
    <s v="Nevada"/>
    <s v="Las Vegas"/>
    <x v="2"/>
    <n v="44"/>
    <n v="140"/>
    <n v="6160"/>
    <n v="2587.2000000000003"/>
    <n v="0.42000000000000004"/>
    <x v="1"/>
  </r>
  <r>
    <x v="3"/>
    <n v="1128299"/>
    <x v="32"/>
    <x v="2"/>
    <s v="Nevada"/>
    <s v="Las Vegas"/>
    <x v="3"/>
    <n v="43"/>
    <n v="132"/>
    <n v="5676"/>
    <n v="1986.6"/>
    <n v="0.35"/>
    <x v="1"/>
  </r>
  <r>
    <x v="3"/>
    <n v="1128299"/>
    <x v="33"/>
    <x v="2"/>
    <s v="Nevada"/>
    <s v="Las Vegas"/>
    <x v="4"/>
    <n v="46"/>
    <n v="119"/>
    <n v="5474"/>
    <n v="2955.9600000000009"/>
    <n v="0.54000000000000015"/>
    <x v="1"/>
  </r>
  <r>
    <x v="3"/>
    <n v="1128299"/>
    <x v="34"/>
    <x v="2"/>
    <s v="Nevada"/>
    <s v="Las Vegas"/>
    <x v="5"/>
    <n v="51"/>
    <n v="162"/>
    <n v="8262"/>
    <n v="1735.0200000000002"/>
    <n v="0.21000000000000002"/>
    <x v="1"/>
  </r>
  <r>
    <x v="3"/>
    <n v="1128299"/>
    <x v="35"/>
    <x v="2"/>
    <s v="Nevada"/>
    <s v="Las Vegas"/>
    <x v="0"/>
    <n v="47"/>
    <n v="216"/>
    <n v="10152"/>
    <n v="3756.2400000000007"/>
    <n v="0.37000000000000005"/>
    <x v="1"/>
  </r>
  <r>
    <x v="3"/>
    <n v="1128299"/>
    <x v="36"/>
    <x v="2"/>
    <s v="Nevada"/>
    <s v="Las Vegas"/>
    <x v="1"/>
    <n v="50"/>
    <n v="209"/>
    <n v="10450"/>
    <n v="2612.5"/>
    <n v="0.25"/>
    <x v="1"/>
  </r>
  <r>
    <x v="3"/>
    <n v="1128299"/>
    <x v="37"/>
    <x v="2"/>
    <s v="Nevada"/>
    <s v="Las Vegas"/>
    <x v="2"/>
    <n v="47"/>
    <n v="166"/>
    <n v="7802"/>
    <n v="3276.84"/>
    <n v="0.42000000000000004"/>
    <x v="1"/>
  </r>
  <r>
    <x v="3"/>
    <n v="1128299"/>
    <x v="38"/>
    <x v="2"/>
    <s v="Nevada"/>
    <s v="Las Vegas"/>
    <x v="3"/>
    <n v="40"/>
    <n v="166"/>
    <n v="6640"/>
    <n v="2390.4"/>
    <n v="0.36"/>
    <x v="1"/>
  </r>
  <r>
    <x v="3"/>
    <n v="1128299"/>
    <x v="39"/>
    <x v="2"/>
    <s v="Nevada"/>
    <s v="Las Vegas"/>
    <x v="4"/>
    <n v="49"/>
    <n v="136"/>
    <n v="6664"/>
    <n v="3598.5600000000009"/>
    <n v="0.54000000000000015"/>
    <x v="1"/>
  </r>
  <r>
    <x v="3"/>
    <n v="1128299"/>
    <x v="40"/>
    <x v="2"/>
    <s v="Nevada"/>
    <s v="Las Vegas"/>
    <x v="5"/>
    <n v="56"/>
    <n v="170"/>
    <n v="9520"/>
    <n v="1713.6000000000001"/>
    <n v="0.18000000000000002"/>
    <x v="1"/>
  </r>
  <r>
    <x v="3"/>
    <n v="1128299"/>
    <x v="41"/>
    <x v="2"/>
    <s v="Nevada"/>
    <s v="Las Vegas"/>
    <x v="0"/>
    <n v="20"/>
    <n v="149"/>
    <n v="2980"/>
    <n v="1192"/>
    <n v="0.4"/>
    <x v="1"/>
  </r>
  <r>
    <x v="3"/>
    <n v="1128299"/>
    <x v="42"/>
    <x v="2"/>
    <s v="Nevada"/>
    <s v="Las Vegas"/>
    <x v="1"/>
    <n v="31"/>
    <n v="145"/>
    <n v="4495"/>
    <n v="1123.75"/>
    <n v="0.25"/>
    <x v="1"/>
  </r>
  <r>
    <x v="3"/>
    <n v="1128299"/>
    <x v="43"/>
    <x v="2"/>
    <s v="Nevada"/>
    <s v="Las Vegas"/>
    <x v="2"/>
    <n v="26"/>
    <n v="128"/>
    <n v="3328"/>
    <n v="1397.7600000000002"/>
    <n v="0.42000000000000004"/>
    <x v="1"/>
  </r>
  <r>
    <x v="3"/>
    <n v="1128299"/>
    <x v="44"/>
    <x v="2"/>
    <s v="Nevada"/>
    <s v="Las Vegas"/>
    <x v="3"/>
    <n v="26"/>
    <n v="96"/>
    <n v="2496"/>
    <n v="848.63999999999987"/>
    <n v="0.33999999999999997"/>
    <x v="1"/>
  </r>
  <r>
    <x v="2"/>
    <n v="1197831"/>
    <x v="219"/>
    <x v="1"/>
    <s v="Tennessee"/>
    <s v="Knoxville"/>
    <x v="4"/>
    <n v="30"/>
    <n v="123"/>
    <n v="3690"/>
    <n v="1254.5999999999999"/>
    <n v="0.33999999999999997"/>
    <x v="1"/>
  </r>
  <r>
    <x v="2"/>
    <n v="1197831"/>
    <x v="220"/>
    <x v="1"/>
    <s v="Tennessee"/>
    <s v="Knoxville"/>
    <x v="5"/>
    <n v="24"/>
    <n v="170"/>
    <n v="4080"/>
    <n v="2162.4"/>
    <n v="0.53"/>
    <x v="1"/>
  </r>
  <r>
    <x v="2"/>
    <n v="1197831"/>
    <x v="221"/>
    <x v="1"/>
    <s v="Tennessee"/>
    <s v="Knoxville"/>
    <x v="0"/>
    <n v="18"/>
    <n v="202"/>
    <n v="3636"/>
    <n v="1345.32"/>
    <n v="0.37"/>
    <x v="1"/>
  </r>
  <r>
    <x v="2"/>
    <n v="1197831"/>
    <x v="222"/>
    <x v="1"/>
    <s v="Tennessee"/>
    <s v="Knoxville"/>
    <x v="1"/>
    <n v="23"/>
    <n v="219"/>
    <n v="5037"/>
    <n v="1964.4299999999998"/>
    <n v="0.38999999999999996"/>
    <x v="1"/>
  </r>
  <r>
    <x v="2"/>
    <n v="1197831"/>
    <x v="223"/>
    <x v="1"/>
    <s v="Tennessee"/>
    <s v="Knoxville"/>
    <x v="2"/>
    <n v="23"/>
    <n v="140"/>
    <n v="3220"/>
    <n v="1255.8"/>
    <n v="0.38999999999999996"/>
    <x v="1"/>
  </r>
  <r>
    <x v="2"/>
    <n v="1197831"/>
    <x v="224"/>
    <x v="1"/>
    <s v="Tennessee"/>
    <s v="Knoxville"/>
    <x v="3"/>
    <n v="28"/>
    <n v="128"/>
    <n v="3584"/>
    <n v="1756.1599999999999"/>
    <n v="0.49"/>
    <x v="1"/>
  </r>
  <r>
    <x v="2"/>
    <n v="1197831"/>
    <x v="225"/>
    <x v="1"/>
    <s v="Tennessee"/>
    <s v="Knoxville"/>
    <x v="4"/>
    <n v="29"/>
    <n v="94"/>
    <n v="2726"/>
    <n v="872.32"/>
    <n v="0.32"/>
    <x v="1"/>
  </r>
  <r>
    <x v="2"/>
    <n v="1197831"/>
    <x v="226"/>
    <x v="1"/>
    <s v="Tennessee"/>
    <s v="Knoxville"/>
    <x v="5"/>
    <n v="28"/>
    <n v="143"/>
    <n v="4004"/>
    <n v="2242.2400000000002"/>
    <n v="0.56000000000000005"/>
    <x v="1"/>
  </r>
  <r>
    <x v="2"/>
    <n v="1197831"/>
    <x v="227"/>
    <x v="1"/>
    <s v="Tennessee"/>
    <s v="Knoxville"/>
    <x v="0"/>
    <n v="20"/>
    <n v="221"/>
    <n v="4420"/>
    <n v="1900.5999999999997"/>
    <n v="0.42999999999999994"/>
    <x v="1"/>
  </r>
  <r>
    <x v="2"/>
    <n v="1197831"/>
    <x v="228"/>
    <x v="1"/>
    <s v="Tennessee"/>
    <s v="Knoxville"/>
    <x v="1"/>
    <n v="31"/>
    <n v="195"/>
    <n v="6045"/>
    <n v="2841.1499999999996"/>
    <n v="0.47"/>
    <x v="1"/>
  </r>
  <r>
    <x v="2"/>
    <n v="1197831"/>
    <x v="711"/>
    <x v="1"/>
    <s v="Tennessee"/>
    <s v="Knoxville"/>
    <x v="2"/>
    <n v="22"/>
    <n v="166"/>
    <n v="3652"/>
    <n v="1570.3599999999997"/>
    <n v="0.42999999999999994"/>
    <x v="1"/>
  </r>
  <r>
    <x v="2"/>
    <n v="1197831"/>
    <x v="712"/>
    <x v="1"/>
    <s v="Tennessee"/>
    <s v="Knoxville"/>
    <x v="3"/>
    <n v="25"/>
    <n v="124"/>
    <n v="3100"/>
    <n v="1736.0000000000002"/>
    <n v="0.56000000000000005"/>
    <x v="1"/>
  </r>
  <r>
    <x v="2"/>
    <n v="1197831"/>
    <x v="713"/>
    <x v="1"/>
    <s v="Tennessee"/>
    <s v="Knoxville"/>
    <x v="4"/>
    <n v="27"/>
    <n v="88"/>
    <n v="2376"/>
    <n v="974.16"/>
    <n v="0.41"/>
    <x v="1"/>
  </r>
  <r>
    <x v="2"/>
    <n v="1197831"/>
    <x v="714"/>
    <x v="1"/>
    <s v="Tennessee"/>
    <s v="Knoxville"/>
    <x v="5"/>
    <n v="25"/>
    <n v="145"/>
    <n v="3625"/>
    <n v="2211.2500000000005"/>
    <n v="0.6100000000000001"/>
    <x v="1"/>
  </r>
  <r>
    <x v="2"/>
    <n v="1197831"/>
    <x v="715"/>
    <x v="1"/>
    <s v="Tennessee"/>
    <s v="Knoxville"/>
    <x v="0"/>
    <n v="13"/>
    <n v="203"/>
    <n v="2639"/>
    <n v="1187.55"/>
    <n v="0.44999999999999996"/>
    <x v="1"/>
  </r>
  <r>
    <x v="2"/>
    <n v="1197831"/>
    <x v="716"/>
    <x v="1"/>
    <s v="Tennessee"/>
    <s v="Knoxville"/>
    <x v="1"/>
    <n v="17"/>
    <n v="203"/>
    <n v="3451"/>
    <n v="1449.4199999999998"/>
    <n v="0.42"/>
    <x v="1"/>
  </r>
  <r>
    <x v="2"/>
    <n v="1197831"/>
    <x v="717"/>
    <x v="1"/>
    <s v="Tennessee"/>
    <s v="Knoxville"/>
    <x v="2"/>
    <n v="15"/>
    <n v="170"/>
    <n v="2550"/>
    <n v="1121.9999999999998"/>
    <n v="0.43999999999999995"/>
    <x v="1"/>
  </r>
  <r>
    <x v="2"/>
    <n v="1197831"/>
    <x v="718"/>
    <x v="1"/>
    <s v="Tennessee"/>
    <s v="Knoxville"/>
    <x v="3"/>
    <n v="20"/>
    <n v="128"/>
    <n v="2560"/>
    <n v="1433.6000000000001"/>
    <n v="0.56000000000000005"/>
    <x v="1"/>
  </r>
  <r>
    <x v="2"/>
    <n v="1197831"/>
    <x v="719"/>
    <x v="1"/>
    <s v="Tennessee"/>
    <s v="Knoxville"/>
    <x v="4"/>
    <n v="20"/>
    <n v="105"/>
    <n v="2100"/>
    <n v="798"/>
    <n v="0.38"/>
    <x v="1"/>
  </r>
  <r>
    <x v="2"/>
    <n v="1197831"/>
    <x v="720"/>
    <x v="1"/>
    <s v="Tennessee"/>
    <s v="Knoxville"/>
    <x v="5"/>
    <n v="18"/>
    <n v="196"/>
    <n v="3528"/>
    <n v="2152.0800000000004"/>
    <n v="0.6100000000000001"/>
    <x v="1"/>
  </r>
  <r>
    <x v="2"/>
    <n v="1197831"/>
    <x v="721"/>
    <x v="1"/>
    <s v="Tennessee"/>
    <s v="Knoxville"/>
    <x v="0"/>
    <n v="12"/>
    <n v="247"/>
    <n v="2964"/>
    <n v="1333.8"/>
    <n v="0.44999999999999996"/>
    <x v="1"/>
  </r>
  <r>
    <x v="2"/>
    <n v="1197831"/>
    <x v="722"/>
    <x v="1"/>
    <s v="Tennessee"/>
    <s v="Knoxville"/>
    <x v="1"/>
    <n v="20"/>
    <n v="240"/>
    <n v="4800"/>
    <n v="2111.9999999999995"/>
    <n v="0.43999999999999995"/>
    <x v="1"/>
  </r>
  <r>
    <x v="2"/>
    <n v="1197831"/>
    <x v="723"/>
    <x v="1"/>
    <s v="Tennessee"/>
    <s v="Knoxville"/>
    <x v="2"/>
    <n v="14"/>
    <n v="204"/>
    <n v="2856"/>
    <n v="1313.76"/>
    <n v="0.45999999999999996"/>
    <x v="1"/>
  </r>
  <r>
    <x v="2"/>
    <n v="1197831"/>
    <x v="229"/>
    <x v="1"/>
    <s v="Tennessee"/>
    <s v="Knoxville"/>
    <x v="3"/>
    <n v="20"/>
    <n v="179"/>
    <n v="3580"/>
    <n v="1933.2"/>
    <n v="0.54"/>
    <x v="1"/>
  </r>
  <r>
    <x v="2"/>
    <n v="1197831"/>
    <x v="230"/>
    <x v="1"/>
    <s v="Tennessee"/>
    <s v="Knoxville"/>
    <x v="4"/>
    <n v="33"/>
    <n v="132"/>
    <n v="4356"/>
    <n v="1785.9599999999998"/>
    <n v="0.41"/>
    <x v="1"/>
  </r>
  <r>
    <x v="2"/>
    <n v="1197831"/>
    <x v="231"/>
    <x v="1"/>
    <s v="Tennessee"/>
    <s v="Knoxville"/>
    <x v="5"/>
    <n v="31"/>
    <n v="271"/>
    <n v="8401"/>
    <n v="4956.5900000000011"/>
    <n v="0.59000000000000008"/>
    <x v="1"/>
  </r>
  <r>
    <x v="2"/>
    <n v="1197831"/>
    <x v="232"/>
    <x v="1"/>
    <s v="Tennessee"/>
    <s v="Knoxville"/>
    <x v="0"/>
    <n v="28"/>
    <n v="256"/>
    <n v="7168"/>
    <n v="3368.96"/>
    <n v="0.47"/>
    <x v="1"/>
  </r>
  <r>
    <x v="2"/>
    <n v="1197831"/>
    <x v="233"/>
    <x v="1"/>
    <s v="Tennessee"/>
    <s v="Knoxville"/>
    <x v="1"/>
    <n v="32"/>
    <n v="240"/>
    <n v="7680"/>
    <n v="3609.6"/>
    <n v="0.47"/>
    <x v="1"/>
  </r>
  <r>
    <x v="2"/>
    <n v="1197831"/>
    <x v="234"/>
    <x v="1"/>
    <s v="Tennessee"/>
    <s v="Knoxville"/>
    <x v="2"/>
    <n v="26"/>
    <n v="202"/>
    <n v="5252"/>
    <n v="2310.8799999999997"/>
    <n v="0.43999999999999995"/>
    <x v="1"/>
  </r>
  <r>
    <x v="2"/>
    <n v="1197831"/>
    <x v="235"/>
    <x v="1"/>
    <s v="Tennessee"/>
    <s v="Knoxville"/>
    <x v="3"/>
    <n v="29"/>
    <n v="198"/>
    <n v="5742"/>
    <n v="3215.5200000000004"/>
    <n v="0.56000000000000005"/>
    <x v="1"/>
  </r>
  <r>
    <x v="2"/>
    <n v="1197831"/>
    <x v="236"/>
    <x v="1"/>
    <s v="Tennessee"/>
    <s v="Knoxville"/>
    <x v="4"/>
    <n v="30"/>
    <n v="150"/>
    <n v="4500"/>
    <n v="1754.9999999999998"/>
    <n v="0.38999999999999996"/>
    <x v="1"/>
  </r>
  <r>
    <x v="2"/>
    <n v="1197831"/>
    <x v="237"/>
    <x v="1"/>
    <s v="Tennessee"/>
    <s v="Knoxville"/>
    <x v="5"/>
    <n v="37"/>
    <n v="306"/>
    <n v="11322"/>
    <n v="6679.9800000000005"/>
    <n v="0.59000000000000008"/>
    <x v="1"/>
  </r>
  <r>
    <x v="2"/>
    <n v="1197831"/>
    <x v="238"/>
    <x v="1"/>
    <s v="Tennessee"/>
    <s v="Knoxville"/>
    <x v="0"/>
    <n v="29"/>
    <n v="272"/>
    <n v="7888"/>
    <n v="3943.9999999999995"/>
    <n v="0.49999999999999994"/>
    <x v="1"/>
  </r>
  <r>
    <x v="2"/>
    <n v="1197831"/>
    <x v="239"/>
    <x v="1"/>
    <s v="Tennessee"/>
    <s v="Knoxville"/>
    <x v="1"/>
    <n v="30"/>
    <n v="264"/>
    <n v="7920"/>
    <n v="3959.9999999999995"/>
    <n v="0.49999999999999994"/>
    <x v="1"/>
  </r>
  <r>
    <x v="2"/>
    <n v="1197831"/>
    <x v="240"/>
    <x v="1"/>
    <s v="Tennessee"/>
    <s v="Knoxville"/>
    <x v="2"/>
    <n v="30"/>
    <n v="322"/>
    <n v="9660"/>
    <n v="4829.9999999999991"/>
    <n v="0.49999999999999994"/>
    <x v="1"/>
  </r>
  <r>
    <x v="2"/>
    <n v="1197831"/>
    <x v="241"/>
    <x v="1"/>
    <s v="Tennessee"/>
    <s v="Knoxville"/>
    <x v="3"/>
    <n v="32"/>
    <n v="196"/>
    <n v="6272"/>
    <n v="3825.9200000000005"/>
    <n v="0.6100000000000001"/>
    <x v="1"/>
  </r>
  <r>
    <x v="2"/>
    <n v="1197831"/>
    <x v="242"/>
    <x v="1"/>
    <s v="Tennessee"/>
    <s v="Knoxville"/>
    <x v="4"/>
    <n v="33"/>
    <n v="182"/>
    <n v="6006"/>
    <n v="2702.7"/>
    <n v="0.44999999999999996"/>
    <x v="1"/>
  </r>
  <r>
    <x v="2"/>
    <n v="1197831"/>
    <x v="243"/>
    <x v="1"/>
    <s v="Tennessee"/>
    <s v="Knoxville"/>
    <x v="5"/>
    <n v="38"/>
    <n v="272"/>
    <n v="10336"/>
    <n v="6408.3200000000015"/>
    <n v="0.62000000000000011"/>
    <x v="1"/>
  </r>
  <r>
    <x v="2"/>
    <n v="1197831"/>
    <x v="244"/>
    <x v="1"/>
    <s v="Tennessee"/>
    <s v="Knoxville"/>
    <x v="0"/>
    <n v="29"/>
    <n v="233"/>
    <n v="6757"/>
    <n v="3446.07"/>
    <n v="0.51"/>
    <x v="1"/>
  </r>
  <r>
    <x v="2"/>
    <n v="1197831"/>
    <x v="245"/>
    <x v="1"/>
    <s v="Tennessee"/>
    <s v="Knoxville"/>
    <x v="1"/>
    <n v="44"/>
    <n v="271"/>
    <n v="11924"/>
    <n v="6081.24"/>
    <n v="0.51"/>
    <x v="1"/>
  </r>
  <r>
    <x v="2"/>
    <n v="1197831"/>
    <x v="246"/>
    <x v="1"/>
    <s v="Tennessee"/>
    <s v="Knoxville"/>
    <x v="2"/>
    <n v="39"/>
    <n v="314"/>
    <n v="12246"/>
    <n v="5755.62"/>
    <n v="0.47"/>
    <x v="1"/>
  </r>
  <r>
    <x v="2"/>
    <n v="1197831"/>
    <x v="247"/>
    <x v="1"/>
    <s v="Tennessee"/>
    <s v="Knoxville"/>
    <x v="3"/>
    <n v="32"/>
    <n v="162"/>
    <n v="5184"/>
    <n v="3058.5600000000004"/>
    <n v="0.59000000000000008"/>
    <x v="1"/>
  </r>
  <r>
    <x v="2"/>
    <n v="1197831"/>
    <x v="248"/>
    <x v="1"/>
    <s v="Tennessee"/>
    <s v="Knoxville"/>
    <x v="4"/>
    <n v="35"/>
    <n v="143"/>
    <n v="5005"/>
    <n v="2252.25"/>
    <n v="0.44999999999999996"/>
    <x v="1"/>
  </r>
  <r>
    <x v="2"/>
    <n v="1197831"/>
    <x v="249"/>
    <x v="1"/>
    <s v="Tennessee"/>
    <s v="Knoxville"/>
    <x v="5"/>
    <n v="40"/>
    <n v="232"/>
    <n v="9280"/>
    <n v="6217.6000000000013"/>
    <n v="0.67000000000000015"/>
    <x v="1"/>
  </r>
  <r>
    <x v="2"/>
    <n v="1197831"/>
    <x v="250"/>
    <x v="1"/>
    <s v="Tennessee"/>
    <s v="Knoxville"/>
    <x v="0"/>
    <n v="40"/>
    <n v="209"/>
    <n v="8360"/>
    <n v="4179.9999999999991"/>
    <n v="0.49999999999999994"/>
    <x v="1"/>
  </r>
  <r>
    <x v="2"/>
    <n v="1197831"/>
    <x v="251"/>
    <x v="1"/>
    <s v="Tennessee"/>
    <s v="Knoxville"/>
    <x v="1"/>
    <n v="33"/>
    <n v="213"/>
    <n v="7029"/>
    <n v="3303.6299999999997"/>
    <n v="0.47"/>
    <x v="1"/>
  </r>
  <r>
    <x v="2"/>
    <n v="1197831"/>
    <x v="252"/>
    <x v="1"/>
    <s v="Tennessee"/>
    <s v="Knoxville"/>
    <x v="2"/>
    <n v="40"/>
    <n v="203"/>
    <n v="8120"/>
    <n v="4141.2"/>
    <n v="0.51"/>
    <x v="1"/>
  </r>
  <r>
    <x v="2"/>
    <n v="1197831"/>
    <x v="253"/>
    <x v="1"/>
    <s v="Tennessee"/>
    <s v="Knoxville"/>
    <x v="3"/>
    <n v="40"/>
    <n v="136"/>
    <n v="5440"/>
    <n v="3100.8"/>
    <n v="0.57000000000000006"/>
    <x v="1"/>
  </r>
  <r>
    <x v="2"/>
    <n v="1197831"/>
    <x v="254"/>
    <x v="1"/>
    <s v="Tennessee"/>
    <s v="Knoxville"/>
    <x v="4"/>
    <n v="39"/>
    <n v="120"/>
    <n v="4680"/>
    <n v="2012.3999999999996"/>
    <n v="0.42999999999999994"/>
    <x v="1"/>
  </r>
  <r>
    <x v="2"/>
    <n v="1197831"/>
    <x v="255"/>
    <x v="1"/>
    <s v="Tennessee"/>
    <s v="Knoxville"/>
    <x v="5"/>
    <n v="30"/>
    <n v="219"/>
    <n v="6570"/>
    <n v="4073.4000000000005"/>
    <n v="0.62000000000000011"/>
    <x v="1"/>
  </r>
  <r>
    <x v="2"/>
    <n v="1197831"/>
    <x v="256"/>
    <x v="1"/>
    <s v="Tennessee"/>
    <s v="Knoxville"/>
    <x v="0"/>
    <n v="28"/>
    <n v="201"/>
    <n v="5628"/>
    <n v="2926.56"/>
    <n v="0.52"/>
    <x v="1"/>
  </r>
  <r>
    <x v="2"/>
    <n v="1197831"/>
    <x v="257"/>
    <x v="1"/>
    <s v="Tennessee"/>
    <s v="Knoxville"/>
    <x v="1"/>
    <n v="25"/>
    <n v="178"/>
    <n v="4450"/>
    <n v="2136"/>
    <n v="0.48"/>
    <x v="1"/>
  </r>
  <r>
    <x v="2"/>
    <n v="1197831"/>
    <x v="258"/>
    <x v="1"/>
    <s v="Tennessee"/>
    <s v="Knoxville"/>
    <x v="2"/>
    <n v="27"/>
    <n v="163"/>
    <n v="4401"/>
    <n v="2112.48"/>
    <n v="0.48"/>
    <x v="1"/>
  </r>
  <r>
    <x v="2"/>
    <n v="1197831"/>
    <x v="259"/>
    <x v="1"/>
    <s v="Tennessee"/>
    <s v="Knoxville"/>
    <x v="3"/>
    <n v="30"/>
    <n v="131"/>
    <n v="3930"/>
    <n v="2358.0000000000005"/>
    <n v="0.60000000000000009"/>
    <x v="1"/>
  </r>
  <r>
    <x v="2"/>
    <n v="1197831"/>
    <x v="260"/>
    <x v="1"/>
    <s v="Tennessee"/>
    <s v="Knoxville"/>
    <x v="4"/>
    <n v="28"/>
    <n v="109"/>
    <n v="3052"/>
    <n v="1342.8799999999999"/>
    <n v="0.43999999999999995"/>
    <x v="1"/>
  </r>
  <r>
    <x v="2"/>
    <n v="1197831"/>
    <x v="261"/>
    <x v="1"/>
    <s v="Tennessee"/>
    <s v="Knoxville"/>
    <x v="5"/>
    <n v="29"/>
    <n v="179"/>
    <n v="5191"/>
    <n v="3477.9700000000007"/>
    <n v="0.67000000000000015"/>
    <x v="1"/>
  </r>
  <r>
    <x v="2"/>
    <n v="1197831"/>
    <x v="262"/>
    <x v="1"/>
    <s v="Tennessee"/>
    <s v="Knoxville"/>
    <x v="0"/>
    <n v="24"/>
    <n v="203"/>
    <n v="4872"/>
    <n v="2338.56"/>
    <n v="0.48"/>
    <x v="1"/>
  </r>
  <r>
    <x v="2"/>
    <n v="1197831"/>
    <x v="263"/>
    <x v="1"/>
    <s v="Tennessee"/>
    <s v="Knoxville"/>
    <x v="1"/>
    <n v="21"/>
    <n v="223"/>
    <n v="4683"/>
    <n v="2294.6699999999996"/>
    <n v="0.48999999999999994"/>
    <x v="1"/>
  </r>
  <r>
    <x v="2"/>
    <n v="1197831"/>
    <x v="264"/>
    <x v="1"/>
    <s v="Tennessee"/>
    <s v="Knoxville"/>
    <x v="2"/>
    <n v="37"/>
    <n v="204"/>
    <n v="7548"/>
    <n v="3547.56"/>
    <n v="0.47"/>
    <x v="1"/>
  </r>
  <r>
    <x v="2"/>
    <n v="1197831"/>
    <x v="265"/>
    <x v="1"/>
    <s v="Tennessee"/>
    <s v="Knoxville"/>
    <x v="3"/>
    <n v="38"/>
    <n v="157"/>
    <n v="5966"/>
    <n v="3698.9200000000005"/>
    <n v="0.62000000000000011"/>
    <x v="1"/>
  </r>
  <r>
    <x v="2"/>
    <n v="1197831"/>
    <x v="266"/>
    <x v="1"/>
    <s v="Tennessee"/>
    <s v="Knoxville"/>
    <x v="4"/>
    <n v="43"/>
    <n v="140"/>
    <n v="6020"/>
    <n v="2769.2"/>
    <n v="0.45999999999999996"/>
    <x v="1"/>
  </r>
  <r>
    <x v="2"/>
    <n v="1197831"/>
    <x v="267"/>
    <x v="1"/>
    <s v="Tennessee"/>
    <s v="Knoxville"/>
    <x v="5"/>
    <n v="43"/>
    <n v="202"/>
    <n v="8686"/>
    <n v="5732.7600000000011"/>
    <n v="0.66000000000000014"/>
    <x v="1"/>
  </r>
  <r>
    <x v="2"/>
    <n v="1197831"/>
    <x v="268"/>
    <x v="1"/>
    <s v="Tennessee"/>
    <s v="Knoxville"/>
    <x v="0"/>
    <n v="39"/>
    <n v="248"/>
    <n v="9672"/>
    <n v="4642.5599999999995"/>
    <n v="0.48"/>
    <x v="1"/>
  </r>
  <r>
    <x v="2"/>
    <n v="1197831"/>
    <x v="269"/>
    <x v="1"/>
    <s v="Tennessee"/>
    <s v="Knoxville"/>
    <x v="1"/>
    <n v="37"/>
    <n v="264"/>
    <n v="9768"/>
    <n v="4786.32"/>
    <n v="0.48999999999999994"/>
    <x v="1"/>
  </r>
  <r>
    <x v="2"/>
    <n v="1197831"/>
    <x v="270"/>
    <x v="1"/>
    <s v="Tennessee"/>
    <s v="Knoxville"/>
    <x v="2"/>
    <n v="44"/>
    <n v="210"/>
    <n v="9240"/>
    <n v="4712.3999999999996"/>
    <n v="0.51"/>
    <x v="1"/>
  </r>
  <r>
    <x v="2"/>
    <n v="1197831"/>
    <x v="271"/>
    <x v="1"/>
    <s v="Tennessee"/>
    <s v="Knoxville"/>
    <x v="3"/>
    <n v="44"/>
    <n v="176"/>
    <n v="7744"/>
    <n v="4646.4000000000005"/>
    <n v="0.60000000000000009"/>
    <x v="1"/>
  </r>
  <r>
    <x v="2"/>
    <n v="1197831"/>
    <x v="272"/>
    <x v="1"/>
    <s v="Tennessee"/>
    <s v="Knoxville"/>
    <x v="4"/>
    <n v="38"/>
    <n v="160"/>
    <n v="6080"/>
    <n v="2857.6"/>
    <n v="0.47"/>
    <x v="1"/>
  </r>
  <r>
    <x v="2"/>
    <n v="1197831"/>
    <x v="273"/>
    <x v="1"/>
    <s v="Tennessee"/>
    <s v="Knoxville"/>
    <x v="5"/>
    <n v="49"/>
    <n v="225"/>
    <n v="11025"/>
    <n v="6945.7500000000009"/>
    <n v="0.63000000000000012"/>
    <x v="1"/>
  </r>
  <r>
    <x v="0"/>
    <n v="1185732"/>
    <x v="274"/>
    <x v="1"/>
    <s v="Tennessee"/>
    <s v="Knoxville"/>
    <x v="0"/>
    <n v="27"/>
    <n v="140"/>
    <n v="3780"/>
    <n v="1663.2"/>
    <n v="0.44"/>
    <x v="1"/>
  </r>
  <r>
    <x v="0"/>
    <n v="1185732"/>
    <x v="275"/>
    <x v="1"/>
    <s v="Tennessee"/>
    <s v="Knoxville"/>
    <x v="1"/>
    <n v="23"/>
    <n v="70"/>
    <n v="1610"/>
    <n v="660.09999999999991"/>
    <n v="0.41"/>
    <x v="1"/>
  </r>
  <r>
    <x v="0"/>
    <n v="1185732"/>
    <x v="276"/>
    <x v="1"/>
    <s v="Tennessee"/>
    <s v="Knoxville"/>
    <x v="2"/>
    <n v="19"/>
    <n v="74"/>
    <n v="1406"/>
    <n v="548.33999999999992"/>
    <n v="0.38999999999999996"/>
    <x v="1"/>
  </r>
  <r>
    <x v="0"/>
    <n v="1185732"/>
    <x v="277"/>
    <x v="1"/>
    <s v="Tennessee"/>
    <s v="Knoxville"/>
    <x v="3"/>
    <n v="22"/>
    <n v="23"/>
    <n v="506"/>
    <n v="217.58"/>
    <n v="0.43000000000000005"/>
    <x v="1"/>
  </r>
  <r>
    <x v="2"/>
    <n v="1197831"/>
    <x v="350"/>
    <x v="1"/>
    <s v="Alabama"/>
    <s v="Birmingham"/>
    <x v="4"/>
    <n v="31"/>
    <n v="114"/>
    <n v="3534"/>
    <n v="1448.9399999999998"/>
    <n v="0.41"/>
    <x v="1"/>
  </r>
  <r>
    <x v="2"/>
    <n v="1197831"/>
    <x v="351"/>
    <x v="1"/>
    <s v="Alabama"/>
    <s v="Birmingham"/>
    <x v="5"/>
    <n v="24"/>
    <n v="152"/>
    <n v="3648"/>
    <n v="2152.3200000000002"/>
    <n v="0.59000000000000008"/>
    <x v="1"/>
  </r>
  <r>
    <x v="2"/>
    <n v="1197831"/>
    <x v="352"/>
    <x v="1"/>
    <s v="Alabama"/>
    <s v="Birmingham"/>
    <x v="0"/>
    <n v="16"/>
    <n v="206"/>
    <n v="3296"/>
    <n v="1549.12"/>
    <n v="0.47"/>
    <x v="1"/>
  </r>
  <r>
    <x v="2"/>
    <n v="1197831"/>
    <x v="353"/>
    <x v="1"/>
    <s v="Alabama"/>
    <s v="Birmingham"/>
    <x v="1"/>
    <n v="26"/>
    <n v="192"/>
    <n v="4992"/>
    <n v="2096.64"/>
    <n v="0.42"/>
    <x v="1"/>
  </r>
  <r>
    <x v="2"/>
    <n v="1197831"/>
    <x v="354"/>
    <x v="1"/>
    <s v="Alabama"/>
    <s v="Birmingham"/>
    <x v="2"/>
    <n v="26"/>
    <n v="136"/>
    <n v="3536"/>
    <n v="1555.84"/>
    <n v="0.43999999999999995"/>
    <x v="1"/>
  </r>
  <r>
    <x v="2"/>
    <n v="1197831"/>
    <x v="355"/>
    <x v="1"/>
    <s v="Alabama"/>
    <s v="Birmingham"/>
    <x v="3"/>
    <n v="24"/>
    <n v="113"/>
    <n v="2712"/>
    <n v="1464.48"/>
    <n v="0.54"/>
    <x v="1"/>
  </r>
  <r>
    <x v="2"/>
    <n v="1197831"/>
    <x v="356"/>
    <x v="1"/>
    <s v="Alabama"/>
    <s v="Birmingham"/>
    <x v="4"/>
    <n v="29"/>
    <n v="85"/>
    <n v="2465"/>
    <n v="961.34999999999991"/>
    <n v="0.38999999999999996"/>
    <x v="1"/>
  </r>
  <r>
    <x v="2"/>
    <n v="1197831"/>
    <x v="357"/>
    <x v="1"/>
    <s v="Alabama"/>
    <s v="Birmingham"/>
    <x v="5"/>
    <n v="27"/>
    <n v="144"/>
    <n v="3888"/>
    <n v="2216.1600000000003"/>
    <n v="0.57000000000000006"/>
    <x v="1"/>
  </r>
  <r>
    <x v="2"/>
    <n v="1197831"/>
    <x v="358"/>
    <x v="1"/>
    <s v="Alabama"/>
    <s v="Birmingham"/>
    <x v="0"/>
    <n v="23"/>
    <n v="194"/>
    <n v="4462"/>
    <n v="2186.3799999999997"/>
    <n v="0.48999999999999994"/>
    <x v="1"/>
  </r>
  <r>
    <x v="2"/>
    <n v="1197831"/>
    <x v="359"/>
    <x v="1"/>
    <s v="Alabama"/>
    <s v="Birmingham"/>
    <x v="1"/>
    <n v="32"/>
    <n v="194"/>
    <n v="6208"/>
    <n v="2917.7599999999998"/>
    <n v="0.47"/>
    <x v="1"/>
  </r>
  <r>
    <x v="2"/>
    <n v="1197831"/>
    <x v="360"/>
    <x v="1"/>
    <s v="Alabama"/>
    <s v="Birmingham"/>
    <x v="2"/>
    <n v="20"/>
    <n v="144"/>
    <n v="2880"/>
    <n v="1468.8"/>
    <n v="0.51"/>
    <x v="1"/>
  </r>
  <r>
    <x v="2"/>
    <n v="1197831"/>
    <x v="361"/>
    <x v="1"/>
    <s v="Alabama"/>
    <s v="Birmingham"/>
    <x v="3"/>
    <n v="23"/>
    <n v="116"/>
    <n v="2668"/>
    <n v="1627.4800000000002"/>
    <n v="0.6100000000000001"/>
    <x v="1"/>
  </r>
  <r>
    <x v="2"/>
    <n v="1197831"/>
    <x v="362"/>
    <x v="1"/>
    <s v="Alabama"/>
    <s v="Birmingham"/>
    <x v="4"/>
    <n v="28"/>
    <n v="88"/>
    <n v="2464"/>
    <n v="1133.4399999999998"/>
    <n v="0.45999999999999996"/>
    <x v="1"/>
  </r>
  <r>
    <x v="2"/>
    <n v="1197831"/>
    <x v="363"/>
    <x v="1"/>
    <s v="Alabama"/>
    <s v="Birmingham"/>
    <x v="5"/>
    <n v="26"/>
    <n v="120"/>
    <n v="3120"/>
    <n v="2059.2000000000003"/>
    <n v="0.66000000000000014"/>
    <x v="1"/>
  </r>
  <r>
    <x v="2"/>
    <n v="1197831"/>
    <x v="364"/>
    <x v="1"/>
    <s v="Alabama"/>
    <s v="Birmingham"/>
    <x v="0"/>
    <n v="15"/>
    <n v="215"/>
    <n v="3225"/>
    <n v="1677"/>
    <n v="0.52"/>
    <x v="1"/>
  </r>
  <r>
    <x v="2"/>
    <n v="1197831"/>
    <x v="365"/>
    <x v="1"/>
    <s v="Alabama"/>
    <s v="Birmingham"/>
    <x v="1"/>
    <n v="16"/>
    <n v="202"/>
    <n v="3232"/>
    <n v="1519.04"/>
    <n v="0.47"/>
    <x v="1"/>
  </r>
  <r>
    <x v="2"/>
    <n v="1197831"/>
    <x v="366"/>
    <x v="1"/>
    <s v="Alabama"/>
    <s v="Birmingham"/>
    <x v="2"/>
    <n v="11"/>
    <n v="152"/>
    <n v="1672"/>
    <n v="785.83999999999992"/>
    <n v="0.47"/>
    <x v="1"/>
  </r>
  <r>
    <x v="2"/>
    <n v="1197831"/>
    <x v="367"/>
    <x v="1"/>
    <s v="Alabama"/>
    <s v="Birmingham"/>
    <x v="3"/>
    <n v="15"/>
    <n v="116"/>
    <n v="1740"/>
    <n v="1044.0000000000002"/>
    <n v="0.60000000000000009"/>
    <x v="1"/>
  </r>
  <r>
    <x v="2"/>
    <n v="1197831"/>
    <x v="368"/>
    <x v="1"/>
    <s v="Alabama"/>
    <s v="Birmingham"/>
    <x v="4"/>
    <n v="19"/>
    <n v="88"/>
    <n v="1672"/>
    <n v="702.24"/>
    <n v="0.42"/>
    <x v="1"/>
  </r>
  <r>
    <x v="2"/>
    <n v="1197831"/>
    <x v="369"/>
    <x v="1"/>
    <s v="Alabama"/>
    <s v="Birmingham"/>
    <x v="5"/>
    <n v="14"/>
    <n v="165"/>
    <n v="2310"/>
    <n v="1547.7000000000003"/>
    <n v="0.67000000000000015"/>
    <x v="1"/>
  </r>
  <r>
    <x v="2"/>
    <n v="1197831"/>
    <x v="370"/>
    <x v="1"/>
    <s v="Alabama"/>
    <s v="Birmingham"/>
    <x v="0"/>
    <n v="7"/>
    <n v="224"/>
    <n v="1568"/>
    <n v="736.95999999999992"/>
    <n v="0.47"/>
    <x v="1"/>
  </r>
  <r>
    <x v="2"/>
    <n v="1197831"/>
    <x v="371"/>
    <x v="1"/>
    <s v="Alabama"/>
    <s v="Birmingham"/>
    <x v="1"/>
    <n v="16"/>
    <n v="218"/>
    <n v="3488"/>
    <n v="1709.1199999999997"/>
    <n v="0.48999999999999994"/>
    <x v="1"/>
  </r>
  <r>
    <x v="2"/>
    <n v="1197831"/>
    <x v="372"/>
    <x v="1"/>
    <s v="Alabama"/>
    <s v="Birmingham"/>
    <x v="2"/>
    <n v="11"/>
    <n v="190"/>
    <n v="2090"/>
    <n v="1086.8"/>
    <n v="0.52"/>
    <x v="1"/>
  </r>
  <r>
    <x v="2"/>
    <n v="1197831"/>
    <x v="373"/>
    <x v="1"/>
    <s v="Alabama"/>
    <s v="Birmingham"/>
    <x v="3"/>
    <n v="26"/>
    <n v="165"/>
    <n v="4290"/>
    <n v="2616.9000000000005"/>
    <n v="0.6100000000000001"/>
    <x v="1"/>
  </r>
  <r>
    <x v="2"/>
    <n v="1197831"/>
    <x v="374"/>
    <x v="1"/>
    <s v="Alabama"/>
    <s v="Birmingham"/>
    <x v="4"/>
    <n v="39"/>
    <n v="132"/>
    <n v="5148"/>
    <n v="2162.16"/>
    <n v="0.42"/>
    <x v="1"/>
  </r>
  <r>
    <x v="2"/>
    <n v="1197831"/>
    <x v="375"/>
    <x v="1"/>
    <s v="Alabama"/>
    <s v="Birmingham"/>
    <x v="5"/>
    <n v="36"/>
    <n v="263"/>
    <n v="9468"/>
    <n v="6248.880000000001"/>
    <n v="0.66000000000000014"/>
    <x v="1"/>
  </r>
  <r>
    <x v="2"/>
    <n v="1197831"/>
    <x v="376"/>
    <x v="1"/>
    <s v="Alabama"/>
    <s v="Birmingham"/>
    <x v="0"/>
    <n v="30"/>
    <n v="225"/>
    <n v="6750"/>
    <n v="3240"/>
    <n v="0.48"/>
    <x v="1"/>
  </r>
  <r>
    <x v="2"/>
    <n v="1197831"/>
    <x v="377"/>
    <x v="1"/>
    <s v="Alabama"/>
    <s v="Birmingham"/>
    <x v="1"/>
    <n v="35"/>
    <n v="233"/>
    <n v="8155"/>
    <n v="3832.85"/>
    <n v="0.47"/>
    <x v="1"/>
  </r>
  <r>
    <x v="2"/>
    <n v="1197831"/>
    <x v="378"/>
    <x v="1"/>
    <s v="Alabama"/>
    <s v="Birmingham"/>
    <x v="2"/>
    <n v="35"/>
    <n v="228"/>
    <n v="7980"/>
    <n v="4069.8"/>
    <n v="0.51"/>
    <x v="1"/>
  </r>
  <r>
    <x v="2"/>
    <n v="1197831"/>
    <x v="379"/>
    <x v="1"/>
    <s v="Alabama"/>
    <s v="Birmingham"/>
    <x v="3"/>
    <n v="31"/>
    <n v="210"/>
    <n v="6510"/>
    <n v="3906.0000000000005"/>
    <n v="0.60000000000000009"/>
    <x v="1"/>
  </r>
  <r>
    <x v="2"/>
    <n v="1197831"/>
    <x v="380"/>
    <x v="1"/>
    <s v="Alabama"/>
    <s v="Birmingham"/>
    <x v="4"/>
    <n v="38"/>
    <n v="165"/>
    <n v="6270"/>
    <n v="2946.8999999999996"/>
    <n v="0.47"/>
    <x v="1"/>
  </r>
  <r>
    <x v="2"/>
    <n v="1197831"/>
    <x v="381"/>
    <x v="1"/>
    <s v="Alabama"/>
    <s v="Birmingham"/>
    <x v="5"/>
    <n v="36"/>
    <n v="280"/>
    <n v="10080"/>
    <n v="6451.2000000000016"/>
    <n v="0.64000000000000012"/>
    <x v="1"/>
  </r>
  <r>
    <x v="2"/>
    <n v="1197831"/>
    <x v="382"/>
    <x v="1"/>
    <s v="Alabama"/>
    <s v="Birmingham"/>
    <x v="0"/>
    <n v="31"/>
    <n v="256"/>
    <n v="7936"/>
    <n v="4206.079999999999"/>
    <n v="0.52999999999999992"/>
    <x v="1"/>
  </r>
  <r>
    <x v="2"/>
    <n v="1197831"/>
    <x v="383"/>
    <x v="1"/>
    <s v="Alabama"/>
    <s v="Birmingham"/>
    <x v="1"/>
    <n v="37"/>
    <n v="264"/>
    <n v="9768"/>
    <n v="5372.4"/>
    <n v="0.54999999999999993"/>
    <x v="1"/>
  </r>
  <r>
    <x v="2"/>
    <n v="1197831"/>
    <x v="384"/>
    <x v="1"/>
    <s v="Alabama"/>
    <s v="Birmingham"/>
    <x v="2"/>
    <n v="31"/>
    <n v="322"/>
    <n v="9982"/>
    <n v="5589.9199999999992"/>
    <n v="0.55999999999999994"/>
    <x v="1"/>
  </r>
  <r>
    <x v="2"/>
    <n v="1197831"/>
    <x v="385"/>
    <x v="1"/>
    <s v="Alabama"/>
    <s v="Birmingham"/>
    <x v="3"/>
    <n v="36"/>
    <n v="196"/>
    <n v="7056"/>
    <n v="4727.5200000000013"/>
    <n v="0.67000000000000015"/>
    <x v="1"/>
  </r>
  <r>
    <x v="2"/>
    <n v="1197831"/>
    <x v="386"/>
    <x v="1"/>
    <s v="Alabama"/>
    <s v="Birmingham"/>
    <x v="4"/>
    <n v="35"/>
    <n v="179"/>
    <n v="6265"/>
    <n v="3257.8"/>
    <n v="0.52"/>
    <x v="1"/>
  </r>
  <r>
    <x v="2"/>
    <n v="1197831"/>
    <x v="387"/>
    <x v="1"/>
    <s v="Alabama"/>
    <s v="Birmingham"/>
    <x v="5"/>
    <n v="47"/>
    <n v="280"/>
    <n v="13160"/>
    <n v="9212.0000000000018"/>
    <n v="0.70000000000000018"/>
    <x v="1"/>
  </r>
  <r>
    <x v="2"/>
    <n v="1197831"/>
    <x v="388"/>
    <x v="1"/>
    <s v="Alabama"/>
    <s v="Birmingham"/>
    <x v="0"/>
    <n v="27"/>
    <n v="233"/>
    <n v="6291"/>
    <n v="3460.0499999999997"/>
    <n v="0.54999999999999993"/>
    <x v="1"/>
  </r>
  <r>
    <x v="2"/>
    <n v="1197831"/>
    <x v="389"/>
    <x v="1"/>
    <s v="Alabama"/>
    <s v="Birmingham"/>
    <x v="1"/>
    <n v="39"/>
    <n v="233"/>
    <n v="9087"/>
    <n v="4906.9799999999996"/>
    <n v="0.53999999999999992"/>
    <x v="1"/>
  </r>
  <r>
    <x v="2"/>
    <n v="1197831"/>
    <x v="390"/>
    <x v="1"/>
    <s v="Alabama"/>
    <s v="Birmingham"/>
    <x v="2"/>
    <n v="36"/>
    <n v="278"/>
    <n v="10008"/>
    <n v="5304.2399999999989"/>
    <n v="0.52999999999999992"/>
    <x v="1"/>
  </r>
  <r>
    <x v="2"/>
    <n v="1197831"/>
    <x v="391"/>
    <x v="1"/>
    <s v="Alabama"/>
    <s v="Birmingham"/>
    <x v="3"/>
    <n v="37"/>
    <n v="140"/>
    <n v="5180"/>
    <n v="3315.2000000000007"/>
    <n v="0.64000000000000012"/>
    <x v="1"/>
  </r>
  <r>
    <x v="2"/>
    <n v="1197831"/>
    <x v="392"/>
    <x v="1"/>
    <s v="Alabama"/>
    <s v="Birmingham"/>
    <x v="4"/>
    <n v="42"/>
    <n v="140"/>
    <n v="5880"/>
    <n v="2939.9999999999995"/>
    <n v="0.49999999999999994"/>
    <x v="1"/>
  </r>
  <r>
    <x v="2"/>
    <n v="1197831"/>
    <x v="393"/>
    <x v="1"/>
    <s v="Alabama"/>
    <s v="Birmingham"/>
    <x v="5"/>
    <n v="39"/>
    <n v="203"/>
    <n v="7917"/>
    <n v="5621.0700000000015"/>
    <n v="0.71000000000000019"/>
    <x v="1"/>
  </r>
  <r>
    <x v="2"/>
    <n v="1197831"/>
    <x v="394"/>
    <x v="1"/>
    <s v="Alabama"/>
    <s v="Birmingham"/>
    <x v="0"/>
    <n v="38"/>
    <n v="206"/>
    <n v="7828"/>
    <n v="4305.3999999999996"/>
    <n v="0.54999999999999993"/>
    <x v="1"/>
  </r>
  <r>
    <x v="2"/>
    <n v="1197831"/>
    <x v="395"/>
    <x v="1"/>
    <s v="Alabama"/>
    <s v="Birmingham"/>
    <x v="1"/>
    <n v="36"/>
    <n v="173"/>
    <n v="6228"/>
    <n v="3425.3999999999996"/>
    <n v="0.54999999999999993"/>
    <x v="1"/>
  </r>
  <r>
    <x v="2"/>
    <n v="1197831"/>
    <x v="396"/>
    <x v="1"/>
    <s v="Alabama"/>
    <s v="Birmingham"/>
    <x v="2"/>
    <n v="47"/>
    <n v="213"/>
    <n v="10011"/>
    <n v="5606.16"/>
    <n v="0.55999999999999994"/>
    <x v="1"/>
  </r>
  <r>
    <x v="2"/>
    <n v="1197831"/>
    <x v="397"/>
    <x v="1"/>
    <s v="Alabama"/>
    <s v="Birmingham"/>
    <x v="3"/>
    <n v="44"/>
    <n v="105"/>
    <n v="4620"/>
    <n v="3049.2000000000007"/>
    <n v="0.66000000000000014"/>
    <x v="1"/>
  </r>
  <r>
    <x v="2"/>
    <n v="1197831"/>
    <x v="398"/>
    <x v="1"/>
    <s v="Alabama"/>
    <s v="Birmingham"/>
    <x v="4"/>
    <n v="35"/>
    <n v="116"/>
    <n v="4060"/>
    <n v="1948.8"/>
    <n v="0.48"/>
    <x v="1"/>
  </r>
  <r>
    <x v="2"/>
    <n v="1197831"/>
    <x v="399"/>
    <x v="1"/>
    <s v="Alabama"/>
    <s v="Birmingham"/>
    <x v="5"/>
    <n v="26"/>
    <n v="190"/>
    <n v="4940"/>
    <n v="3556.8000000000011"/>
    <n v="0.7200000000000002"/>
    <x v="1"/>
  </r>
  <r>
    <x v="2"/>
    <n v="1197831"/>
    <x v="400"/>
    <x v="1"/>
    <s v="Alabama"/>
    <s v="Birmingham"/>
    <x v="0"/>
    <n v="20"/>
    <n v="184"/>
    <n v="3680"/>
    <n v="1913.5999999999997"/>
    <n v="0.51999999999999991"/>
    <x v="1"/>
  </r>
  <r>
    <x v="2"/>
    <n v="1197831"/>
    <x v="401"/>
    <x v="1"/>
    <s v="Alabama"/>
    <s v="Birmingham"/>
    <x v="1"/>
    <n v="23"/>
    <n v="173"/>
    <n v="3979"/>
    <n v="2188.4499999999998"/>
    <n v="0.54999999999999993"/>
    <x v="1"/>
  </r>
  <r>
    <x v="2"/>
    <n v="1197831"/>
    <x v="402"/>
    <x v="1"/>
    <s v="Alabama"/>
    <s v="Birmingham"/>
    <x v="2"/>
    <n v="24"/>
    <n v="166"/>
    <n v="3984"/>
    <n v="2151.3599999999997"/>
    <n v="0.53999999999999992"/>
    <x v="1"/>
  </r>
  <r>
    <x v="2"/>
    <n v="1197831"/>
    <x v="403"/>
    <x v="1"/>
    <s v="Alabama"/>
    <s v="Birmingham"/>
    <x v="3"/>
    <n v="26"/>
    <n v="98"/>
    <n v="2548"/>
    <n v="1707.1600000000003"/>
    <n v="0.67000000000000015"/>
    <x v="1"/>
  </r>
  <r>
    <x v="2"/>
    <n v="1197831"/>
    <x v="404"/>
    <x v="1"/>
    <s v="Alabama"/>
    <s v="Birmingham"/>
    <x v="4"/>
    <n v="22"/>
    <n v="105"/>
    <n v="2310"/>
    <n v="1131.8999999999999"/>
    <n v="0.48999999999999994"/>
    <x v="1"/>
  </r>
  <r>
    <x v="2"/>
    <n v="1197831"/>
    <x v="405"/>
    <x v="1"/>
    <s v="Alabama"/>
    <s v="Birmingham"/>
    <x v="5"/>
    <n v="26"/>
    <n v="147"/>
    <n v="3822"/>
    <n v="2751.8400000000006"/>
    <n v="0.7200000000000002"/>
    <x v="1"/>
  </r>
  <r>
    <x v="2"/>
    <n v="1197831"/>
    <x v="406"/>
    <x v="1"/>
    <s v="Alabama"/>
    <s v="Birmingham"/>
    <x v="0"/>
    <n v="14"/>
    <n v="188"/>
    <n v="2632"/>
    <n v="1500.2399999999998"/>
    <n v="0.56999999999999995"/>
    <x v="1"/>
  </r>
  <r>
    <x v="2"/>
    <n v="1197831"/>
    <x v="407"/>
    <x v="1"/>
    <s v="Alabama"/>
    <s v="Birmingham"/>
    <x v="1"/>
    <n v="14"/>
    <n v="200"/>
    <n v="2800"/>
    <n v="1455.9999999999998"/>
    <n v="0.51999999999999991"/>
    <x v="1"/>
  </r>
  <r>
    <x v="2"/>
    <n v="1197831"/>
    <x v="408"/>
    <x v="1"/>
    <s v="Alabama"/>
    <s v="Birmingham"/>
    <x v="2"/>
    <n v="33"/>
    <n v="196"/>
    <n v="6468"/>
    <n v="3557.3999999999996"/>
    <n v="0.54999999999999993"/>
    <x v="1"/>
  </r>
  <r>
    <x v="2"/>
    <n v="1197831"/>
    <x v="409"/>
    <x v="1"/>
    <s v="Alabama"/>
    <s v="Birmingham"/>
    <x v="3"/>
    <n v="36"/>
    <n v="135"/>
    <n v="4860"/>
    <n v="3256.2000000000007"/>
    <n v="0.67000000000000015"/>
    <x v="1"/>
  </r>
  <r>
    <x v="2"/>
    <n v="1197831"/>
    <x v="410"/>
    <x v="1"/>
    <s v="Alabama"/>
    <s v="Birmingham"/>
    <x v="4"/>
    <n v="37"/>
    <n v="149"/>
    <n v="5513"/>
    <n v="2646.24"/>
    <n v="0.48"/>
    <x v="1"/>
  </r>
  <r>
    <x v="2"/>
    <n v="1197831"/>
    <x v="411"/>
    <x v="1"/>
    <s v="Alabama"/>
    <s v="Birmingham"/>
    <x v="5"/>
    <n v="45"/>
    <n v="188"/>
    <n v="8460"/>
    <n v="5837.4000000000015"/>
    <n v="0.69000000000000017"/>
    <x v="1"/>
  </r>
  <r>
    <x v="2"/>
    <n v="1197831"/>
    <x v="412"/>
    <x v="1"/>
    <s v="Alabama"/>
    <s v="Birmingham"/>
    <x v="0"/>
    <n v="46"/>
    <n v="240"/>
    <n v="11040"/>
    <n v="6182.4"/>
    <n v="0.55999999999999994"/>
    <x v="1"/>
  </r>
  <r>
    <x v="2"/>
    <n v="1197831"/>
    <x v="413"/>
    <x v="1"/>
    <s v="Alabama"/>
    <s v="Birmingham"/>
    <x v="1"/>
    <n v="40"/>
    <n v="248"/>
    <n v="9920"/>
    <n v="5257.5999999999995"/>
    <n v="0.52999999999999992"/>
    <x v="1"/>
  </r>
  <r>
    <x v="2"/>
    <n v="1197831"/>
    <x v="414"/>
    <x v="1"/>
    <s v="Alabama"/>
    <s v="Birmingham"/>
    <x v="2"/>
    <n v="47"/>
    <n v="217"/>
    <n v="10199"/>
    <n v="5507.4599999999991"/>
    <n v="0.53999999999999992"/>
    <x v="1"/>
  </r>
  <r>
    <x v="2"/>
    <n v="1197831"/>
    <x v="415"/>
    <x v="1"/>
    <s v="Alabama"/>
    <s v="Birmingham"/>
    <x v="3"/>
    <n v="52"/>
    <n v="193"/>
    <n v="10036"/>
    <n v="6322.6800000000012"/>
    <n v="0.63000000000000012"/>
    <x v="1"/>
  </r>
  <r>
    <x v="2"/>
    <n v="1197831"/>
    <x v="416"/>
    <x v="1"/>
    <s v="Alabama"/>
    <s v="Birmingham"/>
    <x v="4"/>
    <n v="40"/>
    <n v="155"/>
    <n v="6200"/>
    <n v="2914"/>
    <n v="0.47"/>
    <x v="1"/>
  </r>
  <r>
    <x v="2"/>
    <n v="1197831"/>
    <x v="417"/>
    <x v="1"/>
    <s v="Alabama"/>
    <s v="Birmingham"/>
    <x v="5"/>
    <n v="56"/>
    <n v="225"/>
    <n v="12600"/>
    <n v="9072.0000000000018"/>
    <n v="0.7200000000000002"/>
    <x v="1"/>
  </r>
  <r>
    <x v="5"/>
    <n v="1185732"/>
    <x v="418"/>
    <x v="1"/>
    <s v="Alabama"/>
    <s v="Birmingham"/>
    <x v="0"/>
    <n v="27"/>
    <n v="140"/>
    <n v="3780"/>
    <n v="1474.1999999999998"/>
    <n v="0.38999999999999996"/>
    <x v="1"/>
  </r>
  <r>
    <x v="5"/>
    <n v="1185732"/>
    <x v="419"/>
    <x v="1"/>
    <s v="Alabama"/>
    <s v="Birmingham"/>
    <x v="1"/>
    <n v="30"/>
    <n v="88"/>
    <n v="2640"/>
    <n v="1082.3999999999999"/>
    <n v="0.41"/>
    <x v="1"/>
  </r>
  <r>
    <x v="5"/>
    <n v="1185732"/>
    <x v="420"/>
    <x v="1"/>
    <s v="Alabama"/>
    <s v="Birmingham"/>
    <x v="2"/>
    <n v="23"/>
    <n v="83"/>
    <n v="1909"/>
    <n v="801.78"/>
    <n v="0.42"/>
    <x v="1"/>
  </r>
  <r>
    <x v="5"/>
    <n v="1185732"/>
    <x v="421"/>
    <x v="1"/>
    <s v="Alabama"/>
    <s v="Birmingham"/>
    <x v="3"/>
    <n v="25"/>
    <n v="30"/>
    <n v="750"/>
    <n v="247.49999999999997"/>
    <n v="0.32999999999999996"/>
    <x v="1"/>
  </r>
  <r>
    <x v="2"/>
    <n v="1128299"/>
    <x v="212"/>
    <x v="4"/>
    <s v="Florida"/>
    <s v="Orlando"/>
    <x v="3"/>
    <n v="36"/>
    <n v="94"/>
    <n v="3384"/>
    <n v="1252.08"/>
    <n v="0.37"/>
    <x v="1"/>
  </r>
  <r>
    <x v="2"/>
    <n v="1128299"/>
    <x v="212"/>
    <x v="4"/>
    <s v="Florida"/>
    <s v="Orlando"/>
    <x v="4"/>
    <n v="44"/>
    <n v="62"/>
    <n v="2728"/>
    <n v="654.72"/>
    <n v="0.24000000000000002"/>
    <x v="1"/>
  </r>
  <r>
    <x v="2"/>
    <n v="1128299"/>
    <x v="212"/>
    <x v="4"/>
    <s v="Florida"/>
    <s v="Orlando"/>
    <x v="5"/>
    <n v="33"/>
    <n v="124"/>
    <n v="4092"/>
    <n v="2086.92"/>
    <n v="0.51"/>
    <x v="1"/>
  </r>
  <r>
    <x v="2"/>
    <n v="1128299"/>
    <x v="221"/>
    <x v="4"/>
    <s v="Florida"/>
    <s v="Orlando"/>
    <x v="0"/>
    <n v="35"/>
    <n v="171"/>
    <n v="5985"/>
    <n v="2034.8999999999999"/>
    <n v="0.33999999999999997"/>
    <x v="1"/>
  </r>
  <r>
    <x v="2"/>
    <n v="1128299"/>
    <x v="221"/>
    <x v="4"/>
    <s v="Florida"/>
    <s v="Orlando"/>
    <x v="1"/>
    <n v="44"/>
    <n v="124"/>
    <n v="5456"/>
    <n v="1691.36"/>
    <n v="0.31"/>
    <x v="1"/>
  </r>
  <r>
    <x v="2"/>
    <n v="1128299"/>
    <x v="221"/>
    <x v="4"/>
    <s v="Florida"/>
    <s v="Orlando"/>
    <x v="2"/>
    <n v="47"/>
    <n v="149"/>
    <n v="7003"/>
    <n v="2240.96"/>
    <n v="0.32"/>
    <x v="1"/>
  </r>
  <r>
    <x v="2"/>
    <n v="1128299"/>
    <x v="221"/>
    <x v="4"/>
    <s v="Florida"/>
    <s v="Orlando"/>
    <x v="3"/>
    <n v="42"/>
    <n v="114"/>
    <n v="4788"/>
    <n v="1675.8"/>
    <n v="0.35"/>
    <x v="1"/>
  </r>
  <r>
    <x v="2"/>
    <n v="1128299"/>
    <x v="221"/>
    <x v="4"/>
    <s v="Florida"/>
    <s v="Orlando"/>
    <x v="4"/>
    <n v="44"/>
    <n v="60"/>
    <n v="2640"/>
    <n v="686.4"/>
    <n v="0.26"/>
    <x v="1"/>
  </r>
  <r>
    <x v="2"/>
    <n v="1128299"/>
    <x v="221"/>
    <x v="4"/>
    <s v="Florida"/>
    <s v="Orlando"/>
    <x v="5"/>
    <n v="48"/>
    <n v="131"/>
    <n v="6288"/>
    <n v="2955.36"/>
    <n v="0.47000000000000003"/>
    <x v="1"/>
  </r>
  <r>
    <x v="1"/>
    <n v="1128299"/>
    <x v="240"/>
    <x v="4"/>
    <s v="Florida"/>
    <s v="Orlando"/>
    <x v="0"/>
    <n v="47"/>
    <n v="171"/>
    <n v="8037"/>
    <n v="2893.3199999999997"/>
    <n v="0.36"/>
    <x v="1"/>
  </r>
  <r>
    <x v="1"/>
    <n v="1128299"/>
    <x v="240"/>
    <x v="4"/>
    <s v="Florida"/>
    <s v="Orlando"/>
    <x v="1"/>
    <n v="51"/>
    <n v="105"/>
    <n v="5355"/>
    <n v="1445.8500000000001"/>
    <n v="0.27"/>
    <x v="1"/>
  </r>
  <r>
    <x v="1"/>
    <n v="1128299"/>
    <x v="240"/>
    <x v="4"/>
    <s v="Florida"/>
    <s v="Orlando"/>
    <x v="2"/>
    <n v="49"/>
    <n v="132"/>
    <n v="6468"/>
    <n v="2199.12"/>
    <n v="0.33999999999999997"/>
    <x v="1"/>
  </r>
  <r>
    <x v="1"/>
    <n v="1128299"/>
    <x v="240"/>
    <x v="4"/>
    <s v="Florida"/>
    <s v="Orlando"/>
    <x v="3"/>
    <n v="41"/>
    <n v="90"/>
    <n v="3690"/>
    <n v="1291.5"/>
    <n v="0.35"/>
    <x v="1"/>
  </r>
  <r>
    <x v="1"/>
    <n v="1128299"/>
    <x v="240"/>
    <x v="4"/>
    <s v="Florida"/>
    <s v="Orlando"/>
    <x v="4"/>
    <n v="47"/>
    <n v="60"/>
    <n v="2820"/>
    <n v="620.4"/>
    <n v="0.22"/>
    <x v="1"/>
  </r>
  <r>
    <x v="1"/>
    <n v="1128299"/>
    <x v="240"/>
    <x v="4"/>
    <s v="Florida"/>
    <s v="Orlando"/>
    <x v="5"/>
    <n v="57"/>
    <n v="113"/>
    <n v="6441"/>
    <n v="3220.5"/>
    <n v="0.5"/>
    <x v="1"/>
  </r>
  <r>
    <x v="1"/>
    <n v="1128299"/>
    <x v="271"/>
    <x v="4"/>
    <s v="Florida"/>
    <s v="Orlando"/>
    <x v="0"/>
    <n v="44"/>
    <n v="201"/>
    <n v="8844"/>
    <n v="2918.5199999999995"/>
    <n v="0.32999999999999996"/>
    <x v="1"/>
  </r>
  <r>
    <x v="1"/>
    <n v="1128299"/>
    <x v="271"/>
    <x v="4"/>
    <s v="Florida"/>
    <s v="Orlando"/>
    <x v="1"/>
    <n v="46"/>
    <n v="132"/>
    <n v="6072"/>
    <n v="1700.16"/>
    <n v="0.28000000000000003"/>
    <x v="1"/>
  </r>
  <r>
    <x v="1"/>
    <n v="1128299"/>
    <x v="271"/>
    <x v="4"/>
    <s v="Florida"/>
    <s v="Orlando"/>
    <x v="2"/>
    <n v="46"/>
    <n v="132"/>
    <n v="6072"/>
    <n v="2185.92"/>
    <n v="0.36"/>
    <x v="1"/>
  </r>
  <r>
    <x v="1"/>
    <n v="1128299"/>
    <x v="271"/>
    <x v="4"/>
    <s v="Florida"/>
    <s v="Orlando"/>
    <x v="3"/>
    <n v="39"/>
    <n v="107"/>
    <n v="4173"/>
    <n v="1418.82"/>
    <n v="0.33999999999999997"/>
    <x v="1"/>
  </r>
  <r>
    <x v="1"/>
    <n v="1128299"/>
    <x v="271"/>
    <x v="4"/>
    <s v="Florida"/>
    <s v="Orlando"/>
    <x v="4"/>
    <n v="42"/>
    <n v="68"/>
    <n v="2856"/>
    <n v="714"/>
    <n v="0.25"/>
    <x v="1"/>
  </r>
  <r>
    <x v="1"/>
    <n v="1128299"/>
    <x v="271"/>
    <x v="4"/>
    <s v="Florida"/>
    <s v="Orlando"/>
    <x v="5"/>
    <n v="48"/>
    <n v="173"/>
    <n v="8304"/>
    <n v="3902.88"/>
    <n v="0.47000000000000003"/>
    <x v="1"/>
  </r>
  <r>
    <x v="1"/>
    <n v="1128299"/>
    <x v="301"/>
    <x v="4"/>
    <s v="Florida"/>
    <s v="Orlando"/>
    <x v="0"/>
    <n v="50"/>
    <n v="272"/>
    <n v="13600"/>
    <n v="4352"/>
    <n v="0.32"/>
    <x v="1"/>
  </r>
  <r>
    <x v="1"/>
    <n v="1128299"/>
    <x v="301"/>
    <x v="4"/>
    <s v="Florida"/>
    <s v="Orlando"/>
    <x v="1"/>
    <n v="53"/>
    <n v="224"/>
    <n v="11872"/>
    <n v="3442.8799999999997"/>
    <n v="0.28999999999999998"/>
    <x v="1"/>
  </r>
  <r>
    <x v="1"/>
    <n v="1128299"/>
    <x v="301"/>
    <x v="4"/>
    <s v="Florida"/>
    <s v="Orlando"/>
    <x v="2"/>
    <n v="60"/>
    <n v="238"/>
    <n v="14280"/>
    <n v="4712.3999999999996"/>
    <n v="0.32999999999999996"/>
    <x v="1"/>
  </r>
  <r>
    <x v="1"/>
    <n v="1128299"/>
    <x v="301"/>
    <x v="4"/>
    <s v="Florida"/>
    <s v="Orlando"/>
    <x v="3"/>
    <n v="66"/>
    <n v="196"/>
    <n v="12936"/>
    <n v="4786.32"/>
    <n v="0.37"/>
    <x v="1"/>
  </r>
  <r>
    <x v="1"/>
    <n v="1128299"/>
    <x v="301"/>
    <x v="4"/>
    <s v="Florida"/>
    <s v="Orlando"/>
    <x v="4"/>
    <n v="71"/>
    <n v="153"/>
    <n v="10863"/>
    <n v="2389.86"/>
    <n v="0.22"/>
    <x v="1"/>
  </r>
  <r>
    <x v="1"/>
    <n v="1128299"/>
    <x v="301"/>
    <x v="4"/>
    <s v="Florida"/>
    <s v="Orlando"/>
    <x v="5"/>
    <n v="74"/>
    <n v="248"/>
    <n v="18352"/>
    <n v="8625.44"/>
    <n v="0.47000000000000003"/>
    <x v="1"/>
  </r>
  <r>
    <x v="1"/>
    <n v="1128299"/>
    <x v="330"/>
    <x v="4"/>
    <s v="Florida"/>
    <s v="Orlando"/>
    <x v="0"/>
    <n v="68"/>
    <n v="297"/>
    <n v="20196"/>
    <n v="7472.5199999999995"/>
    <n v="0.37"/>
    <x v="1"/>
  </r>
  <r>
    <x v="1"/>
    <n v="1128299"/>
    <x v="330"/>
    <x v="4"/>
    <s v="Florida"/>
    <s v="Orlando"/>
    <x v="1"/>
    <n v="74"/>
    <n v="263"/>
    <n v="19462"/>
    <n v="5449.3600000000006"/>
    <n v="0.28000000000000003"/>
    <x v="1"/>
  </r>
  <r>
    <x v="1"/>
    <n v="1128299"/>
    <x v="330"/>
    <x v="4"/>
    <s v="Florida"/>
    <s v="Orlando"/>
    <x v="2"/>
    <n v="72"/>
    <n v="238"/>
    <n v="17136"/>
    <n v="5826.24"/>
    <n v="0.33999999999999997"/>
    <x v="1"/>
  </r>
  <r>
    <x v="1"/>
    <n v="1128299"/>
    <x v="330"/>
    <x v="4"/>
    <s v="Florida"/>
    <s v="Orlando"/>
    <x v="3"/>
    <n v="59"/>
    <n v="186"/>
    <n v="10974"/>
    <n v="3621.4199999999996"/>
    <n v="0.32999999999999996"/>
    <x v="1"/>
  </r>
  <r>
    <x v="1"/>
    <n v="1128299"/>
    <x v="330"/>
    <x v="4"/>
    <s v="Florida"/>
    <s v="Orlando"/>
    <x v="4"/>
    <n v="68"/>
    <n v="208"/>
    <n v="14144"/>
    <n v="3111.68"/>
    <n v="0.22"/>
    <x v="1"/>
  </r>
  <r>
    <x v="1"/>
    <n v="1128299"/>
    <x v="330"/>
    <x v="4"/>
    <s v="Florida"/>
    <s v="Orlando"/>
    <x v="5"/>
    <n v="75"/>
    <n v="195"/>
    <n v="14625"/>
    <n v="6873.75"/>
    <n v="0.47000000000000003"/>
    <x v="1"/>
  </r>
  <r>
    <x v="1"/>
    <n v="1128299"/>
    <x v="362"/>
    <x v="4"/>
    <s v="Florida"/>
    <s v="Orlando"/>
    <x v="0"/>
    <n v="68"/>
    <n v="255"/>
    <n v="17340"/>
    <n v="6242.4"/>
    <n v="0.36"/>
    <x v="1"/>
  </r>
  <r>
    <x v="1"/>
    <n v="1128299"/>
    <x v="362"/>
    <x v="4"/>
    <s v="Florida"/>
    <s v="Orlando"/>
    <x v="1"/>
    <n v="60"/>
    <n v="272"/>
    <n v="16320"/>
    <n v="4406.4000000000005"/>
    <n v="0.27"/>
    <x v="1"/>
  </r>
  <r>
    <x v="1"/>
    <n v="1128299"/>
    <x v="362"/>
    <x v="4"/>
    <s v="Florida"/>
    <s v="Orlando"/>
    <x v="2"/>
    <n v="62"/>
    <n v="231"/>
    <n v="14322"/>
    <n v="4726.2599999999993"/>
    <n v="0.32999999999999996"/>
    <x v="1"/>
  </r>
  <r>
    <x v="1"/>
    <n v="1128299"/>
    <x v="362"/>
    <x v="4"/>
    <s v="Florida"/>
    <s v="Orlando"/>
    <x v="3"/>
    <n v="64"/>
    <n v="147"/>
    <n v="9408"/>
    <n v="3104.6399999999994"/>
    <n v="0.32999999999999996"/>
    <x v="1"/>
  </r>
  <r>
    <x v="1"/>
    <n v="1128299"/>
    <x v="362"/>
    <x v="4"/>
    <s v="Florida"/>
    <s v="Orlando"/>
    <x v="4"/>
    <n v="63"/>
    <n v="166"/>
    <n v="10458"/>
    <n v="2509.92"/>
    <n v="0.24000000000000002"/>
    <x v="1"/>
  </r>
  <r>
    <x v="1"/>
    <n v="1128299"/>
    <x v="362"/>
    <x v="4"/>
    <s v="Florida"/>
    <s v="Orlando"/>
    <x v="5"/>
    <n v="60"/>
    <n v="96"/>
    <n v="5760"/>
    <n v="2822.4"/>
    <n v="0.49"/>
    <x v="1"/>
  </r>
  <r>
    <x v="1"/>
    <n v="1128299"/>
    <x v="394"/>
    <x v="4"/>
    <s v="Florida"/>
    <s v="Orlando"/>
    <x v="0"/>
    <n v="44"/>
    <n v="155"/>
    <n v="6820"/>
    <n v="2523.4"/>
    <n v="0.37"/>
    <x v="1"/>
  </r>
  <r>
    <x v="1"/>
    <n v="1128299"/>
    <x v="394"/>
    <x v="4"/>
    <s v="Florida"/>
    <s v="Orlando"/>
    <x v="1"/>
    <n v="45"/>
    <n v="150"/>
    <n v="6750"/>
    <n v="2092.5"/>
    <n v="0.31"/>
    <x v="1"/>
  </r>
  <r>
    <x v="1"/>
    <n v="1128299"/>
    <x v="394"/>
    <x v="4"/>
    <s v="Florida"/>
    <s v="Orlando"/>
    <x v="2"/>
    <n v="39"/>
    <n v="96"/>
    <n v="3744"/>
    <n v="1235.5199999999998"/>
    <n v="0.32999999999999996"/>
    <x v="1"/>
  </r>
  <r>
    <x v="1"/>
    <n v="1128299"/>
    <x v="394"/>
    <x v="4"/>
    <s v="Florida"/>
    <s v="Orlando"/>
    <x v="3"/>
    <n v="44"/>
    <n v="78"/>
    <n v="3432"/>
    <n v="1269.8399999999999"/>
    <n v="0.37"/>
    <x v="1"/>
  </r>
  <r>
    <x v="1"/>
    <n v="1128299"/>
    <x v="394"/>
    <x v="4"/>
    <s v="Florida"/>
    <s v="Orlando"/>
    <x v="4"/>
    <n v="54"/>
    <n v="94"/>
    <n v="5076"/>
    <n v="1167.48"/>
    <n v="0.23"/>
    <x v="1"/>
  </r>
  <r>
    <x v="1"/>
    <n v="1128299"/>
    <x v="394"/>
    <x v="4"/>
    <s v="Florida"/>
    <s v="Orlando"/>
    <x v="5"/>
    <n v="42"/>
    <n v="99"/>
    <n v="4158"/>
    <n v="2037.42"/>
    <n v="0.49"/>
    <x v="1"/>
  </r>
  <r>
    <x v="1"/>
    <n v="1128299"/>
    <x v="423"/>
    <x v="4"/>
    <s v="Florida"/>
    <s v="Orlando"/>
    <x v="0"/>
    <n v="39"/>
    <n v="140"/>
    <n v="5460"/>
    <n v="2020.2"/>
    <n v="0.37"/>
    <x v="1"/>
  </r>
  <r>
    <x v="1"/>
    <n v="1128299"/>
    <x v="423"/>
    <x v="4"/>
    <s v="Florida"/>
    <s v="Orlando"/>
    <x v="1"/>
    <n v="43"/>
    <n v="190"/>
    <n v="8170"/>
    <n v="2369.2999999999997"/>
    <n v="0.28999999999999998"/>
    <x v="1"/>
  </r>
  <r>
    <x v="1"/>
    <n v="1128299"/>
    <x v="423"/>
    <x v="4"/>
    <s v="Florida"/>
    <s v="Orlando"/>
    <x v="2"/>
    <n v="43"/>
    <n v="128"/>
    <n v="5504"/>
    <n v="1871.36"/>
    <n v="0.33999999999999997"/>
    <x v="1"/>
  </r>
  <r>
    <x v="1"/>
    <n v="1128299"/>
    <x v="423"/>
    <x v="4"/>
    <s v="Florida"/>
    <s v="Orlando"/>
    <x v="3"/>
    <n v="40"/>
    <n v="120"/>
    <n v="4800"/>
    <n v="1680"/>
    <n v="0.35"/>
    <x v="1"/>
  </r>
  <r>
    <x v="1"/>
    <n v="1128299"/>
    <x v="423"/>
    <x v="4"/>
    <s v="Florida"/>
    <s v="Orlando"/>
    <x v="4"/>
    <n v="47"/>
    <n v="116"/>
    <n v="5452"/>
    <n v="1199.44"/>
    <n v="0.22"/>
    <x v="1"/>
  </r>
  <r>
    <x v="1"/>
    <n v="1128299"/>
    <x v="423"/>
    <x v="4"/>
    <s v="Florida"/>
    <s v="Orlando"/>
    <x v="5"/>
    <n v="53"/>
    <n v="140"/>
    <n v="7420"/>
    <n v="3858.4"/>
    <n v="0.52"/>
    <x v="1"/>
  </r>
  <r>
    <x v="1"/>
    <n v="1128299"/>
    <x v="454"/>
    <x v="4"/>
    <s v="Florida"/>
    <s v="Orlando"/>
    <x v="0"/>
    <n v="41"/>
    <n v="188"/>
    <n v="7708"/>
    <n v="2620.7199999999998"/>
    <n v="0.33999999999999997"/>
    <x v="1"/>
  </r>
  <r>
    <x v="1"/>
    <n v="1128299"/>
    <x v="454"/>
    <x v="4"/>
    <s v="Florida"/>
    <s v="Orlando"/>
    <x v="1"/>
    <n v="46"/>
    <n v="231"/>
    <n v="10626"/>
    <n v="3400.32"/>
    <n v="0.32"/>
    <x v="1"/>
  </r>
  <r>
    <x v="1"/>
    <n v="1128299"/>
    <x v="454"/>
    <x v="4"/>
    <s v="Florida"/>
    <s v="Orlando"/>
    <x v="2"/>
    <n v="44"/>
    <n v="173"/>
    <n v="7612"/>
    <n v="2816.44"/>
    <n v="0.37"/>
    <x v="1"/>
  </r>
  <r>
    <x v="1"/>
    <n v="1128299"/>
    <x v="454"/>
    <x v="4"/>
    <s v="Florida"/>
    <s v="Orlando"/>
    <x v="3"/>
    <n v="47"/>
    <n v="170"/>
    <n v="7990"/>
    <n v="2716.6"/>
    <n v="0.33999999999999997"/>
    <x v="1"/>
  </r>
  <r>
    <x v="1"/>
    <n v="1128299"/>
    <x v="454"/>
    <x v="4"/>
    <s v="Florida"/>
    <s v="Orlando"/>
    <x v="4"/>
    <n v="58"/>
    <n v="147"/>
    <n v="8526"/>
    <n v="2302.02"/>
    <n v="0.27"/>
    <x v="1"/>
  </r>
  <r>
    <x v="1"/>
    <n v="1128299"/>
    <x v="454"/>
    <x v="4"/>
    <s v="Florida"/>
    <s v="Orlando"/>
    <x v="5"/>
    <n v="66"/>
    <n v="198"/>
    <n v="13068"/>
    <n v="6534"/>
    <n v="0.5"/>
    <x v="1"/>
  </r>
  <r>
    <x v="1"/>
    <n v="1128299"/>
    <x v="483"/>
    <x v="4"/>
    <s v="Florida"/>
    <s v="Orlando"/>
    <x v="0"/>
    <n v="58"/>
    <n v="280"/>
    <n v="16240"/>
    <n v="5846.4"/>
    <n v="0.36"/>
    <x v="1"/>
  </r>
  <r>
    <x v="1"/>
    <n v="1128299"/>
    <x v="483"/>
    <x v="4"/>
    <s v="Florida"/>
    <s v="Orlando"/>
    <x v="1"/>
    <n v="55"/>
    <n v="256"/>
    <n v="14080"/>
    <n v="4364.8"/>
    <n v="0.31"/>
    <x v="1"/>
  </r>
  <r>
    <x v="3"/>
    <n v="1128299"/>
    <x v="483"/>
    <x v="4"/>
    <s v="Florida"/>
    <s v="Orlando"/>
    <x v="2"/>
    <n v="64"/>
    <n v="204"/>
    <n v="13056"/>
    <n v="4308.4799999999996"/>
    <n v="0.32999999999999996"/>
    <x v="1"/>
  </r>
  <r>
    <x v="3"/>
    <n v="1128299"/>
    <x v="483"/>
    <x v="4"/>
    <s v="Florida"/>
    <s v="Orlando"/>
    <x v="3"/>
    <n v="58"/>
    <n v="204"/>
    <n v="11832"/>
    <n v="4022.8799999999997"/>
    <n v="0.33999999999999997"/>
    <x v="1"/>
  </r>
  <r>
    <x v="3"/>
    <n v="1128299"/>
    <x v="483"/>
    <x v="4"/>
    <s v="Florida"/>
    <s v="Orlando"/>
    <x v="4"/>
    <n v="64"/>
    <n v="179"/>
    <n v="11456"/>
    <n v="2978.56"/>
    <n v="0.26"/>
    <x v="1"/>
  </r>
  <r>
    <x v="3"/>
    <n v="1128299"/>
    <x v="483"/>
    <x v="4"/>
    <s v="Florida"/>
    <s v="Orlando"/>
    <x v="5"/>
    <n v="64"/>
    <n v="200"/>
    <n v="12800"/>
    <n v="6144"/>
    <n v="0.48"/>
    <x v="1"/>
  </r>
  <r>
    <x v="3"/>
    <n v="1185732"/>
    <x v="176"/>
    <x v="4"/>
    <s v="Florida"/>
    <s v="Orlando"/>
    <x v="0"/>
    <n v="30"/>
    <n v="272"/>
    <n v="8160"/>
    <n v="4161.6000000000004"/>
    <n v="0.51"/>
    <x v="1"/>
  </r>
  <r>
    <x v="3"/>
    <n v="1185732"/>
    <x v="176"/>
    <x v="4"/>
    <s v="Florida"/>
    <s v="Orlando"/>
    <x v="1"/>
    <n v="36"/>
    <n v="221"/>
    <n v="7956"/>
    <n v="3182.3999999999996"/>
    <n v="0.39999999999999997"/>
    <x v="1"/>
  </r>
  <r>
    <x v="3"/>
    <n v="1185732"/>
    <x v="176"/>
    <x v="4"/>
    <s v="Florida"/>
    <s v="Orlando"/>
    <x v="2"/>
    <n v="26"/>
    <n v="202"/>
    <n v="5252"/>
    <n v="1523.08"/>
    <n v="0.28999999999999998"/>
    <x v="1"/>
  </r>
  <r>
    <x v="3"/>
    <n v="1185732"/>
    <x v="176"/>
    <x v="4"/>
    <s v="Florida"/>
    <s v="Orlando"/>
    <x v="3"/>
    <n v="30"/>
    <n v="170"/>
    <n v="5100"/>
    <n v="1887"/>
    <n v="0.37"/>
    <x v="1"/>
  </r>
  <r>
    <x v="3"/>
    <n v="1185732"/>
    <x v="176"/>
    <x v="4"/>
    <s v="Florida"/>
    <s v="Orlando"/>
    <x v="4"/>
    <n v="36"/>
    <n v="193"/>
    <n v="6948"/>
    <n v="2848.68"/>
    <n v="0.41"/>
    <x v="1"/>
  </r>
  <r>
    <x v="3"/>
    <n v="1185732"/>
    <x v="176"/>
    <x v="4"/>
    <s v="Florida"/>
    <s v="Orlando"/>
    <x v="5"/>
    <n v="35"/>
    <n v="221"/>
    <n v="7735"/>
    <n v="4254.25"/>
    <n v="0.55000000000000004"/>
    <x v="1"/>
  </r>
  <r>
    <x v="3"/>
    <n v="1185732"/>
    <x v="205"/>
    <x v="4"/>
    <s v="Florida"/>
    <s v="Orlando"/>
    <x v="0"/>
    <n v="36"/>
    <n v="288"/>
    <n v="10368"/>
    <n v="4872.96"/>
    <n v="0.47000000000000003"/>
    <x v="1"/>
  </r>
  <r>
    <x v="3"/>
    <n v="1185732"/>
    <x v="205"/>
    <x v="4"/>
    <s v="Florida"/>
    <s v="Orlando"/>
    <x v="1"/>
    <n v="31"/>
    <n v="165"/>
    <n v="5115"/>
    <n v="2097.15"/>
    <n v="0.41"/>
    <x v="1"/>
  </r>
  <r>
    <x v="3"/>
    <n v="1185732"/>
    <x v="205"/>
    <x v="4"/>
    <s v="Florida"/>
    <s v="Orlando"/>
    <x v="2"/>
    <n v="23"/>
    <n v="204"/>
    <n v="4692"/>
    <n v="1501.44"/>
    <n v="0.32"/>
    <x v="1"/>
  </r>
  <r>
    <x v="0"/>
    <n v="1128299"/>
    <x v="698"/>
    <x v="4"/>
    <s v="Virginia"/>
    <s v="Richmond"/>
    <x v="3"/>
    <n v="28"/>
    <n v="64"/>
    <n v="1792"/>
    <n v="734.71999999999991"/>
    <n v="0.41"/>
    <x v="1"/>
  </r>
  <r>
    <x v="0"/>
    <n v="1128299"/>
    <x v="698"/>
    <x v="4"/>
    <s v="Virginia"/>
    <s v="Richmond"/>
    <x v="4"/>
    <n v="29"/>
    <n v="39"/>
    <n v="1131"/>
    <n v="508.95"/>
    <n v="0.45"/>
    <x v="1"/>
  </r>
  <r>
    <x v="0"/>
    <n v="1128299"/>
    <x v="698"/>
    <x v="4"/>
    <s v="Virginia"/>
    <s v="Richmond"/>
    <x v="5"/>
    <n v="30"/>
    <n v="107"/>
    <n v="3210"/>
    <n v="1155.5999999999999"/>
    <n v="0.36"/>
    <x v="1"/>
  </r>
  <r>
    <x v="0"/>
    <n v="1128299"/>
    <x v="228"/>
    <x v="4"/>
    <s v="Virginia"/>
    <s v="Richmond"/>
    <x v="0"/>
    <n v="30"/>
    <n v="162"/>
    <n v="4860"/>
    <n v="1846.8"/>
    <n v="0.38"/>
    <x v="1"/>
  </r>
  <r>
    <x v="0"/>
    <n v="1128299"/>
    <x v="228"/>
    <x v="4"/>
    <s v="Virginia"/>
    <s v="Richmond"/>
    <x v="1"/>
    <n v="35"/>
    <n v="98"/>
    <n v="3430"/>
    <n v="1406.3"/>
    <n v="0.41"/>
    <x v="1"/>
  </r>
  <r>
    <x v="0"/>
    <n v="1128299"/>
    <x v="228"/>
    <x v="4"/>
    <s v="Virginia"/>
    <s v="Richmond"/>
    <x v="2"/>
    <n v="43"/>
    <n v="112"/>
    <n v="4816"/>
    <n v="1974.56"/>
    <n v="0.41"/>
    <x v="1"/>
  </r>
  <r>
    <x v="0"/>
    <n v="1128299"/>
    <x v="228"/>
    <x v="4"/>
    <s v="Virginia"/>
    <s v="Richmond"/>
    <x v="3"/>
    <n v="38"/>
    <n v="78"/>
    <n v="2964"/>
    <n v="1155.9599999999998"/>
    <n v="0.38999999999999996"/>
    <x v="1"/>
  </r>
  <r>
    <x v="0"/>
    <n v="1128299"/>
    <x v="228"/>
    <x v="4"/>
    <s v="Virginia"/>
    <s v="Richmond"/>
    <x v="4"/>
    <n v="43"/>
    <n v="33"/>
    <n v="1419"/>
    <n v="595.98"/>
    <n v="0.42000000000000004"/>
    <x v="1"/>
  </r>
  <r>
    <x v="0"/>
    <n v="1128299"/>
    <x v="228"/>
    <x v="4"/>
    <s v="Virginia"/>
    <s v="Richmond"/>
    <x v="5"/>
    <n v="35"/>
    <n v="102"/>
    <n v="3570"/>
    <n v="1285.2"/>
    <n v="0.36"/>
    <x v="1"/>
  </r>
  <r>
    <x v="0"/>
    <n v="1128299"/>
    <x v="247"/>
    <x v="4"/>
    <s v="Virginia"/>
    <s v="Richmond"/>
    <x v="0"/>
    <n v="38"/>
    <n v="147"/>
    <n v="5586"/>
    <n v="2066.8200000000002"/>
    <n v="0.37"/>
    <x v="1"/>
  </r>
  <r>
    <x v="0"/>
    <n v="1128299"/>
    <x v="247"/>
    <x v="4"/>
    <s v="Virginia"/>
    <s v="Richmond"/>
    <x v="1"/>
    <n v="44"/>
    <n v="85"/>
    <n v="3740"/>
    <n v="1533.3999999999999"/>
    <n v="0.41"/>
    <x v="1"/>
  </r>
  <r>
    <x v="0"/>
    <n v="1128299"/>
    <x v="247"/>
    <x v="4"/>
    <s v="Virginia"/>
    <s v="Richmond"/>
    <x v="2"/>
    <n v="41"/>
    <n v="114"/>
    <n v="4674"/>
    <n v="1729.3799999999999"/>
    <n v="0.37"/>
    <x v="1"/>
  </r>
  <r>
    <x v="0"/>
    <n v="1128299"/>
    <x v="247"/>
    <x v="4"/>
    <s v="Virginia"/>
    <s v="Richmond"/>
    <x v="3"/>
    <n v="32"/>
    <n v="68"/>
    <n v="2176"/>
    <n v="913.92"/>
    <n v="0.42"/>
    <x v="1"/>
  </r>
  <r>
    <x v="0"/>
    <n v="1128299"/>
    <x v="247"/>
    <x v="4"/>
    <s v="Virginia"/>
    <s v="Richmond"/>
    <x v="4"/>
    <n v="40"/>
    <n v="40"/>
    <n v="1600"/>
    <n v="672.00000000000011"/>
    <n v="0.42000000000000004"/>
    <x v="1"/>
  </r>
  <r>
    <x v="0"/>
    <n v="1128299"/>
    <x v="247"/>
    <x v="4"/>
    <s v="Virginia"/>
    <s v="Richmond"/>
    <x v="5"/>
    <n v="47"/>
    <n v="90"/>
    <n v="4230"/>
    <n v="1522.8"/>
    <n v="0.36"/>
    <x v="1"/>
  </r>
  <r>
    <x v="0"/>
    <n v="1128299"/>
    <x v="278"/>
    <x v="4"/>
    <s v="Virginia"/>
    <s v="Richmond"/>
    <x v="0"/>
    <n v="39"/>
    <n v="175"/>
    <n v="6825"/>
    <n v="2730"/>
    <n v="0.39999999999999997"/>
    <x v="1"/>
  </r>
  <r>
    <x v="0"/>
    <n v="1128299"/>
    <x v="278"/>
    <x v="4"/>
    <s v="Virginia"/>
    <s v="Richmond"/>
    <x v="1"/>
    <n v="40"/>
    <n v="105"/>
    <n v="4200"/>
    <n v="1722"/>
    <n v="0.41"/>
    <x v="1"/>
  </r>
  <r>
    <x v="0"/>
    <n v="1128299"/>
    <x v="278"/>
    <x v="4"/>
    <s v="Virginia"/>
    <s v="Richmond"/>
    <x v="2"/>
    <n v="37"/>
    <n v="109"/>
    <n v="4033"/>
    <n v="1492.21"/>
    <n v="0.37"/>
    <x v="1"/>
  </r>
  <r>
    <x v="0"/>
    <n v="1128299"/>
    <x v="278"/>
    <x v="4"/>
    <s v="Virginia"/>
    <s v="Richmond"/>
    <x v="3"/>
    <n v="33"/>
    <n v="85"/>
    <n v="2805"/>
    <n v="1065.9000000000001"/>
    <n v="0.38"/>
    <x v="1"/>
  </r>
  <r>
    <x v="0"/>
    <n v="1128299"/>
    <x v="278"/>
    <x v="4"/>
    <s v="Virginia"/>
    <s v="Richmond"/>
    <x v="4"/>
    <n v="34"/>
    <n v="54"/>
    <n v="1836"/>
    <n v="789.48000000000013"/>
    <n v="0.43000000000000005"/>
    <x v="1"/>
  </r>
  <r>
    <x v="0"/>
    <n v="1128299"/>
    <x v="278"/>
    <x v="4"/>
    <s v="Virginia"/>
    <s v="Richmond"/>
    <x v="5"/>
    <n v="44"/>
    <n v="168"/>
    <n v="7392"/>
    <n v="2587.1999999999998"/>
    <n v="0.35"/>
    <x v="1"/>
  </r>
  <r>
    <x v="0"/>
    <n v="1128299"/>
    <x v="308"/>
    <x v="4"/>
    <s v="Virginia"/>
    <s v="Richmond"/>
    <x v="0"/>
    <n v="37"/>
    <n v="233"/>
    <n v="8621"/>
    <n v="3189.77"/>
    <n v="0.37"/>
    <x v="1"/>
  </r>
  <r>
    <x v="0"/>
    <n v="1128299"/>
    <x v="308"/>
    <x v="4"/>
    <s v="Virginia"/>
    <s v="Richmond"/>
    <x v="1"/>
    <n v="45"/>
    <n v="221"/>
    <n v="9945"/>
    <n v="4077.45"/>
    <n v="0.41"/>
    <x v="1"/>
  </r>
  <r>
    <x v="0"/>
    <n v="1128299"/>
    <x v="308"/>
    <x v="4"/>
    <s v="Virginia"/>
    <s v="Richmond"/>
    <x v="2"/>
    <n v="58"/>
    <n v="208"/>
    <n v="12064"/>
    <n v="4463.68"/>
    <n v="0.37"/>
    <x v="1"/>
  </r>
  <r>
    <x v="0"/>
    <n v="1128299"/>
    <x v="308"/>
    <x v="4"/>
    <s v="Virginia"/>
    <s v="Richmond"/>
    <x v="3"/>
    <n v="61"/>
    <n v="184"/>
    <n v="11224"/>
    <n v="4601.84"/>
    <n v="0.41"/>
    <x v="1"/>
  </r>
  <r>
    <x v="0"/>
    <n v="1128299"/>
    <x v="308"/>
    <x v="4"/>
    <s v="Virginia"/>
    <s v="Richmond"/>
    <x v="4"/>
    <n v="68"/>
    <n v="128"/>
    <n v="8704"/>
    <n v="4003.84"/>
    <n v="0.46"/>
    <x v="1"/>
  </r>
  <r>
    <x v="0"/>
    <n v="1128299"/>
    <x v="308"/>
    <x v="4"/>
    <s v="Virginia"/>
    <s v="Richmond"/>
    <x v="5"/>
    <n v="82"/>
    <n v="231"/>
    <n v="18942"/>
    <n v="7008.54"/>
    <n v="0.37"/>
    <x v="1"/>
  </r>
  <r>
    <x v="0"/>
    <n v="1128299"/>
    <x v="337"/>
    <x v="4"/>
    <s v="Virginia"/>
    <s v="Richmond"/>
    <x v="0"/>
    <n v="60"/>
    <n v="272"/>
    <n v="16320"/>
    <n v="6038.4"/>
    <n v="0.37"/>
    <x v="1"/>
  </r>
  <r>
    <x v="0"/>
    <n v="1128299"/>
    <x v="337"/>
    <x v="4"/>
    <s v="Virginia"/>
    <s v="Richmond"/>
    <x v="1"/>
    <n v="60"/>
    <n v="224"/>
    <n v="13440"/>
    <n v="5107.2"/>
    <n v="0.38"/>
    <x v="1"/>
  </r>
  <r>
    <x v="0"/>
    <n v="1128299"/>
    <x v="337"/>
    <x v="4"/>
    <s v="Virginia"/>
    <s v="Richmond"/>
    <x v="2"/>
    <n v="62"/>
    <n v="208"/>
    <n v="12896"/>
    <n v="4900.4800000000005"/>
    <n v="0.38"/>
    <x v="1"/>
  </r>
  <r>
    <x v="0"/>
    <n v="1128299"/>
    <x v="337"/>
    <x v="4"/>
    <s v="Virginia"/>
    <s v="Richmond"/>
    <x v="3"/>
    <n v="65"/>
    <n v="187"/>
    <n v="12155"/>
    <n v="5105.0999999999995"/>
    <n v="0.42"/>
    <x v="1"/>
  </r>
  <r>
    <x v="0"/>
    <n v="1128299"/>
    <x v="337"/>
    <x v="4"/>
    <s v="Virginia"/>
    <s v="Richmond"/>
    <x v="4"/>
    <n v="72"/>
    <n v="210"/>
    <n v="15120"/>
    <n v="6501.6"/>
    <n v="0.43000000000000005"/>
    <x v="1"/>
  </r>
  <r>
    <x v="0"/>
    <n v="1128299"/>
    <x v="337"/>
    <x v="4"/>
    <s v="Virginia"/>
    <s v="Richmond"/>
    <x v="5"/>
    <n v="82"/>
    <n v="186"/>
    <n v="15252"/>
    <n v="5033.1599999999989"/>
    <n v="0.32999999999999996"/>
    <x v="1"/>
  </r>
  <r>
    <x v="0"/>
    <n v="1128299"/>
    <x v="369"/>
    <x v="4"/>
    <s v="Virginia"/>
    <s v="Richmond"/>
    <x v="0"/>
    <n v="67"/>
    <n v="272"/>
    <n v="18224"/>
    <n v="7289.5999999999995"/>
    <n v="0.39999999999999997"/>
    <x v="1"/>
  </r>
  <r>
    <x v="0"/>
    <n v="1128299"/>
    <x v="369"/>
    <x v="4"/>
    <s v="Virginia"/>
    <s v="Richmond"/>
    <x v="1"/>
    <n v="53"/>
    <n v="240"/>
    <n v="12720"/>
    <n v="5342.4"/>
    <n v="0.42"/>
    <x v="1"/>
  </r>
  <r>
    <x v="0"/>
    <n v="1128299"/>
    <x v="369"/>
    <x v="4"/>
    <s v="Virginia"/>
    <s v="Richmond"/>
    <x v="2"/>
    <n v="53"/>
    <n v="215"/>
    <n v="11395"/>
    <n v="4216.1499999999996"/>
    <n v="0.37"/>
    <x v="1"/>
  </r>
  <r>
    <x v="0"/>
    <n v="1128299"/>
    <x v="369"/>
    <x v="4"/>
    <s v="Virginia"/>
    <s v="Richmond"/>
    <x v="3"/>
    <n v="52"/>
    <n v="136"/>
    <n v="7072"/>
    <n v="2758.08"/>
    <n v="0.38999999999999996"/>
    <x v="1"/>
  </r>
  <r>
    <x v="0"/>
    <n v="1128299"/>
    <x v="369"/>
    <x v="4"/>
    <s v="Virginia"/>
    <s v="Richmond"/>
    <x v="4"/>
    <n v="51"/>
    <n v="132"/>
    <n v="6732"/>
    <n v="3029.4"/>
    <n v="0.45"/>
    <x v="1"/>
  </r>
  <r>
    <x v="0"/>
    <n v="1128299"/>
    <x v="369"/>
    <x v="4"/>
    <s v="Virginia"/>
    <s v="Richmond"/>
    <x v="5"/>
    <n v="55"/>
    <n v="80"/>
    <n v="4400"/>
    <n v="1495.9999999999998"/>
    <n v="0.33999999999999997"/>
    <x v="1"/>
  </r>
  <r>
    <x v="0"/>
    <n v="1128299"/>
    <x v="401"/>
    <x v="4"/>
    <s v="Virginia"/>
    <s v="Richmond"/>
    <x v="0"/>
    <n v="35"/>
    <n v="149"/>
    <n v="5215"/>
    <n v="2190.2999999999997"/>
    <n v="0.42"/>
    <x v="1"/>
  </r>
  <r>
    <x v="0"/>
    <n v="1128299"/>
    <x v="401"/>
    <x v="4"/>
    <s v="Virginia"/>
    <s v="Richmond"/>
    <x v="1"/>
    <n v="43"/>
    <n v="153"/>
    <n v="6579"/>
    <n v="2565.81"/>
    <n v="0.38999999999999996"/>
    <x v="1"/>
  </r>
  <r>
    <x v="0"/>
    <n v="1128299"/>
    <x v="401"/>
    <x v="4"/>
    <s v="Virginia"/>
    <s v="Richmond"/>
    <x v="2"/>
    <n v="34"/>
    <n v="78"/>
    <n v="2652"/>
    <n v="1060.8"/>
    <n v="0.39999999999999997"/>
    <x v="1"/>
  </r>
  <r>
    <x v="0"/>
    <n v="1128299"/>
    <x v="401"/>
    <x v="4"/>
    <s v="Virginia"/>
    <s v="Richmond"/>
    <x v="3"/>
    <n v="37"/>
    <n v="70"/>
    <n v="2590"/>
    <n v="1036"/>
    <n v="0.39999999999999997"/>
    <x v="1"/>
  </r>
  <r>
    <x v="0"/>
    <n v="1128299"/>
    <x v="401"/>
    <x v="4"/>
    <s v="Virginia"/>
    <s v="Richmond"/>
    <x v="4"/>
    <n v="39"/>
    <n v="74"/>
    <n v="2886"/>
    <n v="1356.42"/>
    <n v="0.47000000000000003"/>
    <x v="1"/>
  </r>
  <r>
    <x v="0"/>
    <n v="1128299"/>
    <x v="401"/>
    <x v="4"/>
    <s v="Virginia"/>
    <s v="Richmond"/>
    <x v="5"/>
    <n v="33"/>
    <n v="83"/>
    <n v="2739"/>
    <n v="986.04"/>
    <n v="0.36"/>
    <x v="1"/>
  </r>
  <r>
    <x v="0"/>
    <n v="1128299"/>
    <x v="430"/>
    <x v="4"/>
    <s v="Virginia"/>
    <s v="Richmond"/>
    <x v="0"/>
    <n v="28"/>
    <n v="119"/>
    <n v="3332"/>
    <n v="1332.8"/>
    <n v="0.39999999999999997"/>
    <x v="1"/>
  </r>
  <r>
    <x v="0"/>
    <n v="1128299"/>
    <x v="430"/>
    <x v="4"/>
    <s v="Virginia"/>
    <s v="Richmond"/>
    <x v="1"/>
    <n v="39"/>
    <n v="173"/>
    <n v="6747"/>
    <n v="2563.86"/>
    <n v="0.38"/>
    <x v="1"/>
  </r>
  <r>
    <x v="0"/>
    <n v="1128299"/>
    <x v="430"/>
    <x v="4"/>
    <s v="Virginia"/>
    <s v="Richmond"/>
    <x v="2"/>
    <n v="39"/>
    <n v="119"/>
    <n v="4641"/>
    <n v="1949.22"/>
    <n v="0.42"/>
    <x v="1"/>
  </r>
  <r>
    <x v="0"/>
    <n v="1128299"/>
    <x v="430"/>
    <x v="4"/>
    <s v="Virginia"/>
    <s v="Richmond"/>
    <x v="3"/>
    <n v="31"/>
    <n v="101"/>
    <n v="3131"/>
    <n v="1158.47"/>
    <n v="0.37"/>
    <x v="1"/>
  </r>
  <r>
    <x v="0"/>
    <n v="1128299"/>
    <x v="430"/>
    <x v="4"/>
    <s v="Virginia"/>
    <s v="Richmond"/>
    <x v="4"/>
    <n v="42"/>
    <n v="105"/>
    <n v="4410"/>
    <n v="2072.7000000000003"/>
    <n v="0.47000000000000003"/>
    <x v="1"/>
  </r>
  <r>
    <x v="0"/>
    <n v="1128299"/>
    <x v="430"/>
    <x v="4"/>
    <s v="Virginia"/>
    <s v="Richmond"/>
    <x v="5"/>
    <n v="40"/>
    <n v="109"/>
    <n v="4360"/>
    <n v="1395.2"/>
    <n v="0.32"/>
    <x v="1"/>
  </r>
  <r>
    <x v="0"/>
    <n v="1128299"/>
    <x v="461"/>
    <x v="4"/>
    <s v="Virginia"/>
    <s v="Richmond"/>
    <x v="0"/>
    <n v="34"/>
    <n v="173"/>
    <n v="5882"/>
    <n v="2470.44"/>
    <n v="0.42"/>
    <x v="1"/>
  </r>
  <r>
    <x v="0"/>
    <n v="1128299"/>
    <x v="461"/>
    <x v="4"/>
    <s v="Virginia"/>
    <s v="Richmond"/>
    <x v="1"/>
    <n v="34"/>
    <n v="221"/>
    <n v="7514"/>
    <n v="2780.18"/>
    <n v="0.37"/>
    <x v="1"/>
  </r>
  <r>
    <x v="0"/>
    <n v="1128299"/>
    <x v="461"/>
    <x v="4"/>
    <s v="Virginia"/>
    <s v="Richmond"/>
    <x v="2"/>
    <n v="33"/>
    <n v="143"/>
    <n v="4719"/>
    <n v="1840.4099999999999"/>
    <n v="0.38999999999999996"/>
    <x v="1"/>
  </r>
  <r>
    <x v="0"/>
    <n v="1128299"/>
    <x v="461"/>
    <x v="4"/>
    <s v="Virginia"/>
    <s v="Richmond"/>
    <x v="3"/>
    <n v="36"/>
    <n v="144"/>
    <n v="5184"/>
    <n v="2021.7599999999998"/>
    <n v="0.38999999999999996"/>
    <x v="1"/>
  </r>
  <r>
    <x v="0"/>
    <n v="1128299"/>
    <x v="461"/>
    <x v="4"/>
    <s v="Virginia"/>
    <s v="Richmond"/>
    <x v="4"/>
    <n v="56"/>
    <n v="136"/>
    <n v="7616"/>
    <n v="3351.04"/>
    <n v="0.44"/>
    <x v="1"/>
  </r>
  <r>
    <x v="0"/>
    <n v="1128299"/>
    <x v="461"/>
    <x v="4"/>
    <s v="Virginia"/>
    <s v="Richmond"/>
    <x v="5"/>
    <n v="60"/>
    <n v="176"/>
    <n v="10560"/>
    <n v="3484.7999999999997"/>
    <n v="0.32999999999999996"/>
    <x v="1"/>
  </r>
  <r>
    <x v="0"/>
    <n v="1128299"/>
    <x v="490"/>
    <x v="4"/>
    <s v="Virginia"/>
    <s v="Richmond"/>
    <x v="0"/>
    <n v="49"/>
    <n v="248"/>
    <n v="12152"/>
    <n v="4860.7999999999993"/>
    <n v="0.39999999999999997"/>
    <x v="1"/>
  </r>
  <r>
    <x v="0"/>
    <n v="1128299"/>
    <x v="490"/>
    <x v="4"/>
    <s v="Virginia"/>
    <s v="Richmond"/>
    <x v="1"/>
    <n v="54"/>
    <n v="225"/>
    <n v="12150"/>
    <n v="4981.5"/>
    <n v="0.41"/>
    <x v="1"/>
  </r>
  <r>
    <x v="2"/>
    <n v="1128299"/>
    <x v="490"/>
    <x v="4"/>
    <s v="Virginia"/>
    <s v="Richmond"/>
    <x v="2"/>
    <n v="53"/>
    <n v="165"/>
    <n v="8745"/>
    <n v="3497.9999999999995"/>
    <n v="0.39999999999999997"/>
    <x v="1"/>
  </r>
  <r>
    <x v="2"/>
    <n v="1128299"/>
    <x v="490"/>
    <x v="4"/>
    <s v="Virginia"/>
    <s v="Richmond"/>
    <x v="3"/>
    <n v="51"/>
    <n v="176"/>
    <n v="8976"/>
    <n v="3500.6399999999994"/>
    <n v="0.38999999999999996"/>
    <x v="1"/>
  </r>
  <r>
    <x v="2"/>
    <n v="1128299"/>
    <x v="490"/>
    <x v="4"/>
    <s v="Virginia"/>
    <s v="Richmond"/>
    <x v="4"/>
    <n v="59"/>
    <n v="157"/>
    <n v="9263"/>
    <n v="3890.4600000000005"/>
    <n v="0.42000000000000004"/>
    <x v="1"/>
  </r>
  <r>
    <x v="2"/>
    <n v="1128299"/>
    <x v="490"/>
    <x v="4"/>
    <s v="Virginia"/>
    <s v="Richmond"/>
    <x v="5"/>
    <n v="65"/>
    <n v="190"/>
    <n v="12350"/>
    <n v="4322.5"/>
    <n v="0.35"/>
    <x v="1"/>
  </r>
  <r>
    <x v="2"/>
    <n v="1185732"/>
    <x v="183"/>
    <x v="4"/>
    <s v="Virginia"/>
    <s v="Richmond"/>
    <x v="0"/>
    <n v="23"/>
    <n v="233"/>
    <n v="5359"/>
    <n v="2786.6800000000003"/>
    <n v="0.52"/>
    <x v="1"/>
  </r>
  <r>
    <x v="2"/>
    <n v="1185732"/>
    <x v="183"/>
    <x v="4"/>
    <s v="Virginia"/>
    <s v="Richmond"/>
    <x v="1"/>
    <n v="28"/>
    <n v="187"/>
    <n v="5236"/>
    <n v="2460.92"/>
    <n v="0.47"/>
    <x v="1"/>
  </r>
  <r>
    <x v="2"/>
    <n v="1185732"/>
    <x v="183"/>
    <x v="4"/>
    <s v="Virginia"/>
    <s v="Richmond"/>
    <x v="2"/>
    <n v="18"/>
    <n v="176"/>
    <n v="3168"/>
    <n v="1013.76"/>
    <n v="0.32"/>
    <x v="1"/>
  </r>
  <r>
    <x v="2"/>
    <n v="1185732"/>
    <x v="183"/>
    <x v="4"/>
    <s v="Virginia"/>
    <s v="Richmond"/>
    <x v="3"/>
    <n v="21"/>
    <n v="136"/>
    <n v="2856"/>
    <n v="1199.52"/>
    <n v="0.42"/>
    <x v="1"/>
  </r>
  <r>
    <x v="2"/>
    <n v="1185732"/>
    <x v="183"/>
    <x v="4"/>
    <s v="Virginia"/>
    <s v="Richmond"/>
    <x v="4"/>
    <n v="30"/>
    <n v="140"/>
    <n v="4200"/>
    <n v="1889.9999999999998"/>
    <n v="0.44999999999999996"/>
    <x v="1"/>
  </r>
  <r>
    <x v="2"/>
    <n v="1185732"/>
    <x v="183"/>
    <x v="4"/>
    <s v="Virginia"/>
    <s v="Richmond"/>
    <x v="5"/>
    <n v="25"/>
    <n v="193"/>
    <n v="4825"/>
    <n v="2798.5000000000005"/>
    <n v="0.58000000000000007"/>
    <x v="1"/>
  </r>
  <r>
    <x v="2"/>
    <n v="1185732"/>
    <x v="212"/>
    <x v="4"/>
    <s v="Virginia"/>
    <s v="Richmond"/>
    <x v="0"/>
    <n v="26"/>
    <n v="256"/>
    <n v="6656"/>
    <n v="3660.8"/>
    <n v="0.55000000000000004"/>
    <x v="1"/>
  </r>
  <r>
    <x v="2"/>
    <n v="1185732"/>
    <x v="212"/>
    <x v="4"/>
    <s v="Virginia"/>
    <s v="Richmond"/>
    <x v="1"/>
    <n v="27"/>
    <n v="153"/>
    <n v="4131"/>
    <n v="1858.9499999999998"/>
    <n v="0.44999999999999996"/>
    <x v="1"/>
  </r>
  <r>
    <x v="2"/>
    <n v="1185732"/>
    <x v="212"/>
    <x v="4"/>
    <s v="Virginia"/>
    <s v="Richmond"/>
    <x v="2"/>
    <n v="17"/>
    <n v="170"/>
    <n v="2890"/>
    <n v="1040.3999999999999"/>
    <n v="0.36"/>
    <x v="1"/>
  </r>
  <r>
    <x v="3"/>
    <n v="1185732"/>
    <x v="206"/>
    <x v="2"/>
    <s v="Utah"/>
    <s v="Salt Lake City"/>
    <x v="3"/>
    <n v="16"/>
    <n v="93"/>
    <n v="1488"/>
    <n v="624.96"/>
    <n v="0.42000000000000004"/>
    <x v="1"/>
  </r>
  <r>
    <x v="3"/>
    <n v="1185732"/>
    <x v="206"/>
    <x v="2"/>
    <s v="Utah"/>
    <s v="Salt Lake City"/>
    <x v="4"/>
    <n v="28"/>
    <n v="120"/>
    <n v="3360"/>
    <n v="1411.2"/>
    <n v="0.42"/>
    <x v="1"/>
  </r>
  <r>
    <x v="3"/>
    <n v="1185732"/>
    <x v="206"/>
    <x v="2"/>
    <s v="Utah"/>
    <s v="Salt Lake City"/>
    <x v="5"/>
    <n v="18"/>
    <n v="149"/>
    <n v="2682"/>
    <n v="1475.1000000000001"/>
    <n v="0.55000000000000004"/>
    <x v="1"/>
  </r>
  <r>
    <x v="3"/>
    <n v="1185732"/>
    <x v="215"/>
    <x v="2"/>
    <s v="Utah"/>
    <s v="Salt Lake City"/>
    <x v="0"/>
    <n v="20"/>
    <n v="228"/>
    <n v="4560"/>
    <n v="1960.8000000000002"/>
    <n v="0.43000000000000005"/>
    <x v="1"/>
  </r>
  <r>
    <x v="3"/>
    <n v="1185732"/>
    <x v="215"/>
    <x v="2"/>
    <s v="Utah"/>
    <s v="Salt Lake City"/>
    <x v="1"/>
    <n v="22"/>
    <n v="105"/>
    <n v="2310"/>
    <n v="923.99999999999989"/>
    <n v="0.39999999999999997"/>
    <x v="1"/>
  </r>
  <r>
    <x v="3"/>
    <n v="1185732"/>
    <x v="215"/>
    <x v="2"/>
    <s v="Utah"/>
    <s v="Salt Lake City"/>
    <x v="2"/>
    <n v="16"/>
    <n v="140"/>
    <n v="2240"/>
    <n v="873.59999999999991"/>
    <n v="0.38999999999999996"/>
    <x v="1"/>
  </r>
  <r>
    <x v="3"/>
    <n v="1185732"/>
    <x v="215"/>
    <x v="2"/>
    <s v="Utah"/>
    <s v="Salt Lake City"/>
    <x v="3"/>
    <n v="20"/>
    <n v="75"/>
    <n v="1500"/>
    <n v="630.00000000000011"/>
    <n v="0.42000000000000004"/>
    <x v="1"/>
  </r>
  <r>
    <x v="3"/>
    <n v="1185732"/>
    <x v="215"/>
    <x v="2"/>
    <s v="Utah"/>
    <s v="Salt Lake City"/>
    <x v="4"/>
    <n v="28"/>
    <n v="90"/>
    <n v="2520"/>
    <n v="1007.9999999999999"/>
    <n v="0.39999999999999997"/>
    <x v="1"/>
  </r>
  <r>
    <x v="3"/>
    <n v="1185732"/>
    <x v="215"/>
    <x v="2"/>
    <s v="Utah"/>
    <s v="Salt Lake City"/>
    <x v="5"/>
    <n v="21"/>
    <n v="140"/>
    <n v="2940"/>
    <n v="1675.8000000000002"/>
    <n v="0.57000000000000006"/>
    <x v="1"/>
  </r>
  <r>
    <x v="3"/>
    <n v="1185732"/>
    <x v="234"/>
    <x v="2"/>
    <s v="Utah"/>
    <s v="Salt Lake City"/>
    <x v="0"/>
    <n v="20"/>
    <n v="194"/>
    <n v="3880"/>
    <n v="1784.8000000000002"/>
    <n v="0.46"/>
    <x v="1"/>
  </r>
  <r>
    <x v="3"/>
    <n v="1185732"/>
    <x v="234"/>
    <x v="2"/>
    <s v="Utah"/>
    <s v="Salt Lake City"/>
    <x v="1"/>
    <n v="20"/>
    <n v="111"/>
    <n v="2220"/>
    <n v="821.4"/>
    <n v="0.37"/>
    <x v="1"/>
  </r>
  <r>
    <x v="3"/>
    <n v="1185732"/>
    <x v="234"/>
    <x v="2"/>
    <s v="Utah"/>
    <s v="Salt Lake City"/>
    <x v="2"/>
    <n v="10"/>
    <n v="107"/>
    <n v="1070"/>
    <n v="438.7"/>
    <n v="0.41"/>
    <x v="1"/>
  </r>
  <r>
    <x v="3"/>
    <n v="1185732"/>
    <x v="234"/>
    <x v="2"/>
    <s v="Utah"/>
    <s v="Salt Lake City"/>
    <x v="3"/>
    <n v="14"/>
    <n v="75"/>
    <n v="1050"/>
    <n v="472.5"/>
    <n v="0.45"/>
    <x v="1"/>
  </r>
  <r>
    <x v="3"/>
    <n v="1185732"/>
    <x v="234"/>
    <x v="2"/>
    <s v="Utah"/>
    <s v="Salt Lake City"/>
    <x v="4"/>
    <n v="24"/>
    <n v="88"/>
    <n v="2112"/>
    <n v="823.68"/>
    <n v="0.38999999999999996"/>
    <x v="1"/>
  </r>
  <r>
    <x v="3"/>
    <n v="1185732"/>
    <x v="234"/>
    <x v="2"/>
    <s v="Utah"/>
    <s v="Salt Lake City"/>
    <x v="5"/>
    <n v="20"/>
    <n v="136"/>
    <n v="2720"/>
    <n v="1414.4"/>
    <n v="0.52"/>
    <x v="1"/>
  </r>
  <r>
    <x v="3"/>
    <n v="1185732"/>
    <x v="265"/>
    <x v="2"/>
    <s v="Utah"/>
    <s v="Salt Lake City"/>
    <x v="0"/>
    <n v="27"/>
    <n v="228"/>
    <n v="6156"/>
    <n v="2647.0800000000004"/>
    <n v="0.43000000000000005"/>
    <x v="1"/>
  </r>
  <r>
    <x v="3"/>
    <n v="1185732"/>
    <x v="265"/>
    <x v="2"/>
    <s v="Utah"/>
    <s v="Salt Lake City"/>
    <x v="1"/>
    <n v="22"/>
    <n v="128"/>
    <n v="2816"/>
    <n v="1182.72"/>
    <n v="0.42"/>
    <x v="1"/>
  </r>
  <r>
    <x v="3"/>
    <n v="1185732"/>
    <x v="265"/>
    <x v="2"/>
    <s v="Utah"/>
    <s v="Salt Lake City"/>
    <x v="2"/>
    <n v="19"/>
    <n v="109"/>
    <n v="2071"/>
    <n v="786.98"/>
    <n v="0.38"/>
    <x v="1"/>
  </r>
  <r>
    <x v="3"/>
    <n v="1185732"/>
    <x v="265"/>
    <x v="2"/>
    <s v="Utah"/>
    <s v="Salt Lake City"/>
    <x v="3"/>
    <n v="19"/>
    <n v="94"/>
    <n v="1786"/>
    <n v="767.98000000000013"/>
    <n v="0.43000000000000005"/>
    <x v="1"/>
  </r>
  <r>
    <x v="3"/>
    <n v="1185732"/>
    <x v="265"/>
    <x v="2"/>
    <s v="Utah"/>
    <s v="Salt Lake City"/>
    <x v="4"/>
    <n v="29"/>
    <n v="90"/>
    <n v="2610"/>
    <n v="1096.2"/>
    <n v="0.42"/>
    <x v="1"/>
  </r>
  <r>
    <x v="3"/>
    <n v="1185732"/>
    <x v="265"/>
    <x v="2"/>
    <s v="Utah"/>
    <s v="Salt Lake City"/>
    <x v="5"/>
    <n v="32"/>
    <n v="128"/>
    <n v="4096"/>
    <n v="2334.7200000000003"/>
    <n v="0.57000000000000006"/>
    <x v="1"/>
  </r>
  <r>
    <x v="3"/>
    <n v="1185732"/>
    <x v="295"/>
    <x v="2"/>
    <s v="Utah"/>
    <s v="Salt Lake City"/>
    <x v="0"/>
    <n v="21"/>
    <n v="208"/>
    <n v="4368"/>
    <n v="1878.2400000000002"/>
    <n v="0.43000000000000005"/>
    <x v="1"/>
  </r>
  <r>
    <x v="3"/>
    <n v="1185732"/>
    <x v="295"/>
    <x v="2"/>
    <s v="Utah"/>
    <s v="Salt Lake City"/>
    <x v="1"/>
    <n v="18"/>
    <n v="132"/>
    <n v="2376"/>
    <n v="950.4"/>
    <n v="0.39999999999999997"/>
    <x v="1"/>
  </r>
  <r>
    <x v="3"/>
    <n v="1185732"/>
    <x v="295"/>
    <x v="2"/>
    <s v="Utah"/>
    <s v="Salt Lake City"/>
    <x v="2"/>
    <n v="13"/>
    <n v="128"/>
    <n v="1664"/>
    <n v="615.67999999999995"/>
    <n v="0.37"/>
    <x v="1"/>
  </r>
  <r>
    <x v="3"/>
    <n v="1185732"/>
    <x v="295"/>
    <x v="2"/>
    <s v="Utah"/>
    <s v="Salt Lake City"/>
    <x v="3"/>
    <n v="13"/>
    <n v="132"/>
    <n v="1716"/>
    <n v="737.88000000000011"/>
    <n v="0.43000000000000005"/>
    <x v="1"/>
  </r>
  <r>
    <x v="3"/>
    <n v="1185732"/>
    <x v="295"/>
    <x v="2"/>
    <s v="Utah"/>
    <s v="Salt Lake City"/>
    <x v="4"/>
    <n v="24"/>
    <n v="132"/>
    <n v="3168"/>
    <n v="1172.1600000000001"/>
    <n v="0.37"/>
    <x v="1"/>
  </r>
  <r>
    <x v="3"/>
    <n v="1185732"/>
    <x v="295"/>
    <x v="2"/>
    <s v="Utah"/>
    <s v="Salt Lake City"/>
    <x v="5"/>
    <n v="32"/>
    <n v="190"/>
    <n v="6080"/>
    <n v="3283.2000000000003"/>
    <n v="0.54"/>
    <x v="1"/>
  </r>
  <r>
    <x v="3"/>
    <n v="1185732"/>
    <x v="324"/>
    <x v="2"/>
    <s v="Utah"/>
    <s v="Salt Lake City"/>
    <x v="0"/>
    <n v="28"/>
    <n v="248"/>
    <n v="6944"/>
    <n v="2985.9200000000005"/>
    <n v="0.43000000000000005"/>
    <x v="1"/>
  </r>
  <r>
    <x v="3"/>
    <n v="1185732"/>
    <x v="324"/>
    <x v="2"/>
    <s v="Utah"/>
    <s v="Salt Lake City"/>
    <x v="1"/>
    <n v="20"/>
    <n v="182"/>
    <n v="3640"/>
    <n v="1419.6"/>
    <n v="0.38999999999999996"/>
    <x v="1"/>
  </r>
  <r>
    <x v="3"/>
    <n v="1185732"/>
    <x v="324"/>
    <x v="2"/>
    <s v="Utah"/>
    <s v="Salt Lake City"/>
    <x v="2"/>
    <n v="19"/>
    <n v="157"/>
    <n v="2983"/>
    <n v="1163.3699999999999"/>
    <n v="0.38999999999999996"/>
    <x v="1"/>
  </r>
  <r>
    <x v="3"/>
    <n v="1185732"/>
    <x v="324"/>
    <x v="2"/>
    <s v="Utah"/>
    <s v="Salt Lake City"/>
    <x v="3"/>
    <n v="16"/>
    <n v="128"/>
    <n v="2048"/>
    <n v="962.56000000000006"/>
    <n v="0.47000000000000003"/>
    <x v="1"/>
  </r>
  <r>
    <x v="3"/>
    <n v="1185732"/>
    <x v="324"/>
    <x v="2"/>
    <s v="Utah"/>
    <s v="Salt Lake City"/>
    <x v="4"/>
    <n v="28"/>
    <n v="140"/>
    <n v="3920"/>
    <n v="1489.6"/>
    <n v="0.38"/>
    <x v="1"/>
  </r>
  <r>
    <x v="3"/>
    <n v="1185732"/>
    <x v="324"/>
    <x v="2"/>
    <s v="Utah"/>
    <s v="Salt Lake City"/>
    <x v="5"/>
    <n v="32"/>
    <n v="204"/>
    <n v="6528"/>
    <n v="3590.4"/>
    <n v="0.55000000000000004"/>
    <x v="1"/>
  </r>
  <r>
    <x v="3"/>
    <n v="1185732"/>
    <x v="356"/>
    <x v="2"/>
    <s v="Utah"/>
    <s v="Salt Lake City"/>
    <x v="0"/>
    <n v="27"/>
    <n v="248"/>
    <n v="6696"/>
    <n v="3147.1200000000003"/>
    <n v="0.47000000000000003"/>
    <x v="1"/>
  </r>
  <r>
    <x v="3"/>
    <n v="1185732"/>
    <x v="356"/>
    <x v="2"/>
    <s v="Utah"/>
    <s v="Salt Lake City"/>
    <x v="1"/>
    <n v="28"/>
    <n v="179"/>
    <n v="5012"/>
    <n v="2105.04"/>
    <n v="0.42"/>
    <x v="1"/>
  </r>
  <r>
    <x v="3"/>
    <n v="1185732"/>
    <x v="356"/>
    <x v="2"/>
    <s v="Utah"/>
    <s v="Salt Lake City"/>
    <x v="2"/>
    <n v="23"/>
    <n v="158"/>
    <n v="3634"/>
    <n v="1489.9399999999998"/>
    <n v="0.41"/>
    <x v="1"/>
  </r>
  <r>
    <x v="3"/>
    <n v="1185732"/>
    <x v="356"/>
    <x v="2"/>
    <s v="Utah"/>
    <s v="Salt Lake City"/>
    <x v="3"/>
    <n v="14"/>
    <n v="124"/>
    <n v="1736"/>
    <n v="815.92000000000007"/>
    <n v="0.47000000000000003"/>
    <x v="1"/>
  </r>
  <r>
    <x v="3"/>
    <n v="1185732"/>
    <x v="356"/>
    <x v="2"/>
    <s v="Utah"/>
    <s v="Salt Lake City"/>
    <x v="4"/>
    <n v="23"/>
    <n v="109"/>
    <n v="2507"/>
    <n v="977.7299999999999"/>
    <n v="0.38999999999999996"/>
    <x v="1"/>
  </r>
  <r>
    <x v="3"/>
    <n v="1185732"/>
    <x v="356"/>
    <x v="2"/>
    <s v="Utah"/>
    <s v="Salt Lake City"/>
    <x v="5"/>
    <n v="27"/>
    <n v="184"/>
    <n v="4968"/>
    <n v="2831.76"/>
    <n v="0.57000000000000006"/>
    <x v="1"/>
  </r>
  <r>
    <x v="3"/>
    <n v="1185732"/>
    <x v="388"/>
    <x v="2"/>
    <s v="Utah"/>
    <s v="Salt Lake City"/>
    <x v="0"/>
    <n v="23"/>
    <n v="228"/>
    <n v="5244"/>
    <n v="2359.8000000000002"/>
    <n v="0.45"/>
    <x v="1"/>
  </r>
  <r>
    <x v="3"/>
    <n v="1185732"/>
    <x v="388"/>
    <x v="2"/>
    <s v="Utah"/>
    <s v="Salt Lake City"/>
    <x v="1"/>
    <n v="19"/>
    <n v="158"/>
    <n v="3002"/>
    <n v="1140.76"/>
    <n v="0.38"/>
    <x v="1"/>
  </r>
  <r>
    <x v="3"/>
    <n v="1185732"/>
    <x v="388"/>
    <x v="2"/>
    <s v="Utah"/>
    <s v="Salt Lake City"/>
    <x v="2"/>
    <n v="7"/>
    <n v="105"/>
    <n v="735"/>
    <n v="308.7"/>
    <n v="0.42"/>
    <x v="1"/>
  </r>
  <r>
    <x v="3"/>
    <n v="1185732"/>
    <x v="388"/>
    <x v="2"/>
    <s v="Utah"/>
    <s v="Salt Lake City"/>
    <x v="3"/>
    <n v="7"/>
    <n v="111"/>
    <n v="777"/>
    <n v="357.42"/>
    <n v="0.46"/>
    <x v="1"/>
  </r>
  <r>
    <x v="3"/>
    <n v="1185732"/>
    <x v="388"/>
    <x v="2"/>
    <s v="Utah"/>
    <s v="Salt Lake City"/>
    <x v="4"/>
    <n v="16"/>
    <n v="114"/>
    <n v="1824"/>
    <n v="747.83999999999992"/>
    <n v="0.41"/>
    <x v="1"/>
  </r>
  <r>
    <x v="3"/>
    <n v="1185732"/>
    <x v="388"/>
    <x v="2"/>
    <s v="Utah"/>
    <s v="Salt Lake City"/>
    <x v="5"/>
    <n v="18"/>
    <n v="132"/>
    <n v="2376"/>
    <n v="1354.3200000000002"/>
    <n v="0.57000000000000006"/>
    <x v="1"/>
  </r>
  <r>
    <x v="3"/>
    <n v="1185732"/>
    <x v="417"/>
    <x v="2"/>
    <s v="Utah"/>
    <s v="Salt Lake City"/>
    <x v="0"/>
    <n v="24"/>
    <n v="201"/>
    <n v="4824"/>
    <n v="2267.2800000000002"/>
    <n v="0.47000000000000003"/>
    <x v="1"/>
  </r>
  <r>
    <x v="3"/>
    <n v="1185732"/>
    <x v="417"/>
    <x v="2"/>
    <s v="Utah"/>
    <s v="Salt Lake City"/>
    <x v="1"/>
    <n v="14"/>
    <n v="132"/>
    <n v="1848"/>
    <n v="739.19999999999993"/>
    <n v="0.39999999999999997"/>
    <x v="1"/>
  </r>
  <r>
    <x v="3"/>
    <n v="1185732"/>
    <x v="417"/>
    <x v="2"/>
    <s v="Utah"/>
    <s v="Salt Lake City"/>
    <x v="2"/>
    <n v="13"/>
    <n v="90"/>
    <n v="1170"/>
    <n v="479.7"/>
    <n v="0.41"/>
    <x v="1"/>
  </r>
  <r>
    <x v="3"/>
    <n v="1185732"/>
    <x v="417"/>
    <x v="2"/>
    <s v="Utah"/>
    <s v="Salt Lake City"/>
    <x v="3"/>
    <n v="13"/>
    <n v="94"/>
    <n v="1222"/>
    <n v="562.12"/>
    <n v="0.46"/>
    <x v="1"/>
  </r>
  <r>
    <x v="3"/>
    <n v="1185732"/>
    <x v="417"/>
    <x v="2"/>
    <s v="Utah"/>
    <s v="Salt Lake City"/>
    <x v="4"/>
    <n v="20"/>
    <n v="85"/>
    <n v="1700"/>
    <n v="662.99999999999989"/>
    <n v="0.38999999999999996"/>
    <x v="1"/>
  </r>
  <r>
    <x v="3"/>
    <n v="1185732"/>
    <x v="417"/>
    <x v="2"/>
    <s v="Utah"/>
    <s v="Salt Lake City"/>
    <x v="5"/>
    <n v="25"/>
    <n v="140"/>
    <n v="3500"/>
    <n v="1890.0000000000002"/>
    <n v="0.54"/>
    <x v="1"/>
  </r>
  <r>
    <x v="3"/>
    <n v="1185732"/>
    <x v="448"/>
    <x v="2"/>
    <s v="Utah"/>
    <s v="Salt Lake City"/>
    <x v="0"/>
    <n v="22"/>
    <n v="165"/>
    <n v="3630"/>
    <n v="1560.9"/>
    <n v="0.43000000000000005"/>
    <x v="1"/>
  </r>
  <r>
    <x v="3"/>
    <n v="1185732"/>
    <x v="448"/>
    <x v="2"/>
    <s v="Utah"/>
    <s v="Salt Lake City"/>
    <x v="1"/>
    <n v="14"/>
    <n v="136"/>
    <n v="1904"/>
    <n v="742.56"/>
    <n v="0.38999999999999996"/>
    <x v="1"/>
  </r>
  <r>
    <x v="3"/>
    <n v="1185732"/>
    <x v="448"/>
    <x v="2"/>
    <s v="Utah"/>
    <s v="Salt Lake City"/>
    <x v="2"/>
    <n v="14"/>
    <n v="107"/>
    <n v="1498"/>
    <n v="629.16"/>
    <n v="0.42"/>
    <x v="1"/>
  </r>
  <r>
    <x v="3"/>
    <n v="1185732"/>
    <x v="448"/>
    <x v="2"/>
    <s v="Utah"/>
    <s v="Salt Lake City"/>
    <x v="3"/>
    <n v="15"/>
    <n v="124"/>
    <n v="1860"/>
    <n v="781.2"/>
    <n v="0.42000000000000004"/>
    <x v="1"/>
  </r>
  <r>
    <x v="3"/>
    <n v="1185732"/>
    <x v="448"/>
    <x v="2"/>
    <s v="Utah"/>
    <s v="Salt Lake City"/>
    <x v="4"/>
    <n v="28"/>
    <n v="123"/>
    <n v="3444"/>
    <n v="1308.72"/>
    <n v="0.38"/>
    <x v="1"/>
  </r>
  <r>
    <x v="3"/>
    <n v="1185732"/>
    <x v="448"/>
    <x v="2"/>
    <s v="Utah"/>
    <s v="Salt Lake City"/>
    <x v="5"/>
    <n v="35"/>
    <n v="158"/>
    <n v="5530"/>
    <n v="3041.5000000000005"/>
    <n v="0.55000000000000004"/>
    <x v="1"/>
  </r>
  <r>
    <x v="3"/>
    <n v="1185732"/>
    <x v="477"/>
    <x v="2"/>
    <s v="Utah"/>
    <s v="Salt Lake City"/>
    <x v="0"/>
    <n v="29"/>
    <n v="231"/>
    <n v="6699"/>
    <n v="3081.54"/>
    <n v="0.46"/>
    <x v="1"/>
  </r>
  <r>
    <x v="3"/>
    <n v="1185732"/>
    <x v="477"/>
    <x v="2"/>
    <s v="Utah"/>
    <s v="Salt Lake City"/>
    <x v="1"/>
    <n v="22"/>
    <n v="170"/>
    <n v="3740"/>
    <n v="1570.8"/>
    <n v="0.42"/>
    <x v="1"/>
  </r>
  <r>
    <x v="3"/>
    <n v="1185732"/>
    <x v="477"/>
    <x v="2"/>
    <s v="Utah"/>
    <s v="Salt Lake City"/>
    <x v="2"/>
    <n v="20"/>
    <n v="153"/>
    <n v="3060"/>
    <n v="1132.2"/>
    <n v="0.37"/>
    <x v="1"/>
  </r>
  <r>
    <x v="3"/>
    <n v="1185732"/>
    <x v="477"/>
    <x v="2"/>
    <s v="Utah"/>
    <s v="Salt Lake City"/>
    <x v="3"/>
    <n v="22"/>
    <n v="136"/>
    <n v="2992"/>
    <n v="1256.6400000000001"/>
    <n v="0.42000000000000004"/>
    <x v="1"/>
  </r>
  <r>
    <x v="3"/>
    <n v="1185732"/>
    <x v="477"/>
    <x v="2"/>
    <s v="Utah"/>
    <s v="Salt Lake City"/>
    <x v="4"/>
    <n v="27"/>
    <n v="124"/>
    <n v="3348"/>
    <n v="1372.6799999999998"/>
    <n v="0.41"/>
    <x v="1"/>
  </r>
  <r>
    <x v="3"/>
    <n v="1185732"/>
    <x v="477"/>
    <x v="2"/>
    <s v="Utah"/>
    <s v="Salt Lake City"/>
    <x v="5"/>
    <n v="29"/>
    <n v="170"/>
    <n v="4930"/>
    <n v="2563.6"/>
    <n v="0.52"/>
    <x v="1"/>
  </r>
  <r>
    <x v="3"/>
    <n v="1128299"/>
    <x v="188"/>
    <x v="2"/>
    <s v="Utah"/>
    <s v="Salt Lake City"/>
    <x v="0"/>
    <n v="24"/>
    <n v="109"/>
    <n v="2616"/>
    <n v="967.92"/>
    <n v="0.37"/>
    <x v="1"/>
  </r>
  <r>
    <x v="3"/>
    <n v="1128299"/>
    <x v="188"/>
    <x v="2"/>
    <s v="Utah"/>
    <s v="Salt Lake City"/>
    <x v="1"/>
    <n v="29"/>
    <n v="123"/>
    <n v="3567"/>
    <n v="1426.8"/>
    <n v="0.39999999999999997"/>
    <x v="1"/>
  </r>
  <r>
    <x v="3"/>
    <n v="1128299"/>
    <x v="188"/>
    <x v="2"/>
    <s v="Utah"/>
    <s v="Salt Lake City"/>
    <x v="2"/>
    <n v="31"/>
    <n v="105"/>
    <n v="3255"/>
    <n v="1269.4499999999998"/>
    <n v="0.38999999999999996"/>
    <x v="1"/>
  </r>
  <r>
    <x v="3"/>
    <n v="1128299"/>
    <x v="188"/>
    <x v="2"/>
    <s v="Utah"/>
    <s v="Salt Lake City"/>
    <x v="3"/>
    <n v="30"/>
    <n v="68"/>
    <n v="2040"/>
    <n v="775.2"/>
    <n v="0.38"/>
    <x v="1"/>
  </r>
  <r>
    <x v="3"/>
    <n v="1128299"/>
    <x v="188"/>
    <x v="2"/>
    <s v="Utah"/>
    <s v="Salt Lake City"/>
    <x v="4"/>
    <n v="35"/>
    <n v="53"/>
    <n v="1855"/>
    <n v="853.30000000000007"/>
    <n v="0.46"/>
    <x v="1"/>
  </r>
  <r>
    <x v="3"/>
    <n v="1128299"/>
    <x v="188"/>
    <x v="2"/>
    <s v="Utah"/>
    <s v="Salt Lake City"/>
    <x v="5"/>
    <n v="28"/>
    <n v="132"/>
    <n v="3696"/>
    <n v="1256.6399999999999"/>
    <n v="0.33999999999999997"/>
    <x v="1"/>
  </r>
  <r>
    <x v="3"/>
    <n v="1128299"/>
    <x v="698"/>
    <x v="2"/>
    <s v="Utah"/>
    <s v="Salt Lake City"/>
    <x v="0"/>
    <n v="22"/>
    <n v="153"/>
    <n v="3366"/>
    <n v="1380.06"/>
    <n v="0.41"/>
    <x v="1"/>
  </r>
  <r>
    <x v="3"/>
    <n v="1128299"/>
    <x v="698"/>
    <x v="2"/>
    <s v="Utah"/>
    <s v="Salt Lake City"/>
    <x v="1"/>
    <n v="29"/>
    <n v="123"/>
    <n v="3567"/>
    <n v="1498.1399999999999"/>
    <n v="0.42"/>
    <x v="1"/>
  </r>
  <r>
    <x v="3"/>
    <n v="1128299"/>
    <x v="698"/>
    <x v="2"/>
    <s v="Utah"/>
    <s v="Salt Lake City"/>
    <x v="2"/>
    <n v="28"/>
    <n v="123"/>
    <n v="3444"/>
    <n v="1274.28"/>
    <n v="0.37"/>
    <x v="1"/>
  </r>
  <r>
    <x v="3"/>
    <n v="1128299"/>
    <x v="698"/>
    <x v="2"/>
    <s v="Oregon"/>
    <s v="Portland"/>
    <x v="3"/>
    <n v="29"/>
    <n v="64"/>
    <n v="1856"/>
    <n v="760.95999999999992"/>
    <n v="0.41"/>
    <x v="1"/>
  </r>
  <r>
    <x v="3"/>
    <n v="1128299"/>
    <x v="698"/>
    <x v="2"/>
    <s v="Oregon"/>
    <s v="Portland"/>
    <x v="4"/>
    <n v="32"/>
    <n v="43"/>
    <n v="1376"/>
    <n v="605.44000000000005"/>
    <n v="0.44"/>
    <x v="1"/>
  </r>
  <r>
    <x v="3"/>
    <n v="1128299"/>
    <x v="698"/>
    <x v="2"/>
    <s v="Oregon"/>
    <s v="Portland"/>
    <x v="5"/>
    <n v="28"/>
    <n v="98"/>
    <n v="2744"/>
    <n v="960.4"/>
    <n v="0.35"/>
    <x v="1"/>
  </r>
  <r>
    <x v="3"/>
    <n v="1128299"/>
    <x v="228"/>
    <x v="2"/>
    <s v="Oregon"/>
    <s v="Portland"/>
    <x v="0"/>
    <n v="28"/>
    <n v="143"/>
    <n v="4004"/>
    <n v="1601.6"/>
    <n v="0.39999999999999997"/>
    <x v="1"/>
  </r>
  <r>
    <x v="3"/>
    <n v="1128299"/>
    <x v="228"/>
    <x v="2"/>
    <s v="Oregon"/>
    <s v="Portland"/>
    <x v="1"/>
    <n v="40"/>
    <n v="98"/>
    <n v="3920"/>
    <n v="1607.1999999999998"/>
    <n v="0.41"/>
    <x v="1"/>
  </r>
  <r>
    <x v="3"/>
    <n v="1128299"/>
    <x v="228"/>
    <x v="2"/>
    <s v="Oregon"/>
    <s v="Portland"/>
    <x v="2"/>
    <n v="41"/>
    <n v="112"/>
    <n v="4592"/>
    <n v="1744.96"/>
    <n v="0.38"/>
    <x v="1"/>
  </r>
  <r>
    <x v="3"/>
    <n v="1128299"/>
    <x v="228"/>
    <x v="2"/>
    <s v="Oregon"/>
    <s v="Portland"/>
    <x v="3"/>
    <n v="39"/>
    <n v="75"/>
    <n v="2925"/>
    <n v="1082.25"/>
    <n v="0.37"/>
    <x v="1"/>
  </r>
  <r>
    <x v="3"/>
    <n v="1128299"/>
    <x v="228"/>
    <x v="2"/>
    <s v="Oregon"/>
    <s v="Portland"/>
    <x v="4"/>
    <n v="43"/>
    <n v="30"/>
    <n v="1290"/>
    <n v="567.6"/>
    <n v="0.44"/>
    <x v="1"/>
  </r>
  <r>
    <x v="3"/>
    <n v="1128299"/>
    <x v="228"/>
    <x v="2"/>
    <s v="Oregon"/>
    <s v="Portland"/>
    <x v="5"/>
    <n v="40"/>
    <n v="90"/>
    <n v="3600"/>
    <n v="1260"/>
    <n v="0.35"/>
    <x v="1"/>
  </r>
  <r>
    <x v="3"/>
    <n v="1128299"/>
    <x v="247"/>
    <x v="2"/>
    <s v="Oregon"/>
    <s v="Portland"/>
    <x v="0"/>
    <n v="44"/>
    <n v="166"/>
    <n v="7304"/>
    <n v="2848.5599999999995"/>
    <n v="0.38999999999999996"/>
    <x v="1"/>
  </r>
  <r>
    <x v="3"/>
    <n v="1128299"/>
    <x v="247"/>
    <x v="2"/>
    <s v="Oregon"/>
    <s v="Portland"/>
    <x v="1"/>
    <n v="39"/>
    <n v="88"/>
    <n v="3432"/>
    <n v="1407.12"/>
    <n v="0.41"/>
    <x v="1"/>
  </r>
  <r>
    <x v="3"/>
    <n v="1128299"/>
    <x v="247"/>
    <x v="2"/>
    <s v="Oregon"/>
    <s v="Portland"/>
    <x v="2"/>
    <n v="47"/>
    <n v="114"/>
    <n v="5358"/>
    <n v="2196.7799999999997"/>
    <n v="0.41"/>
    <x v="1"/>
  </r>
  <r>
    <x v="3"/>
    <n v="1128299"/>
    <x v="247"/>
    <x v="2"/>
    <s v="Oregon"/>
    <s v="Portland"/>
    <x v="3"/>
    <n v="34"/>
    <n v="70"/>
    <n v="2380"/>
    <n v="880.6"/>
    <n v="0.37"/>
    <x v="1"/>
  </r>
  <r>
    <x v="3"/>
    <n v="1128299"/>
    <x v="247"/>
    <x v="2"/>
    <s v="Oregon"/>
    <s v="Portland"/>
    <x v="4"/>
    <n v="36"/>
    <n v="39"/>
    <n v="1404"/>
    <n v="589.68000000000006"/>
    <n v="0.42000000000000004"/>
    <x v="1"/>
  </r>
  <r>
    <x v="3"/>
    <n v="1128299"/>
    <x v="247"/>
    <x v="2"/>
    <s v="Oregon"/>
    <s v="Portland"/>
    <x v="5"/>
    <n v="49"/>
    <n v="90"/>
    <n v="4410"/>
    <n v="1499.3999999999999"/>
    <n v="0.33999999999999997"/>
    <x v="1"/>
  </r>
  <r>
    <x v="3"/>
    <n v="1128299"/>
    <x v="278"/>
    <x v="2"/>
    <s v="Oregon"/>
    <s v="Portland"/>
    <x v="0"/>
    <n v="39"/>
    <n v="155"/>
    <n v="6045"/>
    <n v="2538.9"/>
    <n v="0.42"/>
    <x v="1"/>
  </r>
  <r>
    <x v="3"/>
    <n v="1128299"/>
    <x v="278"/>
    <x v="2"/>
    <s v="Oregon"/>
    <s v="Portland"/>
    <x v="1"/>
    <n v="36"/>
    <n v="109"/>
    <n v="3924"/>
    <n v="1569.6"/>
    <n v="0.39999999999999997"/>
    <x v="1"/>
  </r>
  <r>
    <x v="3"/>
    <n v="1128299"/>
    <x v="278"/>
    <x v="2"/>
    <s v="Oregon"/>
    <s v="Portland"/>
    <x v="2"/>
    <n v="39"/>
    <n v="119"/>
    <n v="4641"/>
    <n v="1809.9899999999998"/>
    <n v="0.38999999999999996"/>
    <x v="1"/>
  </r>
  <r>
    <x v="3"/>
    <n v="1128299"/>
    <x v="278"/>
    <x v="2"/>
    <s v="Oregon"/>
    <s v="Portland"/>
    <x v="3"/>
    <n v="33"/>
    <n v="94"/>
    <n v="3102"/>
    <n v="1209.78"/>
    <n v="0.38999999999999996"/>
    <x v="1"/>
  </r>
  <r>
    <x v="3"/>
    <n v="1128299"/>
    <x v="278"/>
    <x v="2"/>
    <s v="Oregon"/>
    <s v="Portland"/>
    <x v="4"/>
    <n v="33"/>
    <n v="58"/>
    <n v="1914"/>
    <n v="842.16"/>
    <n v="0.44"/>
    <x v="1"/>
  </r>
  <r>
    <x v="3"/>
    <n v="1128299"/>
    <x v="278"/>
    <x v="2"/>
    <s v="Oregon"/>
    <s v="Portland"/>
    <x v="5"/>
    <n v="46"/>
    <n v="173"/>
    <n v="7958"/>
    <n v="2864.88"/>
    <n v="0.36"/>
    <x v="1"/>
  </r>
  <r>
    <x v="3"/>
    <n v="1128299"/>
    <x v="308"/>
    <x v="2"/>
    <s v="Oregon"/>
    <s v="Portland"/>
    <x v="0"/>
    <n v="43"/>
    <n v="240"/>
    <n v="10320"/>
    <n v="3921.6"/>
    <n v="0.38"/>
    <x v="1"/>
  </r>
  <r>
    <x v="3"/>
    <n v="1128299"/>
    <x v="308"/>
    <x v="2"/>
    <s v="Oregon"/>
    <s v="Portland"/>
    <x v="1"/>
    <n v="47"/>
    <n v="202"/>
    <n v="9494"/>
    <n v="3892.54"/>
    <n v="0.41"/>
    <x v="1"/>
  </r>
  <r>
    <x v="3"/>
    <n v="1128299"/>
    <x v="308"/>
    <x v="2"/>
    <s v="Oregon"/>
    <s v="Portland"/>
    <x v="2"/>
    <n v="53"/>
    <n v="208"/>
    <n v="11024"/>
    <n v="4299.3599999999997"/>
    <n v="0.38999999999999996"/>
    <x v="1"/>
  </r>
  <r>
    <x v="3"/>
    <n v="1128299"/>
    <x v="308"/>
    <x v="2"/>
    <s v="Oregon"/>
    <s v="Portland"/>
    <x v="3"/>
    <n v="62"/>
    <n v="179"/>
    <n v="11098"/>
    <n v="4550.1799999999994"/>
    <n v="0.41"/>
    <x v="1"/>
  </r>
  <r>
    <x v="3"/>
    <n v="1128299"/>
    <x v="308"/>
    <x v="2"/>
    <s v="Oregon"/>
    <s v="Portland"/>
    <x v="4"/>
    <n v="67"/>
    <n v="140"/>
    <n v="9380"/>
    <n v="4314.8"/>
    <n v="0.46"/>
    <x v="1"/>
  </r>
  <r>
    <x v="3"/>
    <n v="1128299"/>
    <x v="308"/>
    <x v="2"/>
    <s v="Oregon"/>
    <s v="Portland"/>
    <x v="5"/>
    <n v="74"/>
    <n v="231"/>
    <n v="17094"/>
    <n v="5641.0199999999995"/>
    <n v="0.32999999999999996"/>
    <x v="1"/>
  </r>
  <r>
    <x v="3"/>
    <n v="1128299"/>
    <x v="337"/>
    <x v="2"/>
    <s v="Oregon"/>
    <s v="Portland"/>
    <x v="0"/>
    <n v="60"/>
    <n v="298"/>
    <n v="17880"/>
    <n v="7509.5999999999995"/>
    <n v="0.42"/>
    <x v="1"/>
  </r>
  <r>
    <x v="3"/>
    <n v="1128299"/>
    <x v="337"/>
    <x v="2"/>
    <s v="Oregon"/>
    <s v="Portland"/>
    <x v="1"/>
    <n v="66"/>
    <n v="217"/>
    <n v="14322"/>
    <n v="5872.0199999999995"/>
    <n v="0.41"/>
    <x v="1"/>
  </r>
  <r>
    <x v="3"/>
    <n v="1128299"/>
    <x v="337"/>
    <x v="2"/>
    <s v="Oregon"/>
    <s v="Portland"/>
    <x v="2"/>
    <n v="66"/>
    <n v="221"/>
    <n v="14586"/>
    <n v="6126.12"/>
    <n v="0.42"/>
    <x v="1"/>
  </r>
  <r>
    <x v="3"/>
    <n v="1128299"/>
    <x v="337"/>
    <x v="2"/>
    <s v="Oregon"/>
    <s v="Portland"/>
    <x v="3"/>
    <n v="61"/>
    <n v="171"/>
    <n v="10431"/>
    <n v="4276.71"/>
    <n v="0.41"/>
    <x v="1"/>
  </r>
  <r>
    <x v="3"/>
    <n v="1128299"/>
    <x v="337"/>
    <x v="2"/>
    <s v="Oregon"/>
    <s v="Portland"/>
    <x v="4"/>
    <n v="68"/>
    <n v="198"/>
    <n v="13464"/>
    <n v="6193.4400000000005"/>
    <n v="0.46"/>
    <x v="1"/>
  </r>
  <r>
    <x v="3"/>
    <n v="1128299"/>
    <x v="337"/>
    <x v="2"/>
    <s v="Oregon"/>
    <s v="Portland"/>
    <x v="5"/>
    <n v="78"/>
    <n v="204"/>
    <n v="15912"/>
    <n v="5569.2"/>
    <n v="0.35"/>
    <x v="1"/>
  </r>
  <r>
    <x v="3"/>
    <n v="1128299"/>
    <x v="369"/>
    <x v="2"/>
    <s v="Oregon"/>
    <s v="Portland"/>
    <x v="0"/>
    <n v="69"/>
    <n v="256"/>
    <n v="17664"/>
    <n v="6535.68"/>
    <n v="0.37"/>
    <x v="1"/>
  </r>
  <r>
    <x v="3"/>
    <n v="1128299"/>
    <x v="369"/>
    <x v="2"/>
    <s v="Oregon"/>
    <s v="Portland"/>
    <x v="1"/>
    <n v="62"/>
    <n v="256"/>
    <n v="15872"/>
    <n v="6666.24"/>
    <n v="0.42"/>
    <x v="1"/>
  </r>
  <r>
    <x v="3"/>
    <n v="1128299"/>
    <x v="369"/>
    <x v="2"/>
    <s v="Oregon"/>
    <s v="Portland"/>
    <x v="2"/>
    <n v="50"/>
    <n v="215"/>
    <n v="10750"/>
    <n v="4300"/>
    <n v="0.39999999999999997"/>
    <x v="1"/>
  </r>
  <r>
    <x v="3"/>
    <n v="1128299"/>
    <x v="369"/>
    <x v="2"/>
    <s v="Oregon"/>
    <s v="Portland"/>
    <x v="3"/>
    <n v="50"/>
    <n v="128"/>
    <n v="6400"/>
    <n v="2432"/>
    <n v="0.38"/>
    <x v="1"/>
  </r>
  <r>
    <x v="3"/>
    <n v="1128299"/>
    <x v="369"/>
    <x v="2"/>
    <s v="Oregon"/>
    <s v="Portland"/>
    <x v="4"/>
    <n v="53"/>
    <n v="136"/>
    <n v="7208"/>
    <n v="3027.36"/>
    <n v="0.42000000000000004"/>
    <x v="1"/>
  </r>
  <r>
    <x v="3"/>
    <n v="1128299"/>
    <x v="369"/>
    <x v="2"/>
    <s v="Oregon"/>
    <s v="Portland"/>
    <x v="5"/>
    <n v="53"/>
    <n v="88"/>
    <n v="4664"/>
    <n v="1725.68"/>
    <n v="0.37"/>
    <x v="1"/>
  </r>
  <r>
    <x v="3"/>
    <n v="1128299"/>
    <x v="401"/>
    <x v="2"/>
    <s v="Oregon"/>
    <s v="Portland"/>
    <x v="0"/>
    <n v="34"/>
    <n v="149"/>
    <n v="5066"/>
    <n v="1874.42"/>
    <n v="0.37"/>
    <x v="1"/>
  </r>
  <r>
    <x v="3"/>
    <n v="1128299"/>
    <x v="401"/>
    <x v="2"/>
    <s v="Oregon"/>
    <s v="Portland"/>
    <x v="1"/>
    <n v="43"/>
    <n v="158"/>
    <n v="6794"/>
    <n v="2581.7200000000003"/>
    <n v="0.38"/>
    <x v="1"/>
  </r>
  <r>
    <x v="3"/>
    <n v="1128299"/>
    <x v="401"/>
    <x v="2"/>
    <s v="Oregon"/>
    <s v="Portland"/>
    <x v="2"/>
    <n v="39"/>
    <n v="83"/>
    <n v="3237"/>
    <n v="1359.54"/>
    <n v="0.42"/>
    <x v="1"/>
  </r>
  <r>
    <x v="3"/>
    <n v="1128299"/>
    <x v="401"/>
    <x v="2"/>
    <s v="Oregon"/>
    <s v="Portland"/>
    <x v="3"/>
    <n v="38"/>
    <n v="62"/>
    <n v="2356"/>
    <n v="989.52"/>
    <n v="0.42"/>
    <x v="1"/>
  </r>
  <r>
    <x v="3"/>
    <n v="1128299"/>
    <x v="401"/>
    <x v="2"/>
    <s v="Oregon"/>
    <s v="Portland"/>
    <x v="4"/>
    <n v="48"/>
    <n v="77"/>
    <n v="3696"/>
    <n v="1552.3200000000002"/>
    <n v="0.42000000000000004"/>
    <x v="1"/>
  </r>
  <r>
    <x v="3"/>
    <n v="1128299"/>
    <x v="401"/>
    <x v="2"/>
    <s v="Oregon"/>
    <s v="Portland"/>
    <x v="5"/>
    <n v="36"/>
    <n v="85"/>
    <n v="3060"/>
    <n v="979.2"/>
    <n v="0.32"/>
    <x v="1"/>
  </r>
  <r>
    <x v="3"/>
    <n v="1128299"/>
    <x v="430"/>
    <x v="2"/>
    <s v="Oregon"/>
    <s v="Portland"/>
    <x v="0"/>
    <n v="29"/>
    <n v="119"/>
    <n v="3451"/>
    <n v="1345.8899999999999"/>
    <n v="0.38999999999999996"/>
    <x v="1"/>
  </r>
  <r>
    <x v="3"/>
    <n v="1128299"/>
    <x v="430"/>
    <x v="2"/>
    <s v="Oregon"/>
    <s v="Portland"/>
    <x v="1"/>
    <n v="37"/>
    <n v="179"/>
    <n v="6623"/>
    <n v="2516.7400000000002"/>
    <n v="0.38"/>
    <x v="1"/>
  </r>
  <r>
    <x v="3"/>
    <n v="1128299"/>
    <x v="430"/>
    <x v="2"/>
    <s v="Oregon"/>
    <s v="Portland"/>
    <x v="2"/>
    <n v="37"/>
    <n v="109"/>
    <n v="4033"/>
    <n v="1492.21"/>
    <n v="0.37"/>
    <x v="1"/>
  </r>
  <r>
    <x v="3"/>
    <n v="1128299"/>
    <x v="430"/>
    <x v="2"/>
    <s v="Oregon"/>
    <s v="Portland"/>
    <x v="3"/>
    <n v="34"/>
    <n v="114"/>
    <n v="3876"/>
    <n v="1511.6399999999999"/>
    <n v="0.38999999999999996"/>
    <x v="1"/>
  </r>
  <r>
    <x v="3"/>
    <n v="1128299"/>
    <x v="430"/>
    <x v="2"/>
    <s v="Oregon"/>
    <s v="Portland"/>
    <x v="4"/>
    <n v="40"/>
    <n v="93"/>
    <n v="3720"/>
    <n v="1674"/>
    <n v="0.45"/>
    <x v="1"/>
  </r>
  <r>
    <x v="3"/>
    <n v="1128299"/>
    <x v="430"/>
    <x v="2"/>
    <s v="Oregon"/>
    <s v="Portland"/>
    <x v="5"/>
    <n v="41"/>
    <n v="123"/>
    <n v="5043"/>
    <n v="1865.91"/>
    <n v="0.37"/>
    <x v="1"/>
  </r>
  <r>
    <x v="3"/>
    <n v="1128299"/>
    <x v="461"/>
    <x v="2"/>
    <s v="Oregon"/>
    <s v="Portland"/>
    <x v="0"/>
    <n v="34"/>
    <n v="190"/>
    <n v="6460"/>
    <n v="2390.1999999999998"/>
    <n v="0.37"/>
    <x v="1"/>
  </r>
  <r>
    <x v="3"/>
    <n v="1128299"/>
    <x v="461"/>
    <x v="2"/>
    <s v="Oregon"/>
    <s v="Portland"/>
    <x v="1"/>
    <n v="37"/>
    <n v="202"/>
    <n v="7474"/>
    <n v="2914.8599999999997"/>
    <n v="0.38999999999999996"/>
    <x v="1"/>
  </r>
  <r>
    <x v="3"/>
    <n v="1128299"/>
    <x v="461"/>
    <x v="2"/>
    <s v="Oregon"/>
    <s v="Portland"/>
    <x v="2"/>
    <n v="32"/>
    <n v="152"/>
    <n v="4864"/>
    <n v="2042.8799999999999"/>
    <n v="0.42"/>
    <x v="1"/>
  </r>
  <r>
    <x v="3"/>
    <n v="1128299"/>
    <x v="461"/>
    <x v="2"/>
    <s v="Oregon"/>
    <s v="Portland"/>
    <x v="3"/>
    <n v="39"/>
    <n v="149"/>
    <n v="5811"/>
    <n v="2382.5099999999998"/>
    <n v="0.41"/>
    <x v="1"/>
  </r>
  <r>
    <x v="3"/>
    <n v="1128299"/>
    <x v="461"/>
    <x v="2"/>
    <s v="Oregon"/>
    <s v="Portland"/>
    <x v="4"/>
    <n v="50"/>
    <n v="145"/>
    <n v="7250"/>
    <n v="3335"/>
    <n v="0.46"/>
    <x v="1"/>
  </r>
  <r>
    <x v="3"/>
    <n v="1128299"/>
    <x v="461"/>
    <x v="2"/>
    <s v="Oregon"/>
    <s v="Portland"/>
    <x v="5"/>
    <n v="53"/>
    <n v="165"/>
    <n v="8745"/>
    <n v="3235.65"/>
    <n v="0.37"/>
    <x v="1"/>
  </r>
  <r>
    <x v="3"/>
    <n v="1128299"/>
    <x v="490"/>
    <x v="2"/>
    <s v="Oregon"/>
    <s v="Portland"/>
    <x v="0"/>
    <n v="51"/>
    <n v="225"/>
    <n v="11475"/>
    <n v="4819.5"/>
    <n v="0.42"/>
    <x v="1"/>
  </r>
  <r>
    <x v="3"/>
    <n v="1128299"/>
    <x v="490"/>
    <x v="2"/>
    <s v="Oregon"/>
    <s v="Portland"/>
    <x v="1"/>
    <n v="56"/>
    <n v="233"/>
    <n v="13048"/>
    <n v="5219.2"/>
    <n v="0.39999999999999997"/>
    <x v="1"/>
  </r>
  <r>
    <x v="3"/>
    <n v="1128299"/>
    <x v="490"/>
    <x v="2"/>
    <s v="Oregon"/>
    <s v="Portland"/>
    <x v="2"/>
    <n v="48"/>
    <n v="193"/>
    <n v="9264"/>
    <n v="3798.24"/>
    <n v="0.41"/>
    <x v="1"/>
  </r>
  <r>
    <x v="3"/>
    <n v="1128299"/>
    <x v="490"/>
    <x v="2"/>
    <s v="Oregon"/>
    <s v="Portland"/>
    <x v="3"/>
    <n v="53"/>
    <n v="165"/>
    <n v="8745"/>
    <n v="3410.5499999999997"/>
    <n v="0.38999999999999996"/>
    <x v="1"/>
  </r>
  <r>
    <x v="3"/>
    <n v="1128299"/>
    <x v="490"/>
    <x v="2"/>
    <s v="Oregon"/>
    <s v="Portland"/>
    <x v="4"/>
    <n v="54"/>
    <n v="157"/>
    <n v="8478"/>
    <n v="3984.6600000000003"/>
    <n v="0.47000000000000003"/>
    <x v="1"/>
  </r>
  <r>
    <x v="3"/>
    <n v="1128299"/>
    <x v="490"/>
    <x v="2"/>
    <s v="Oregon"/>
    <s v="Portland"/>
    <x v="5"/>
    <n v="55"/>
    <n v="201"/>
    <n v="11055"/>
    <n v="3758.7"/>
    <n v="0.33999999999999997"/>
    <x v="1"/>
  </r>
  <r>
    <x v="3"/>
    <n v="1128299"/>
    <x v="181"/>
    <x v="2"/>
    <s v="Oregon"/>
    <s v="Portland"/>
    <x v="0"/>
    <n v="28"/>
    <n v="120"/>
    <n v="3360"/>
    <n v="1411.2"/>
    <n v="0.42"/>
    <x v="1"/>
  </r>
  <r>
    <x v="3"/>
    <n v="1128299"/>
    <x v="181"/>
    <x v="2"/>
    <s v="Oregon"/>
    <s v="Portland"/>
    <x v="1"/>
    <n v="31"/>
    <n v="124"/>
    <n v="3844"/>
    <n v="1691.36"/>
    <n v="0.43999999999999995"/>
    <x v="1"/>
  </r>
  <r>
    <x v="3"/>
    <n v="1128299"/>
    <x v="181"/>
    <x v="2"/>
    <s v="Oregon"/>
    <s v="Portland"/>
    <x v="2"/>
    <n v="33"/>
    <n v="128"/>
    <n v="4224"/>
    <n v="1816.3199999999997"/>
    <n v="0.42999999999999994"/>
    <x v="1"/>
  </r>
  <r>
    <x v="3"/>
    <n v="1128299"/>
    <x v="181"/>
    <x v="2"/>
    <s v="Oregon"/>
    <s v="Portland"/>
    <x v="3"/>
    <n v="34"/>
    <n v="78"/>
    <n v="2652"/>
    <n v="1219.9199999999998"/>
    <n v="0.45999999999999996"/>
    <x v="1"/>
  </r>
  <r>
    <x v="3"/>
    <n v="1128299"/>
    <x v="181"/>
    <x v="2"/>
    <s v="Oregon"/>
    <s v="Portland"/>
    <x v="4"/>
    <n v="33"/>
    <n v="68"/>
    <n v="2244"/>
    <n v="1144.44"/>
    <n v="0.51"/>
    <x v="1"/>
  </r>
  <r>
    <x v="3"/>
    <n v="1128299"/>
    <x v="181"/>
    <x v="2"/>
    <s v="Oregon"/>
    <s v="Portland"/>
    <x v="5"/>
    <n v="34"/>
    <n v="140"/>
    <n v="4760"/>
    <n v="1903.9999999999998"/>
    <n v="0.39999999999999997"/>
    <x v="1"/>
  </r>
  <r>
    <x v="3"/>
    <n v="1128299"/>
    <x v="212"/>
    <x v="2"/>
    <s v="Oregon"/>
    <s v="Portland"/>
    <x v="0"/>
    <n v="24"/>
    <n v="175"/>
    <n v="4200"/>
    <n v="1889.9999999999998"/>
    <n v="0.44999999999999996"/>
    <x v="1"/>
  </r>
  <r>
    <x v="3"/>
    <n v="1128299"/>
    <x v="212"/>
    <x v="2"/>
    <s v="Oregon"/>
    <s v="Portland"/>
    <x v="1"/>
    <n v="31"/>
    <n v="124"/>
    <n v="3844"/>
    <n v="1652.9199999999998"/>
    <n v="0.42999999999999994"/>
    <x v="1"/>
  </r>
  <r>
    <x v="3"/>
    <n v="1128299"/>
    <x v="212"/>
    <x v="2"/>
    <s v="Oregon"/>
    <s v="Portland"/>
    <x v="2"/>
    <n v="34"/>
    <n v="132"/>
    <n v="4488"/>
    <n v="1929.8399999999997"/>
    <n v="0.42999999999999994"/>
    <x v="1"/>
  </r>
  <r>
    <x v="3"/>
    <n v="1128299"/>
    <x v="212"/>
    <x v="1"/>
    <s v="Louisiana"/>
    <s v="New Orleans"/>
    <x v="3"/>
    <n v="33"/>
    <n v="75"/>
    <n v="2475"/>
    <n v="1163.25"/>
    <n v="0.47"/>
    <x v="1"/>
  </r>
  <r>
    <x v="3"/>
    <n v="1128299"/>
    <x v="212"/>
    <x v="1"/>
    <s v="Louisiana"/>
    <s v="New Orleans"/>
    <x v="4"/>
    <n v="33"/>
    <n v="53"/>
    <n v="1749"/>
    <n v="822.03000000000009"/>
    <n v="0.47000000000000003"/>
    <x v="1"/>
  </r>
  <r>
    <x v="3"/>
    <n v="1128299"/>
    <x v="212"/>
    <x v="1"/>
    <s v="Louisiana"/>
    <s v="New Orleans"/>
    <x v="5"/>
    <n v="32"/>
    <n v="131"/>
    <n v="4192"/>
    <n v="1551.04"/>
    <n v="0.37"/>
    <x v="1"/>
  </r>
  <r>
    <x v="3"/>
    <n v="1128299"/>
    <x v="221"/>
    <x v="1"/>
    <s v="Louisiana"/>
    <s v="New Orleans"/>
    <x v="0"/>
    <n v="29"/>
    <n v="179"/>
    <n v="5191"/>
    <n v="2387.8599999999997"/>
    <n v="0.45999999999999996"/>
    <x v="1"/>
  </r>
  <r>
    <x v="3"/>
    <n v="1128299"/>
    <x v="221"/>
    <x v="1"/>
    <s v="Louisiana"/>
    <s v="New Orleans"/>
    <x v="1"/>
    <n v="38"/>
    <n v="120"/>
    <n v="4560"/>
    <n v="2006.3999999999999"/>
    <n v="0.43999999999999995"/>
    <x v="1"/>
  </r>
  <r>
    <x v="3"/>
    <n v="1128299"/>
    <x v="221"/>
    <x v="1"/>
    <s v="Louisiana"/>
    <s v="New Orleans"/>
    <x v="2"/>
    <n v="39"/>
    <n v="120"/>
    <n v="4680"/>
    <n v="2106"/>
    <n v="0.44999999999999996"/>
    <x v="1"/>
  </r>
  <r>
    <x v="3"/>
    <n v="1128299"/>
    <x v="221"/>
    <x v="1"/>
    <s v="Louisiana"/>
    <s v="New Orleans"/>
    <x v="3"/>
    <n v="43"/>
    <n v="96"/>
    <n v="4128"/>
    <n v="1775.0399999999997"/>
    <n v="0.42999999999999994"/>
    <x v="1"/>
  </r>
  <r>
    <x v="3"/>
    <n v="1128299"/>
    <x v="221"/>
    <x v="1"/>
    <s v="Louisiana"/>
    <s v="New Orleans"/>
    <x v="4"/>
    <n v="40"/>
    <n v="50"/>
    <n v="2000"/>
    <n v="1020"/>
    <n v="0.51"/>
    <x v="1"/>
  </r>
  <r>
    <x v="3"/>
    <n v="1128299"/>
    <x v="221"/>
    <x v="1"/>
    <s v="Louisiana"/>
    <s v="New Orleans"/>
    <x v="5"/>
    <n v="29"/>
    <n v="109"/>
    <n v="3161"/>
    <n v="1169.57"/>
    <n v="0.37"/>
    <x v="1"/>
  </r>
  <r>
    <x v="3"/>
    <n v="1128299"/>
    <x v="240"/>
    <x v="1"/>
    <s v="Louisiana"/>
    <s v="New Orleans"/>
    <x v="0"/>
    <n v="38"/>
    <n v="168"/>
    <n v="6384"/>
    <n v="3000.48"/>
    <n v="0.47"/>
    <x v="1"/>
  </r>
  <r>
    <x v="3"/>
    <n v="1128299"/>
    <x v="240"/>
    <x v="1"/>
    <s v="Louisiana"/>
    <s v="New Orleans"/>
    <x v="1"/>
    <n v="36"/>
    <n v="107"/>
    <n v="3852"/>
    <n v="1771.9199999999998"/>
    <n v="0.45999999999999996"/>
    <x v="1"/>
  </r>
  <r>
    <x v="3"/>
    <n v="1128299"/>
    <x v="240"/>
    <x v="1"/>
    <s v="Louisiana"/>
    <s v="New Orleans"/>
    <x v="2"/>
    <n v="40"/>
    <n v="120"/>
    <n v="4800"/>
    <n v="2016"/>
    <n v="0.42"/>
    <x v="1"/>
  </r>
  <r>
    <x v="3"/>
    <n v="1128299"/>
    <x v="240"/>
    <x v="1"/>
    <s v="Louisiana"/>
    <s v="New Orleans"/>
    <x v="3"/>
    <n v="27"/>
    <n v="91"/>
    <n v="2457"/>
    <n v="1105.6499999999999"/>
    <n v="0.44999999999999996"/>
    <x v="1"/>
  </r>
  <r>
    <x v="3"/>
    <n v="1128299"/>
    <x v="240"/>
    <x v="1"/>
    <s v="Louisiana"/>
    <s v="New Orleans"/>
    <x v="4"/>
    <n v="34"/>
    <n v="56"/>
    <n v="1904"/>
    <n v="971.04"/>
    <n v="0.51"/>
    <x v="1"/>
  </r>
  <r>
    <x v="3"/>
    <n v="1128299"/>
    <x v="240"/>
    <x v="1"/>
    <s v="Louisiana"/>
    <s v="New Orleans"/>
    <x v="5"/>
    <n v="39"/>
    <n v="123"/>
    <n v="4797"/>
    <n v="1774.8899999999999"/>
    <n v="0.37"/>
    <x v="1"/>
  </r>
  <r>
    <x v="3"/>
    <n v="1128299"/>
    <x v="271"/>
    <x v="1"/>
    <s v="Louisiana"/>
    <s v="New Orleans"/>
    <x v="0"/>
    <n v="32"/>
    <n v="176"/>
    <n v="5632"/>
    <n v="2421.7599999999998"/>
    <n v="0.42999999999999994"/>
    <x v="1"/>
  </r>
  <r>
    <x v="3"/>
    <n v="1128299"/>
    <x v="271"/>
    <x v="1"/>
    <s v="Louisiana"/>
    <s v="New Orleans"/>
    <x v="1"/>
    <n v="40"/>
    <n v="128"/>
    <n v="5120"/>
    <n v="2252.7999999999997"/>
    <n v="0.43999999999999995"/>
    <x v="1"/>
  </r>
  <r>
    <x v="3"/>
    <n v="1128299"/>
    <x v="271"/>
    <x v="1"/>
    <s v="Louisiana"/>
    <s v="New Orleans"/>
    <x v="2"/>
    <n v="37"/>
    <n v="136"/>
    <n v="5032"/>
    <n v="2113.44"/>
    <n v="0.42"/>
    <x v="1"/>
  </r>
  <r>
    <x v="3"/>
    <n v="1128299"/>
    <x v="271"/>
    <x v="1"/>
    <s v="Louisiana"/>
    <s v="New Orleans"/>
    <x v="3"/>
    <n v="33"/>
    <n v="101"/>
    <n v="3333"/>
    <n v="1433.1899999999998"/>
    <n v="0.42999999999999994"/>
    <x v="1"/>
  </r>
  <r>
    <x v="3"/>
    <n v="1128299"/>
    <x v="271"/>
    <x v="1"/>
    <s v="Louisiana"/>
    <s v="New Orleans"/>
    <x v="4"/>
    <n v="32"/>
    <n v="77"/>
    <n v="2464"/>
    <n v="1182.72"/>
    <n v="0.48"/>
    <x v="1"/>
  </r>
  <r>
    <x v="3"/>
    <n v="1128299"/>
    <x v="271"/>
    <x v="1"/>
    <s v="Louisiana"/>
    <s v="New Orleans"/>
    <x v="5"/>
    <n v="46"/>
    <n v="178"/>
    <n v="8188"/>
    <n v="3275.2"/>
    <n v="0.39999999999999997"/>
    <x v="1"/>
  </r>
  <r>
    <x v="3"/>
    <n v="1128299"/>
    <x v="301"/>
    <x v="1"/>
    <s v="Louisiana"/>
    <s v="New Orleans"/>
    <x v="0"/>
    <n v="47"/>
    <n v="256"/>
    <n v="12032"/>
    <n v="5655.04"/>
    <n v="0.47"/>
    <x v="1"/>
  </r>
  <r>
    <x v="3"/>
    <n v="1128299"/>
    <x v="301"/>
    <x v="1"/>
    <s v="Louisiana"/>
    <s v="New Orleans"/>
    <x v="1"/>
    <n v="55"/>
    <n v="224"/>
    <n v="12320"/>
    <n v="5543.9999999999991"/>
    <n v="0.44999999999999996"/>
    <x v="1"/>
  </r>
  <r>
    <x v="3"/>
    <n v="1128299"/>
    <x v="301"/>
    <x v="1"/>
    <s v="Louisiana"/>
    <s v="New Orleans"/>
    <x v="2"/>
    <n v="55"/>
    <n v="210"/>
    <n v="11550"/>
    <n v="5081.9999999999991"/>
    <n v="0.43999999999999995"/>
    <x v="1"/>
  </r>
  <r>
    <x v="3"/>
    <n v="1128299"/>
    <x v="301"/>
    <x v="1"/>
    <s v="Louisiana"/>
    <s v="New Orleans"/>
    <x v="3"/>
    <n v="59"/>
    <n v="184"/>
    <n v="10856"/>
    <n v="5102.32"/>
    <n v="0.47"/>
    <x v="1"/>
  </r>
  <r>
    <x v="3"/>
    <n v="1128299"/>
    <x v="301"/>
    <x v="1"/>
    <s v="Louisiana"/>
    <s v="New Orleans"/>
    <x v="4"/>
    <n v="70"/>
    <n v="153"/>
    <n v="10710"/>
    <n v="5033.7000000000007"/>
    <n v="0.47000000000000003"/>
    <x v="1"/>
  </r>
  <r>
    <x v="3"/>
    <n v="1128299"/>
    <x v="301"/>
    <x v="1"/>
    <s v="Louisiana"/>
    <s v="New Orleans"/>
    <x v="5"/>
    <n v="80"/>
    <n v="248"/>
    <n v="19840"/>
    <n v="8134.4"/>
    <n v="0.41"/>
    <x v="1"/>
  </r>
  <r>
    <x v="3"/>
    <n v="1128299"/>
    <x v="330"/>
    <x v="1"/>
    <s v="Louisiana"/>
    <s v="New Orleans"/>
    <x v="0"/>
    <n v="62"/>
    <n v="306"/>
    <n v="18972"/>
    <n v="8157.9599999999991"/>
    <n v="0.42999999999999994"/>
    <x v="1"/>
  </r>
  <r>
    <x v="3"/>
    <n v="1128299"/>
    <x v="330"/>
    <x v="1"/>
    <s v="Louisiana"/>
    <s v="New Orleans"/>
    <x v="1"/>
    <n v="67"/>
    <n v="248"/>
    <n v="16616"/>
    <n v="7643.36"/>
    <n v="0.45999999999999996"/>
    <x v="1"/>
  </r>
  <r>
    <x v="3"/>
    <n v="1128299"/>
    <x v="330"/>
    <x v="1"/>
    <s v="Louisiana"/>
    <s v="New Orleans"/>
    <x v="2"/>
    <n v="69"/>
    <n v="210"/>
    <n v="14490"/>
    <n v="6810.2999999999993"/>
    <n v="0.47"/>
    <x v="1"/>
  </r>
  <r>
    <x v="3"/>
    <n v="1128299"/>
    <x v="330"/>
    <x v="1"/>
    <s v="Louisiana"/>
    <s v="New Orleans"/>
    <x v="3"/>
    <n v="62"/>
    <n v="198"/>
    <n v="12276"/>
    <n v="5524.2"/>
    <n v="0.44999999999999996"/>
    <x v="1"/>
  </r>
  <r>
    <x v="3"/>
    <n v="1128299"/>
    <x v="330"/>
    <x v="1"/>
    <s v="Louisiana"/>
    <s v="New Orleans"/>
    <x v="4"/>
    <n v="73"/>
    <n v="221"/>
    <n v="16133"/>
    <n v="7905.17"/>
    <n v="0.49"/>
    <x v="1"/>
  </r>
  <r>
    <x v="3"/>
    <n v="1128299"/>
    <x v="330"/>
    <x v="1"/>
    <s v="Louisiana"/>
    <s v="New Orleans"/>
    <x v="5"/>
    <n v="81"/>
    <n v="208"/>
    <n v="16848"/>
    <n v="6907.6799999999994"/>
    <n v="0.41"/>
    <x v="1"/>
  </r>
  <r>
    <x v="3"/>
    <n v="1128299"/>
    <x v="362"/>
    <x v="1"/>
    <s v="Louisiana"/>
    <s v="New Orleans"/>
    <x v="0"/>
    <n v="73"/>
    <n v="255"/>
    <n v="18615"/>
    <n v="8749.0499999999993"/>
    <n v="0.47"/>
    <x v="1"/>
  </r>
  <r>
    <x v="3"/>
    <n v="1128299"/>
    <x v="362"/>
    <x v="1"/>
    <s v="Louisiana"/>
    <s v="New Orleans"/>
    <x v="1"/>
    <n v="57"/>
    <n v="256"/>
    <n v="14592"/>
    <n v="6420.48"/>
    <n v="0.43999999999999995"/>
    <x v="1"/>
  </r>
  <r>
    <x v="3"/>
    <n v="1128299"/>
    <x v="362"/>
    <x v="1"/>
    <s v="Louisiana"/>
    <s v="New Orleans"/>
    <x v="2"/>
    <n v="50"/>
    <n v="217"/>
    <n v="10850"/>
    <n v="4557"/>
    <n v="0.42"/>
    <x v="1"/>
  </r>
  <r>
    <x v="3"/>
    <n v="1128299"/>
    <x v="362"/>
    <x v="1"/>
    <s v="Louisiana"/>
    <s v="New Orleans"/>
    <x v="3"/>
    <n v="55"/>
    <n v="143"/>
    <n v="7865"/>
    <n v="3696.5499999999997"/>
    <n v="0.47"/>
    <x v="1"/>
  </r>
  <r>
    <x v="3"/>
    <n v="1128299"/>
    <x v="362"/>
    <x v="1"/>
    <s v="Louisiana"/>
    <s v="New Orleans"/>
    <x v="4"/>
    <n v="47"/>
    <n v="152"/>
    <n v="7144"/>
    <n v="3500.56"/>
    <n v="0.49"/>
    <x v="1"/>
  </r>
  <r>
    <x v="3"/>
    <n v="1128299"/>
    <x v="362"/>
    <x v="1"/>
    <s v="Louisiana"/>
    <s v="New Orleans"/>
    <x v="5"/>
    <n v="46"/>
    <n v="102"/>
    <n v="4692"/>
    <n v="1782.96"/>
    <n v="0.38"/>
    <x v="1"/>
  </r>
  <r>
    <x v="3"/>
    <n v="1128299"/>
    <x v="394"/>
    <x v="1"/>
    <s v="Louisiana"/>
    <s v="New Orleans"/>
    <x v="0"/>
    <n v="33"/>
    <n v="175"/>
    <n v="5775"/>
    <n v="2425.5"/>
    <n v="0.42"/>
    <x v="1"/>
  </r>
  <r>
    <x v="3"/>
    <n v="1128299"/>
    <x v="394"/>
    <x v="1"/>
    <s v="Louisiana"/>
    <s v="New Orleans"/>
    <x v="1"/>
    <n v="40"/>
    <n v="175"/>
    <n v="7000"/>
    <n v="3009.9999999999995"/>
    <n v="0.42999999999999994"/>
    <x v="1"/>
  </r>
  <r>
    <x v="3"/>
    <n v="1128299"/>
    <x v="394"/>
    <x v="1"/>
    <s v="Louisiana"/>
    <s v="New Orleans"/>
    <x v="2"/>
    <n v="30"/>
    <n v="96"/>
    <n v="2880"/>
    <n v="1324.8"/>
    <n v="0.45999999999999996"/>
    <x v="1"/>
  </r>
  <r>
    <x v="3"/>
    <n v="1128299"/>
    <x v="394"/>
    <x v="1"/>
    <s v="Louisiana"/>
    <s v="New Orleans"/>
    <x v="3"/>
    <n v="34"/>
    <n v="80"/>
    <n v="2720"/>
    <n v="1142.3999999999999"/>
    <n v="0.42"/>
    <x v="1"/>
  </r>
  <r>
    <x v="3"/>
    <n v="1128299"/>
    <x v="394"/>
    <x v="1"/>
    <s v="Louisiana"/>
    <s v="New Orleans"/>
    <x v="4"/>
    <n v="41"/>
    <n v="83"/>
    <n v="3403"/>
    <n v="1633.4399999999998"/>
    <n v="0.48"/>
    <x v="1"/>
  </r>
  <r>
    <x v="3"/>
    <n v="1128299"/>
    <x v="394"/>
    <x v="1"/>
    <s v="Louisiana"/>
    <s v="New Orleans"/>
    <x v="5"/>
    <n v="30"/>
    <n v="90"/>
    <n v="2700"/>
    <n v="1080"/>
    <n v="0.39999999999999997"/>
    <x v="1"/>
  </r>
  <r>
    <x v="3"/>
    <n v="1128299"/>
    <x v="423"/>
    <x v="1"/>
    <s v="Louisiana"/>
    <s v="New Orleans"/>
    <x v="0"/>
    <n v="25"/>
    <n v="124"/>
    <n v="3100"/>
    <n v="1332.9999999999998"/>
    <n v="0.42999999999999994"/>
    <x v="1"/>
  </r>
  <r>
    <x v="3"/>
    <n v="1128299"/>
    <x v="423"/>
    <x v="1"/>
    <s v="Louisiana"/>
    <s v="New Orleans"/>
    <x v="1"/>
    <n v="34"/>
    <n v="184"/>
    <n v="6256"/>
    <n v="2815.2"/>
    <n v="0.44999999999999996"/>
    <x v="1"/>
  </r>
  <r>
    <x v="3"/>
    <n v="1128299"/>
    <x v="423"/>
    <x v="1"/>
    <s v="Louisiana"/>
    <s v="New Orleans"/>
    <x v="2"/>
    <n v="33"/>
    <n v="128"/>
    <n v="4224"/>
    <n v="1900.7999999999997"/>
    <n v="0.44999999999999996"/>
    <x v="1"/>
  </r>
  <r>
    <x v="3"/>
    <n v="1128299"/>
    <x v="423"/>
    <x v="1"/>
    <s v="Louisiana"/>
    <s v="New Orleans"/>
    <x v="3"/>
    <n v="31"/>
    <n v="120"/>
    <n v="3720"/>
    <n v="1599.5999999999997"/>
    <n v="0.42999999999999994"/>
    <x v="1"/>
  </r>
  <r>
    <x v="3"/>
    <n v="1128299"/>
    <x v="423"/>
    <x v="1"/>
    <s v="Louisiana"/>
    <s v="New Orleans"/>
    <x v="4"/>
    <n v="39"/>
    <n v="112"/>
    <n v="4368"/>
    <n v="2096.64"/>
    <n v="0.48"/>
    <x v="1"/>
  </r>
  <r>
    <x v="3"/>
    <n v="1128299"/>
    <x v="423"/>
    <x v="1"/>
    <s v="Louisiana"/>
    <s v="New Orleans"/>
    <x v="5"/>
    <n v="44"/>
    <n v="140"/>
    <n v="6160"/>
    <n v="2464"/>
    <n v="0.39999999999999997"/>
    <x v="1"/>
  </r>
  <r>
    <x v="3"/>
    <n v="1128299"/>
    <x v="454"/>
    <x v="1"/>
    <s v="Louisiana"/>
    <s v="New Orleans"/>
    <x v="0"/>
    <n v="28"/>
    <n v="219"/>
    <n v="6132"/>
    <n v="2882.04"/>
    <n v="0.47"/>
    <x v="1"/>
  </r>
  <r>
    <x v="3"/>
    <n v="1128299"/>
    <x v="454"/>
    <x v="1"/>
    <s v="Louisiana"/>
    <s v="New Orleans"/>
    <x v="1"/>
    <n v="35"/>
    <n v="224"/>
    <n v="7840"/>
    <n v="3684.7999999999997"/>
    <n v="0.47"/>
    <x v="1"/>
  </r>
  <r>
    <x v="3"/>
    <n v="1128299"/>
    <x v="454"/>
    <x v="1"/>
    <s v="Louisiana"/>
    <s v="New Orleans"/>
    <x v="2"/>
    <n v="30"/>
    <n v="158"/>
    <n v="4740"/>
    <n v="2180.3999999999996"/>
    <n v="0.45999999999999996"/>
    <x v="1"/>
  </r>
  <r>
    <x v="3"/>
    <n v="1128299"/>
    <x v="454"/>
    <x v="1"/>
    <s v="Louisiana"/>
    <s v="New Orleans"/>
    <x v="3"/>
    <n v="40"/>
    <n v="155"/>
    <n v="6200"/>
    <n v="2852"/>
    <n v="0.45999999999999996"/>
    <x v="1"/>
  </r>
  <r>
    <x v="3"/>
    <n v="1128299"/>
    <x v="454"/>
    <x v="1"/>
    <s v="Louisiana"/>
    <s v="New Orleans"/>
    <x v="4"/>
    <n v="53"/>
    <n v="147"/>
    <n v="7791"/>
    <n v="3661.7700000000004"/>
    <n v="0.47000000000000003"/>
    <x v="1"/>
  </r>
  <r>
    <x v="3"/>
    <n v="1128299"/>
    <x v="454"/>
    <x v="1"/>
    <s v="Louisiana"/>
    <s v="New Orleans"/>
    <x v="5"/>
    <n v="64"/>
    <n v="180"/>
    <n v="11520"/>
    <n v="4723.2"/>
    <n v="0.41"/>
    <x v="1"/>
  </r>
  <r>
    <x v="3"/>
    <n v="1128299"/>
    <x v="483"/>
    <x v="1"/>
    <s v="Louisiana"/>
    <s v="New Orleans"/>
    <x v="0"/>
    <n v="46"/>
    <n v="272"/>
    <n v="12512"/>
    <n v="5755.5199999999995"/>
    <n v="0.45999999999999996"/>
    <x v="1"/>
  </r>
  <r>
    <x v="3"/>
    <n v="1128299"/>
    <x v="483"/>
    <x v="1"/>
    <s v="Louisiana"/>
    <s v="New Orleans"/>
    <x v="1"/>
    <n v="52"/>
    <n v="248"/>
    <n v="12896"/>
    <n v="5674.2399999999989"/>
    <n v="0.43999999999999995"/>
    <x v="1"/>
  </r>
  <r>
    <x v="0"/>
    <n v="1128299"/>
    <x v="483"/>
    <x v="1"/>
    <s v="Louisiana"/>
    <s v="New Orleans"/>
    <x v="2"/>
    <n v="53"/>
    <n v="192"/>
    <n v="10176"/>
    <n v="4375.6799999999994"/>
    <n v="0.42999999999999994"/>
    <x v="1"/>
  </r>
  <r>
    <x v="0"/>
    <n v="1128299"/>
    <x v="483"/>
    <x v="1"/>
    <s v="Louisiana"/>
    <s v="New Orleans"/>
    <x v="3"/>
    <n v="53"/>
    <n v="192"/>
    <n v="10176"/>
    <n v="4782.7199999999993"/>
    <n v="0.47"/>
    <x v="1"/>
  </r>
  <r>
    <x v="0"/>
    <n v="1128299"/>
    <x v="483"/>
    <x v="1"/>
    <s v="Louisiana"/>
    <s v="New Orleans"/>
    <x v="4"/>
    <n v="55"/>
    <n v="168"/>
    <n v="9240"/>
    <n v="4435.2"/>
    <n v="0.48"/>
    <x v="1"/>
  </r>
  <r>
    <x v="0"/>
    <n v="1128299"/>
    <x v="483"/>
    <x v="1"/>
    <s v="Louisiana"/>
    <s v="New Orleans"/>
    <x v="5"/>
    <n v="59"/>
    <n v="194"/>
    <n v="11446"/>
    <n v="4578.3999999999996"/>
    <n v="0.39999999999999997"/>
    <x v="1"/>
  </r>
  <r>
    <x v="0"/>
    <n v="1197831"/>
    <x v="169"/>
    <x v="1"/>
    <s v="Louisiana"/>
    <s v="New Orleans"/>
    <x v="0"/>
    <n v="14"/>
    <n v="223"/>
    <n v="3122"/>
    <n v="1061.4799999999998"/>
    <n v="0.33999999999999997"/>
    <x v="1"/>
  </r>
  <r>
    <x v="0"/>
    <n v="1197831"/>
    <x v="169"/>
    <x v="1"/>
    <s v="Louisiana"/>
    <s v="New Orleans"/>
    <x v="1"/>
    <n v="20"/>
    <n v="209"/>
    <n v="4180"/>
    <n v="1504.8"/>
    <n v="0.36"/>
    <x v="1"/>
  </r>
  <r>
    <x v="0"/>
    <n v="1197831"/>
    <x v="169"/>
    <x v="1"/>
    <s v="Louisiana"/>
    <s v="New Orleans"/>
    <x v="2"/>
    <n v="21"/>
    <n v="162"/>
    <n v="3402"/>
    <n v="1258.74"/>
    <n v="0.37"/>
    <x v="1"/>
  </r>
  <r>
    <x v="0"/>
    <n v="1197831"/>
    <x v="169"/>
    <x v="1"/>
    <s v="Louisiana"/>
    <s v="New Orleans"/>
    <x v="3"/>
    <n v="26"/>
    <n v="166"/>
    <n v="4316"/>
    <n v="1812.7200000000003"/>
    <n v="0.42000000000000004"/>
    <x v="1"/>
  </r>
  <r>
    <x v="0"/>
    <n v="1197831"/>
    <x v="169"/>
    <x v="1"/>
    <s v="Louisiana"/>
    <s v="New Orleans"/>
    <x v="4"/>
    <n v="28"/>
    <n v="111"/>
    <n v="3108"/>
    <n v="870.24000000000012"/>
    <n v="0.28000000000000003"/>
    <x v="1"/>
  </r>
  <r>
    <x v="3"/>
    <n v="1197831"/>
    <x v="169"/>
    <x v="1"/>
    <s v="Louisiana"/>
    <s v="New Orleans"/>
    <x v="5"/>
    <n v="23"/>
    <n v="147"/>
    <n v="3381"/>
    <n v="1690.5"/>
    <n v="0.5"/>
    <x v="1"/>
  </r>
  <r>
    <x v="0"/>
    <n v="1197831"/>
    <x v="199"/>
    <x v="1"/>
    <s v="Louisiana"/>
    <s v="New Orleans"/>
    <x v="0"/>
    <n v="18"/>
    <n v="200"/>
    <n v="3600"/>
    <n v="1152"/>
    <n v="0.32"/>
    <x v="1"/>
  </r>
  <r>
    <x v="0"/>
    <n v="1197831"/>
    <x v="199"/>
    <x v="1"/>
    <s v="Louisiana"/>
    <s v="New Orleans"/>
    <x v="1"/>
    <n v="28"/>
    <n v="180"/>
    <n v="5040"/>
    <n v="1663.1999999999998"/>
    <n v="0.32999999999999996"/>
    <x v="1"/>
  </r>
  <r>
    <x v="0"/>
    <n v="1197831"/>
    <x v="199"/>
    <x v="1"/>
    <s v="Louisiana"/>
    <s v="New Orleans"/>
    <x v="2"/>
    <n v="28"/>
    <n v="128"/>
    <n v="3584"/>
    <n v="1254.3999999999999"/>
    <n v="0.35"/>
    <x v="1"/>
  </r>
  <r>
    <x v="0"/>
    <n v="1197831"/>
    <x v="199"/>
    <x v="2"/>
    <s v="Idaho"/>
    <s v="Boise"/>
    <x v="3"/>
    <n v="27"/>
    <n v="116"/>
    <n v="3132"/>
    <n v="1315.44"/>
    <n v="0.42000000000000004"/>
    <x v="1"/>
  </r>
  <r>
    <x v="0"/>
    <n v="1197831"/>
    <x v="199"/>
    <x v="2"/>
    <s v="Idaho"/>
    <s v="Boise"/>
    <x v="4"/>
    <n v="31"/>
    <n v="88"/>
    <n v="2728"/>
    <n v="818.4"/>
    <n v="0.3"/>
    <x v="1"/>
  </r>
  <r>
    <x v="0"/>
    <n v="1197831"/>
    <x v="199"/>
    <x v="2"/>
    <s v="Idaho"/>
    <s v="Boise"/>
    <x v="5"/>
    <n v="26"/>
    <n v="135"/>
    <n v="3510"/>
    <n v="1825.2"/>
    <n v="0.52"/>
    <x v="1"/>
  </r>
  <r>
    <x v="0"/>
    <n v="1197831"/>
    <x v="708"/>
    <x v="2"/>
    <s v="Idaho"/>
    <s v="Boise"/>
    <x v="0"/>
    <n v="21"/>
    <n v="200"/>
    <n v="4200"/>
    <n v="1554"/>
    <n v="0.37"/>
    <x v="1"/>
  </r>
  <r>
    <x v="0"/>
    <n v="1197831"/>
    <x v="708"/>
    <x v="2"/>
    <s v="Idaho"/>
    <s v="Boise"/>
    <x v="1"/>
    <n v="27"/>
    <n v="188"/>
    <n v="5076"/>
    <n v="1979.6399999999999"/>
    <n v="0.38999999999999996"/>
    <x v="1"/>
  </r>
  <r>
    <x v="0"/>
    <n v="1197831"/>
    <x v="708"/>
    <x v="2"/>
    <s v="Idaho"/>
    <s v="Boise"/>
    <x v="2"/>
    <n v="20"/>
    <n v="135"/>
    <n v="2700"/>
    <n v="1026"/>
    <n v="0.38"/>
    <x v="1"/>
  </r>
  <r>
    <x v="0"/>
    <n v="1197831"/>
    <x v="708"/>
    <x v="2"/>
    <s v="Idaho"/>
    <s v="Boise"/>
    <x v="3"/>
    <n v="26"/>
    <n v="112"/>
    <n v="2912"/>
    <n v="1368.64"/>
    <n v="0.47000000000000003"/>
    <x v="1"/>
  </r>
  <r>
    <x v="3"/>
    <n v="1197831"/>
    <x v="708"/>
    <x v="2"/>
    <s v="Idaho"/>
    <s v="Boise"/>
    <x v="4"/>
    <n v="32"/>
    <n v="88"/>
    <n v="2816"/>
    <n v="985.59999999999991"/>
    <n v="0.35"/>
    <x v="1"/>
  </r>
  <r>
    <x v="3"/>
    <n v="1197831"/>
    <x v="708"/>
    <x v="2"/>
    <s v="Idaho"/>
    <s v="Boise"/>
    <x v="5"/>
    <n v="25"/>
    <n v="124"/>
    <n v="3100"/>
    <n v="1643"/>
    <n v="0.53"/>
    <x v="1"/>
  </r>
  <r>
    <x v="3"/>
    <n v="1197831"/>
    <x v="723"/>
    <x v="2"/>
    <s v="Idaho"/>
    <s v="Boise"/>
    <x v="0"/>
    <n v="15"/>
    <n v="215"/>
    <n v="3225"/>
    <n v="1354.5"/>
    <n v="0.42"/>
    <x v="1"/>
  </r>
  <r>
    <x v="3"/>
    <n v="1197831"/>
    <x v="723"/>
    <x v="2"/>
    <s v="Idaho"/>
    <s v="Boise"/>
    <x v="1"/>
    <n v="21"/>
    <n v="215"/>
    <n v="4515"/>
    <n v="1760.85"/>
    <n v="0.38999999999999996"/>
    <x v="1"/>
  </r>
  <r>
    <x v="3"/>
    <n v="1197831"/>
    <x v="723"/>
    <x v="2"/>
    <s v="Idaho"/>
    <s v="Boise"/>
    <x v="2"/>
    <n v="19"/>
    <n v="162"/>
    <n v="3078"/>
    <n v="1138.8599999999999"/>
    <n v="0.37"/>
    <x v="1"/>
  </r>
  <r>
    <x v="3"/>
    <n v="1197831"/>
    <x v="723"/>
    <x v="2"/>
    <s v="Idaho"/>
    <s v="Boise"/>
    <x v="3"/>
    <n v="20"/>
    <n v="116"/>
    <n v="2320"/>
    <n v="1136.8"/>
    <n v="0.49"/>
    <x v="1"/>
  </r>
  <r>
    <x v="3"/>
    <n v="1197831"/>
    <x v="723"/>
    <x v="2"/>
    <s v="Idaho"/>
    <s v="Boise"/>
    <x v="4"/>
    <n v="27"/>
    <n v="91"/>
    <n v="2457"/>
    <n v="786.24"/>
    <n v="0.32"/>
    <x v="1"/>
  </r>
  <r>
    <x v="3"/>
    <n v="1197831"/>
    <x v="723"/>
    <x v="2"/>
    <s v="Idaho"/>
    <s v="Boise"/>
    <x v="5"/>
    <n v="23"/>
    <n v="176"/>
    <n v="4048"/>
    <n v="2307.36"/>
    <n v="0.57000000000000006"/>
    <x v="1"/>
  </r>
  <r>
    <x v="3"/>
    <n v="1197831"/>
    <x v="258"/>
    <x v="2"/>
    <s v="Idaho"/>
    <s v="Boise"/>
    <x v="0"/>
    <n v="14"/>
    <n v="210"/>
    <n v="2940"/>
    <n v="1234.8"/>
    <n v="0.42"/>
    <x v="1"/>
  </r>
  <r>
    <x v="3"/>
    <n v="1197831"/>
    <x v="258"/>
    <x v="2"/>
    <s v="Idaho"/>
    <s v="Boise"/>
    <x v="1"/>
    <n v="22"/>
    <n v="247"/>
    <n v="5434"/>
    <n v="2227.94"/>
    <n v="0.41"/>
    <x v="1"/>
  </r>
  <r>
    <x v="3"/>
    <n v="1197831"/>
    <x v="258"/>
    <x v="2"/>
    <s v="Idaho"/>
    <s v="Boise"/>
    <x v="2"/>
    <n v="18"/>
    <n v="184"/>
    <n v="3312"/>
    <n v="1291.6799999999998"/>
    <n v="0.38999999999999996"/>
    <x v="1"/>
  </r>
  <r>
    <x v="3"/>
    <n v="1197831"/>
    <x v="258"/>
    <x v="2"/>
    <s v="Idaho"/>
    <s v="Boise"/>
    <x v="3"/>
    <n v="24"/>
    <n v="155"/>
    <n v="3720"/>
    <n v="1860"/>
    <n v="0.5"/>
    <x v="1"/>
  </r>
  <r>
    <x v="3"/>
    <n v="1197831"/>
    <x v="258"/>
    <x v="2"/>
    <s v="Idaho"/>
    <s v="Boise"/>
    <x v="4"/>
    <n v="34"/>
    <n v="120"/>
    <n v="4080"/>
    <n v="1428"/>
    <n v="0.35"/>
    <x v="1"/>
  </r>
  <r>
    <x v="3"/>
    <n v="1197831"/>
    <x v="258"/>
    <x v="2"/>
    <s v="Idaho"/>
    <s v="Boise"/>
    <x v="5"/>
    <n v="33"/>
    <n v="240"/>
    <n v="7920"/>
    <n v="4356"/>
    <n v="0.55000000000000004"/>
    <x v="1"/>
  </r>
  <r>
    <x v="3"/>
    <n v="1197831"/>
    <x v="288"/>
    <x v="2"/>
    <s v="Idaho"/>
    <s v="Boise"/>
    <x v="0"/>
    <n v="31"/>
    <n v="233"/>
    <n v="7223"/>
    <n v="2744.7400000000002"/>
    <n v="0.38"/>
    <x v="1"/>
  </r>
  <r>
    <x v="3"/>
    <n v="1197831"/>
    <x v="288"/>
    <x v="2"/>
    <s v="Idaho"/>
    <s v="Boise"/>
    <x v="1"/>
    <n v="35"/>
    <n v="263"/>
    <n v="9205"/>
    <n v="3774.0499999999997"/>
    <n v="0.41"/>
    <x v="1"/>
  </r>
  <r>
    <x v="3"/>
    <n v="1197831"/>
    <x v="288"/>
    <x v="2"/>
    <s v="Idaho"/>
    <s v="Boise"/>
    <x v="2"/>
    <n v="34"/>
    <n v="186"/>
    <n v="6324"/>
    <n v="2592.8399999999997"/>
    <n v="0.41"/>
    <x v="1"/>
  </r>
  <r>
    <x v="3"/>
    <n v="1197831"/>
    <x v="288"/>
    <x v="2"/>
    <s v="Idaho"/>
    <s v="Boise"/>
    <x v="3"/>
    <n v="33"/>
    <n v="187"/>
    <n v="6171"/>
    <n v="3023.79"/>
    <n v="0.49"/>
    <x v="1"/>
  </r>
  <r>
    <x v="3"/>
    <n v="1197831"/>
    <x v="288"/>
    <x v="2"/>
    <s v="Idaho"/>
    <s v="Boise"/>
    <x v="4"/>
    <n v="43"/>
    <n v="158"/>
    <n v="6794"/>
    <n v="2309.9599999999996"/>
    <n v="0.33999999999999997"/>
    <x v="1"/>
  </r>
  <r>
    <x v="3"/>
    <n v="1197831"/>
    <x v="288"/>
    <x v="2"/>
    <s v="Idaho"/>
    <s v="Boise"/>
    <x v="5"/>
    <n v="39"/>
    <n v="248"/>
    <n v="9672"/>
    <n v="5319.6"/>
    <n v="0.55000000000000004"/>
    <x v="1"/>
  </r>
  <r>
    <x v="3"/>
    <n v="1197831"/>
    <x v="320"/>
    <x v="2"/>
    <s v="Idaho"/>
    <s v="Boise"/>
    <x v="0"/>
    <n v="35"/>
    <n v="264"/>
    <n v="9240"/>
    <n v="4250.3999999999996"/>
    <n v="0.45999999999999996"/>
    <x v="1"/>
  </r>
  <r>
    <x v="3"/>
    <n v="1197831"/>
    <x v="320"/>
    <x v="2"/>
    <s v="Idaho"/>
    <s v="Boise"/>
    <x v="1"/>
    <n v="40"/>
    <n v="271"/>
    <n v="10840"/>
    <n v="4661.1999999999989"/>
    <n v="0.42999999999999994"/>
    <x v="1"/>
  </r>
  <r>
    <x v="3"/>
    <n v="1197831"/>
    <x v="320"/>
    <x v="2"/>
    <s v="Idaho"/>
    <s v="Boise"/>
    <x v="2"/>
    <n v="34"/>
    <n v="278"/>
    <n v="9452"/>
    <n v="3969.8399999999997"/>
    <n v="0.42"/>
    <x v="1"/>
  </r>
  <r>
    <x v="3"/>
    <n v="1197831"/>
    <x v="320"/>
    <x v="2"/>
    <s v="Idaho"/>
    <s v="Boise"/>
    <x v="3"/>
    <n v="38"/>
    <n v="158"/>
    <n v="6004"/>
    <n v="3182.1200000000003"/>
    <n v="0.53"/>
    <x v="1"/>
  </r>
  <r>
    <x v="3"/>
    <n v="1197831"/>
    <x v="320"/>
    <x v="2"/>
    <s v="Idaho"/>
    <s v="Boise"/>
    <x v="4"/>
    <n v="43"/>
    <n v="173"/>
    <n v="7439"/>
    <n v="2975.6"/>
    <n v="0.39999999999999997"/>
    <x v="1"/>
  </r>
  <r>
    <x v="0"/>
    <n v="1197831"/>
    <x v="320"/>
    <x v="2"/>
    <s v="Idaho"/>
    <s v="Boise"/>
    <x v="5"/>
    <n v="51"/>
    <n v="264"/>
    <n v="13464"/>
    <n v="7943.7600000000011"/>
    <n v="0.59000000000000008"/>
    <x v="1"/>
  </r>
  <r>
    <x v="0"/>
    <n v="1197831"/>
    <x v="353"/>
    <x v="2"/>
    <s v="Idaho"/>
    <s v="Boise"/>
    <x v="0"/>
    <n v="38"/>
    <n v="233"/>
    <n v="8854"/>
    <n v="3718.68"/>
    <n v="0.42"/>
    <x v="1"/>
  </r>
  <r>
    <x v="0"/>
    <n v="1197831"/>
    <x v="353"/>
    <x v="2"/>
    <s v="Idaho"/>
    <s v="Boise"/>
    <x v="1"/>
    <n v="37"/>
    <n v="255"/>
    <n v="9435"/>
    <n v="4057.0499999999993"/>
    <n v="0.42999999999999994"/>
    <x v="1"/>
  </r>
  <r>
    <x v="0"/>
    <n v="1197831"/>
    <x v="353"/>
    <x v="2"/>
    <s v="Idaho"/>
    <s v="Boise"/>
    <x v="2"/>
    <n v="39"/>
    <n v="305"/>
    <n v="11895"/>
    <n v="5114.8499999999995"/>
    <n v="0.42999999999999994"/>
    <x v="1"/>
  </r>
  <r>
    <x v="0"/>
    <n v="1197831"/>
    <x v="353"/>
    <x v="2"/>
    <s v="Idaho"/>
    <s v="Boise"/>
    <x v="3"/>
    <n v="33"/>
    <n v="162"/>
    <n v="5346"/>
    <n v="2940.3"/>
    <n v="0.55000000000000004"/>
    <x v="1"/>
  </r>
  <r>
    <x v="2"/>
    <n v="1197831"/>
    <x v="353"/>
    <x v="2"/>
    <s v="Idaho"/>
    <s v="Boise"/>
    <x v="4"/>
    <n v="39"/>
    <n v="166"/>
    <n v="6474"/>
    <n v="2719.08"/>
    <n v="0.42"/>
    <x v="1"/>
  </r>
  <r>
    <x v="2"/>
    <n v="1197831"/>
    <x v="353"/>
    <x v="2"/>
    <s v="Idaho"/>
    <s v="Boise"/>
    <x v="5"/>
    <n v="44"/>
    <n v="239"/>
    <n v="10516"/>
    <n v="6414.7600000000011"/>
    <n v="0.6100000000000001"/>
    <x v="1"/>
  </r>
  <r>
    <x v="2"/>
    <n v="1197831"/>
    <x v="381"/>
    <x v="2"/>
    <s v="Idaho"/>
    <s v="Boise"/>
    <x v="0"/>
    <n v="41"/>
    <n v="230"/>
    <n v="9430"/>
    <n v="4337.7999999999993"/>
    <n v="0.45999999999999996"/>
    <x v="1"/>
  </r>
  <r>
    <x v="2"/>
    <n v="1197831"/>
    <x v="381"/>
    <x v="2"/>
    <s v="Idaho"/>
    <s v="Boise"/>
    <x v="1"/>
    <n v="38"/>
    <n v="219"/>
    <n v="8322"/>
    <n v="3578.4599999999996"/>
    <n v="0.42999999999999994"/>
    <x v="1"/>
  </r>
  <r>
    <x v="2"/>
    <n v="1197831"/>
    <x v="381"/>
    <x v="2"/>
    <s v="Idaho"/>
    <s v="Boise"/>
    <x v="2"/>
    <n v="43"/>
    <n v="203"/>
    <n v="8729"/>
    <n v="3928.0499999999997"/>
    <n v="0.44999999999999996"/>
    <x v="1"/>
  </r>
  <r>
    <x v="2"/>
    <n v="1197831"/>
    <x v="381"/>
    <x v="2"/>
    <s v="Idaho"/>
    <s v="Boise"/>
    <x v="3"/>
    <n v="40"/>
    <n v="136"/>
    <n v="5440"/>
    <n v="2992.0000000000005"/>
    <n v="0.55000000000000004"/>
    <x v="1"/>
  </r>
  <r>
    <x v="2"/>
    <n v="1197831"/>
    <x v="381"/>
    <x v="2"/>
    <s v="Idaho"/>
    <s v="Boise"/>
    <x v="4"/>
    <n v="42"/>
    <n v="140"/>
    <n v="5880"/>
    <n v="2410.7999999999997"/>
    <n v="0.41"/>
    <x v="1"/>
  </r>
  <r>
    <x v="2"/>
    <n v="1197831"/>
    <x v="381"/>
    <x v="2"/>
    <s v="Idaho"/>
    <s v="Boise"/>
    <x v="5"/>
    <n v="36"/>
    <n v="200"/>
    <n v="7200"/>
    <n v="4176.0000000000009"/>
    <n v="0.58000000000000007"/>
    <x v="1"/>
  </r>
  <r>
    <x v="2"/>
    <n v="1197831"/>
    <x v="410"/>
    <x v="2"/>
    <s v="Idaho"/>
    <s v="Boise"/>
    <x v="0"/>
    <n v="30"/>
    <n v="201"/>
    <n v="6030"/>
    <n v="2773.7999999999997"/>
    <n v="0.45999999999999996"/>
    <x v="1"/>
  </r>
  <r>
    <x v="2"/>
    <n v="1197831"/>
    <x v="410"/>
    <x v="2"/>
    <s v="Idaho"/>
    <s v="Boise"/>
    <x v="1"/>
    <n v="27"/>
    <n v="190"/>
    <n v="5130"/>
    <n v="2205.8999999999996"/>
    <n v="0.42999999999999994"/>
    <x v="1"/>
  </r>
  <r>
    <x v="2"/>
    <n v="1197831"/>
    <x v="410"/>
    <x v="2"/>
    <s v="Idaho"/>
    <s v="Boise"/>
    <x v="2"/>
    <n v="31"/>
    <n v="179"/>
    <n v="5549"/>
    <n v="2330.58"/>
    <n v="0.42"/>
    <x v="1"/>
  </r>
  <r>
    <x v="2"/>
    <n v="1197831"/>
    <x v="410"/>
    <x v="2"/>
    <s v="Idaho"/>
    <s v="Boise"/>
    <x v="3"/>
    <n v="35"/>
    <n v="116"/>
    <n v="4060"/>
    <n v="2151.8000000000002"/>
    <n v="0.53"/>
    <x v="1"/>
  </r>
  <r>
    <x v="2"/>
    <n v="1197831"/>
    <x v="410"/>
    <x v="2"/>
    <s v="Idaho"/>
    <s v="Boise"/>
    <x v="4"/>
    <n v="25"/>
    <n v="123"/>
    <n v="3075"/>
    <n v="1199.2499999999998"/>
    <n v="0.38999999999999996"/>
    <x v="1"/>
  </r>
  <r>
    <x v="2"/>
    <n v="1197831"/>
    <x v="410"/>
    <x v="2"/>
    <s v="Idaho"/>
    <s v="Boise"/>
    <x v="5"/>
    <n v="34"/>
    <n v="179"/>
    <n v="6086"/>
    <n v="3590.7400000000007"/>
    <n v="0.59000000000000008"/>
    <x v="1"/>
  </r>
  <r>
    <x v="2"/>
    <n v="1197831"/>
    <x v="442"/>
    <x v="2"/>
    <s v="Idaho"/>
    <s v="Boise"/>
    <x v="0"/>
    <n v="27"/>
    <n v="203"/>
    <n v="5481"/>
    <n v="2521.2599999999998"/>
    <n v="0.45999999999999996"/>
    <x v="1"/>
  </r>
  <r>
    <x v="2"/>
    <n v="1197831"/>
    <x v="442"/>
    <x v="2"/>
    <s v="Idaho"/>
    <s v="Boise"/>
    <x v="1"/>
    <n v="28"/>
    <n v="223"/>
    <n v="6244"/>
    <n v="2684.9199999999996"/>
    <n v="0.42999999999999994"/>
    <x v="1"/>
  </r>
  <r>
    <x v="2"/>
    <n v="1197831"/>
    <x v="442"/>
    <x v="2"/>
    <s v="Idaho"/>
    <s v="Boise"/>
    <x v="2"/>
    <n v="42"/>
    <n v="210"/>
    <n v="8820"/>
    <n v="3704.3999999999996"/>
    <n v="0.42"/>
    <x v="1"/>
  </r>
  <r>
    <x v="2"/>
    <n v="1197831"/>
    <x v="442"/>
    <x v="2"/>
    <s v="Idaho"/>
    <s v="Boise"/>
    <x v="3"/>
    <n v="43"/>
    <n v="158"/>
    <n v="6794"/>
    <n v="3532.88"/>
    <n v="0.52"/>
    <x v="1"/>
  </r>
  <r>
    <x v="2"/>
    <n v="1197831"/>
    <x v="442"/>
    <x v="2"/>
    <s v="Idaho"/>
    <s v="Boise"/>
    <x v="4"/>
    <n v="41"/>
    <n v="149"/>
    <n v="6109"/>
    <n v="2321.42"/>
    <n v="0.38"/>
    <x v="1"/>
  </r>
  <r>
    <x v="2"/>
    <n v="1197831"/>
    <x v="442"/>
    <x v="2"/>
    <s v="Idaho"/>
    <s v="Boise"/>
    <x v="5"/>
    <n v="51"/>
    <n v="194"/>
    <n v="9894"/>
    <n v="5837.4600000000009"/>
    <n v="0.59000000000000008"/>
    <x v="1"/>
  </r>
  <r>
    <x v="0"/>
    <n v="1197831"/>
    <x v="471"/>
    <x v="2"/>
    <s v="Idaho"/>
    <s v="Boise"/>
    <x v="0"/>
    <n v="40"/>
    <n v="240"/>
    <n v="9600"/>
    <n v="4320"/>
    <n v="0.44999999999999996"/>
    <x v="1"/>
  </r>
  <r>
    <x v="0"/>
    <n v="1197831"/>
    <x v="471"/>
    <x v="2"/>
    <s v="Idaho"/>
    <s v="Boise"/>
    <x v="1"/>
    <n v="41"/>
    <n v="240"/>
    <n v="9840"/>
    <n v="4526.3999999999996"/>
    <n v="0.45999999999999996"/>
    <x v="1"/>
  </r>
  <r>
    <x v="0"/>
    <n v="1197831"/>
    <x v="471"/>
    <x v="2"/>
    <s v="Idaho"/>
    <s v="Boise"/>
    <x v="2"/>
    <n v="47"/>
    <n v="223"/>
    <n v="10481"/>
    <n v="4611.6399999999994"/>
    <n v="0.43999999999999995"/>
    <x v="1"/>
  </r>
  <r>
    <x v="0"/>
    <n v="1197831"/>
    <x v="471"/>
    <x v="2"/>
    <s v="Idaho"/>
    <s v="Boise"/>
    <x v="3"/>
    <n v="44"/>
    <n v="184"/>
    <n v="8096"/>
    <n v="4209.92"/>
    <n v="0.52"/>
    <x v="1"/>
  </r>
  <r>
    <x v="0"/>
    <n v="1197831"/>
    <x v="471"/>
    <x v="2"/>
    <s v="Idaho"/>
    <s v="Boise"/>
    <x v="4"/>
    <n v="43"/>
    <n v="147"/>
    <n v="6321"/>
    <n v="2591.6099999999997"/>
    <n v="0.41"/>
    <x v="1"/>
  </r>
  <r>
    <x v="0"/>
    <n v="1197831"/>
    <x v="471"/>
    <x v="2"/>
    <s v="Idaho"/>
    <s v="Boise"/>
    <x v="5"/>
    <n v="47"/>
    <n v="232"/>
    <n v="10904"/>
    <n v="6651.4400000000014"/>
    <n v="0.6100000000000001"/>
    <x v="1"/>
  </r>
  <r>
    <x v="0"/>
    <n v="1128299"/>
    <x v="187"/>
    <x v="2"/>
    <s v="Idaho"/>
    <s v="Boise"/>
    <x v="0"/>
    <n v="23"/>
    <n v="136"/>
    <n v="3128"/>
    <n v="1251.1999999999998"/>
    <n v="0.39999999999999997"/>
    <x v="1"/>
  </r>
  <r>
    <x v="0"/>
    <n v="1128299"/>
    <x v="187"/>
    <x v="2"/>
    <s v="Idaho"/>
    <s v="Boise"/>
    <x v="1"/>
    <n v="30"/>
    <n v="140"/>
    <n v="4200"/>
    <n v="1806.0000000000002"/>
    <n v="0.43000000000000005"/>
    <x v="1"/>
  </r>
  <r>
    <x v="0"/>
    <n v="1128299"/>
    <x v="187"/>
    <x v="2"/>
    <s v="Idaho"/>
    <s v="Boise"/>
    <x v="2"/>
    <n v="31"/>
    <n v="145"/>
    <n v="4495"/>
    <n v="1753.0499999999997"/>
    <n v="0.38999999999999996"/>
    <x v="1"/>
  </r>
  <r>
    <x v="0"/>
    <n v="1128299"/>
    <x v="187"/>
    <x v="2"/>
    <s v="Idaho"/>
    <s v="Boise"/>
    <x v="3"/>
    <n v="30"/>
    <n v="88"/>
    <n v="2640"/>
    <n v="976.8"/>
    <n v="0.37"/>
    <x v="1"/>
  </r>
  <r>
    <x v="0"/>
    <n v="1128299"/>
    <x v="187"/>
    <x v="2"/>
    <s v="Idaho"/>
    <s v="Boise"/>
    <x v="4"/>
    <n v="35"/>
    <n v="68"/>
    <n v="2380"/>
    <n v="809.19999999999993"/>
    <n v="0.33999999999999997"/>
    <x v="1"/>
  </r>
  <r>
    <x v="0"/>
    <n v="1128299"/>
    <x v="187"/>
    <x v="2"/>
    <s v="Idaho"/>
    <s v="Boise"/>
    <x v="5"/>
    <n v="27"/>
    <n v="140"/>
    <n v="3780"/>
    <n v="1020.6"/>
    <n v="0.27"/>
    <x v="1"/>
  </r>
  <r>
    <x v="0"/>
    <n v="1128299"/>
    <x v="697"/>
    <x v="2"/>
    <s v="Idaho"/>
    <s v="Boise"/>
    <x v="0"/>
    <n v="21"/>
    <n v="162"/>
    <n v="3402"/>
    <n v="1258.74"/>
    <n v="0.37"/>
    <x v="1"/>
  </r>
  <r>
    <x v="0"/>
    <n v="1128299"/>
    <x v="697"/>
    <x v="2"/>
    <s v="Idaho"/>
    <s v="Boise"/>
    <x v="1"/>
    <n v="28"/>
    <n v="128"/>
    <n v="3584"/>
    <n v="1541.1200000000001"/>
    <n v="0.43000000000000005"/>
    <x v="1"/>
  </r>
  <r>
    <x v="0"/>
    <n v="1128299"/>
    <x v="697"/>
    <x v="2"/>
    <s v="Idaho"/>
    <s v="Boise"/>
    <x v="2"/>
    <n v="28"/>
    <n v="124"/>
    <n v="3472"/>
    <n v="1458.24"/>
    <n v="0.42"/>
    <x v="1"/>
  </r>
  <r>
    <x v="0"/>
    <n v="1128299"/>
    <x v="697"/>
    <x v="2"/>
    <s v="Arizona"/>
    <s v="Phoenix"/>
    <x v="3"/>
    <n v="26"/>
    <n v="68"/>
    <n v="1768"/>
    <n v="742.56"/>
    <n v="0.42"/>
    <x v="1"/>
  </r>
  <r>
    <x v="0"/>
    <n v="1128299"/>
    <x v="697"/>
    <x v="2"/>
    <s v="Arizona"/>
    <s v="Phoenix"/>
    <x v="4"/>
    <n v="36"/>
    <n v="51"/>
    <n v="1836"/>
    <n v="679.31999999999994"/>
    <n v="0.37"/>
    <x v="1"/>
  </r>
  <r>
    <x v="0"/>
    <n v="1128299"/>
    <x v="697"/>
    <x v="2"/>
    <s v="Arizona"/>
    <s v="Phoenix"/>
    <x v="5"/>
    <n v="31"/>
    <n v="116"/>
    <n v="3596"/>
    <n v="970.92000000000007"/>
    <n v="0.27"/>
    <x v="1"/>
  </r>
  <r>
    <x v="0"/>
    <n v="1128299"/>
    <x v="227"/>
    <x v="2"/>
    <s v="Arizona"/>
    <s v="Phoenix"/>
    <x v="0"/>
    <n v="29"/>
    <n v="160"/>
    <n v="4640"/>
    <n v="1855.9999999999998"/>
    <n v="0.39999999999999997"/>
    <x v="1"/>
  </r>
  <r>
    <x v="0"/>
    <n v="1128299"/>
    <x v="227"/>
    <x v="2"/>
    <s v="Arizona"/>
    <s v="Phoenix"/>
    <x v="1"/>
    <n v="38"/>
    <n v="116"/>
    <n v="4408"/>
    <n v="1939.52"/>
    <n v="0.44"/>
    <x v="1"/>
  </r>
  <r>
    <x v="0"/>
    <n v="1128299"/>
    <x v="227"/>
    <x v="2"/>
    <s v="Arizona"/>
    <s v="Phoenix"/>
    <x v="2"/>
    <n v="37"/>
    <n v="119"/>
    <n v="4403"/>
    <n v="1805.2299999999998"/>
    <n v="0.41"/>
    <x v="1"/>
  </r>
  <r>
    <x v="0"/>
    <n v="1128299"/>
    <x v="227"/>
    <x v="2"/>
    <s v="Arizona"/>
    <s v="Phoenix"/>
    <x v="3"/>
    <n v="38"/>
    <n v="68"/>
    <n v="2584"/>
    <n v="956.08"/>
    <n v="0.37"/>
    <x v="1"/>
  </r>
  <r>
    <x v="0"/>
    <n v="1128299"/>
    <x v="227"/>
    <x v="2"/>
    <s v="Arizona"/>
    <s v="Phoenix"/>
    <x v="4"/>
    <n v="41"/>
    <n v="39"/>
    <n v="1599"/>
    <n v="511.68"/>
    <n v="0.32"/>
    <x v="1"/>
  </r>
  <r>
    <x v="0"/>
    <n v="1128299"/>
    <x v="227"/>
    <x v="2"/>
    <s v="Arizona"/>
    <s v="Phoenix"/>
    <x v="5"/>
    <n v="37"/>
    <n v="107"/>
    <n v="3959"/>
    <n v="1068.93"/>
    <n v="0.27"/>
    <x v="1"/>
  </r>
  <r>
    <x v="0"/>
    <n v="1128299"/>
    <x v="246"/>
    <x v="2"/>
    <s v="Arizona"/>
    <s v="Phoenix"/>
    <x v="0"/>
    <n v="40"/>
    <n v="175"/>
    <n v="7000"/>
    <n v="2660"/>
    <n v="0.38"/>
    <x v="1"/>
  </r>
  <r>
    <x v="0"/>
    <n v="1128299"/>
    <x v="246"/>
    <x v="2"/>
    <s v="Arizona"/>
    <s v="Phoenix"/>
    <x v="1"/>
    <n v="37"/>
    <n v="90"/>
    <n v="3330"/>
    <n v="1465.2"/>
    <n v="0.44"/>
    <x v="1"/>
  </r>
  <r>
    <x v="0"/>
    <n v="1128299"/>
    <x v="246"/>
    <x v="2"/>
    <s v="Arizona"/>
    <s v="Phoenix"/>
    <x v="2"/>
    <n v="42"/>
    <n v="123"/>
    <n v="5166"/>
    <n v="1911.42"/>
    <n v="0.37"/>
    <x v="1"/>
  </r>
  <r>
    <x v="0"/>
    <n v="1128299"/>
    <x v="246"/>
    <x v="2"/>
    <s v="Arizona"/>
    <s v="Phoenix"/>
    <x v="3"/>
    <n v="40"/>
    <n v="78"/>
    <n v="3120"/>
    <n v="1248"/>
    <n v="0.39999999999999997"/>
    <x v="1"/>
  </r>
  <r>
    <x v="0"/>
    <n v="1128299"/>
    <x v="246"/>
    <x v="2"/>
    <s v="Arizona"/>
    <s v="Phoenix"/>
    <x v="4"/>
    <n v="43"/>
    <n v="47"/>
    <n v="2021"/>
    <n v="687.14"/>
    <n v="0.33999999999999997"/>
    <x v="1"/>
  </r>
  <r>
    <x v="0"/>
    <n v="1128299"/>
    <x v="246"/>
    <x v="2"/>
    <s v="Arizona"/>
    <s v="Phoenix"/>
    <x v="5"/>
    <n v="49"/>
    <n v="111"/>
    <n v="5439"/>
    <n v="1631.7"/>
    <n v="0.3"/>
    <x v="1"/>
  </r>
  <r>
    <x v="0"/>
    <n v="1128299"/>
    <x v="277"/>
    <x v="2"/>
    <s v="Arizona"/>
    <s v="Phoenix"/>
    <x v="0"/>
    <n v="38"/>
    <n v="184"/>
    <n v="6992"/>
    <n v="2656.96"/>
    <n v="0.38"/>
    <x v="1"/>
  </r>
  <r>
    <x v="0"/>
    <n v="1128299"/>
    <x v="277"/>
    <x v="2"/>
    <s v="Arizona"/>
    <s v="Phoenix"/>
    <x v="1"/>
    <n v="36"/>
    <n v="116"/>
    <n v="4176"/>
    <n v="1753.92"/>
    <n v="0.42000000000000004"/>
    <x v="1"/>
  </r>
  <r>
    <x v="0"/>
    <n v="1128299"/>
    <x v="277"/>
    <x v="2"/>
    <s v="Arizona"/>
    <s v="Phoenix"/>
    <x v="2"/>
    <n v="41"/>
    <n v="132"/>
    <n v="5412"/>
    <n v="2056.56"/>
    <n v="0.38"/>
    <x v="1"/>
  </r>
  <r>
    <x v="0"/>
    <n v="1128299"/>
    <x v="277"/>
    <x v="2"/>
    <s v="Arizona"/>
    <s v="Phoenix"/>
    <x v="3"/>
    <n v="39"/>
    <n v="93"/>
    <n v="3627"/>
    <n v="1341.99"/>
    <n v="0.37"/>
    <x v="1"/>
  </r>
  <r>
    <x v="0"/>
    <n v="1128299"/>
    <x v="277"/>
    <x v="2"/>
    <s v="Arizona"/>
    <s v="Phoenix"/>
    <x v="4"/>
    <n v="39"/>
    <n v="62"/>
    <n v="2418"/>
    <n v="797.93999999999994"/>
    <n v="0.32999999999999996"/>
    <x v="1"/>
  </r>
  <r>
    <x v="0"/>
    <n v="1128299"/>
    <x v="277"/>
    <x v="2"/>
    <s v="Arizona"/>
    <s v="Phoenix"/>
    <x v="5"/>
    <n v="53"/>
    <n v="124"/>
    <n v="6572"/>
    <n v="1905.8799999999999"/>
    <n v="0.28999999999999998"/>
    <x v="1"/>
  </r>
  <r>
    <x v="0"/>
    <n v="1128299"/>
    <x v="307"/>
    <x v="2"/>
    <s v="Arizona"/>
    <s v="Phoenix"/>
    <x v="0"/>
    <n v="37"/>
    <n v="194"/>
    <n v="7178"/>
    <n v="2799.4199999999996"/>
    <n v="0.38999999999999996"/>
    <x v="1"/>
  </r>
  <r>
    <x v="0"/>
    <n v="1128299"/>
    <x v="307"/>
    <x v="2"/>
    <s v="Arizona"/>
    <s v="Phoenix"/>
    <x v="1"/>
    <n v="36"/>
    <n v="143"/>
    <n v="5148"/>
    <n v="2162.1600000000003"/>
    <n v="0.42000000000000004"/>
    <x v="1"/>
  </r>
  <r>
    <x v="0"/>
    <n v="1128299"/>
    <x v="307"/>
    <x v="2"/>
    <s v="Arizona"/>
    <s v="Phoenix"/>
    <x v="2"/>
    <n v="41"/>
    <n v="147"/>
    <n v="6027"/>
    <n v="2290.2600000000002"/>
    <n v="0.38"/>
    <x v="1"/>
  </r>
  <r>
    <x v="0"/>
    <n v="1128299"/>
    <x v="307"/>
    <x v="2"/>
    <s v="Arizona"/>
    <s v="Phoenix"/>
    <x v="3"/>
    <n v="38"/>
    <n v="105"/>
    <n v="3990"/>
    <n v="1595.9999999999998"/>
    <n v="0.39999999999999997"/>
    <x v="1"/>
  </r>
  <r>
    <x v="0"/>
    <n v="1128299"/>
    <x v="307"/>
    <x v="2"/>
    <s v="Arizona"/>
    <s v="Phoenix"/>
    <x v="4"/>
    <n v="43"/>
    <n v="72"/>
    <n v="3096"/>
    <n v="1052.6399999999999"/>
    <n v="0.33999999999999997"/>
    <x v="1"/>
  </r>
  <r>
    <x v="0"/>
    <n v="1128299"/>
    <x v="307"/>
    <x v="2"/>
    <s v="Arizona"/>
    <s v="Phoenix"/>
    <x v="5"/>
    <n v="46"/>
    <n v="158"/>
    <n v="7268"/>
    <n v="2253.08"/>
    <n v="0.31"/>
    <x v="1"/>
  </r>
  <r>
    <x v="0"/>
    <n v="1128299"/>
    <x v="336"/>
    <x v="2"/>
    <s v="Arizona"/>
    <s v="Phoenix"/>
    <x v="0"/>
    <n v="40"/>
    <n v="216"/>
    <n v="8640"/>
    <n v="3196.8"/>
    <n v="0.37"/>
    <x v="1"/>
  </r>
  <r>
    <x v="0"/>
    <n v="1128299"/>
    <x v="336"/>
    <x v="2"/>
    <s v="Arizona"/>
    <s v="Phoenix"/>
    <x v="1"/>
    <n v="40"/>
    <n v="163"/>
    <n v="6520"/>
    <n v="2999.2000000000003"/>
    <n v="0.46"/>
    <x v="1"/>
  </r>
  <r>
    <x v="0"/>
    <n v="1128299"/>
    <x v="336"/>
    <x v="2"/>
    <s v="Arizona"/>
    <s v="Phoenix"/>
    <x v="2"/>
    <n v="39"/>
    <n v="157"/>
    <n v="6123"/>
    <n v="2387.9699999999998"/>
    <n v="0.38999999999999996"/>
    <x v="1"/>
  </r>
  <r>
    <x v="0"/>
    <n v="1128299"/>
    <x v="336"/>
    <x v="2"/>
    <s v="Arizona"/>
    <s v="Phoenix"/>
    <x v="3"/>
    <n v="36"/>
    <n v="113"/>
    <n v="4068"/>
    <n v="1545.84"/>
    <n v="0.38"/>
    <x v="1"/>
  </r>
  <r>
    <x v="0"/>
    <n v="1128299"/>
    <x v="336"/>
    <x v="2"/>
    <s v="Arizona"/>
    <s v="Phoenix"/>
    <x v="4"/>
    <n v="40"/>
    <n v="145"/>
    <n v="5800"/>
    <n v="2146"/>
    <n v="0.37"/>
    <x v="1"/>
  </r>
  <r>
    <x v="0"/>
    <n v="1128299"/>
    <x v="336"/>
    <x v="2"/>
    <s v="Arizona"/>
    <s v="Phoenix"/>
    <x v="5"/>
    <n v="46"/>
    <n v="145"/>
    <n v="6670"/>
    <n v="2001"/>
    <n v="0.3"/>
    <x v="1"/>
  </r>
  <r>
    <x v="0"/>
    <n v="1128299"/>
    <x v="368"/>
    <x v="2"/>
    <s v="Arizona"/>
    <s v="Phoenix"/>
    <x v="0"/>
    <n v="41"/>
    <n v="194"/>
    <n v="7954"/>
    <n v="3181.6"/>
    <n v="0.39999999999999997"/>
    <x v="1"/>
  </r>
  <r>
    <x v="0"/>
    <n v="1128299"/>
    <x v="368"/>
    <x v="2"/>
    <s v="Arizona"/>
    <s v="Phoenix"/>
    <x v="1"/>
    <n v="46"/>
    <n v="190"/>
    <n v="8740"/>
    <n v="3670.8"/>
    <n v="0.42000000000000004"/>
    <x v="1"/>
  </r>
  <r>
    <x v="0"/>
    <n v="1128299"/>
    <x v="368"/>
    <x v="2"/>
    <s v="Arizona"/>
    <s v="Phoenix"/>
    <x v="2"/>
    <n v="37"/>
    <n v="153"/>
    <n v="5661"/>
    <n v="2321.0099999999998"/>
    <n v="0.41"/>
    <x v="1"/>
  </r>
  <r>
    <x v="0"/>
    <n v="1128299"/>
    <x v="368"/>
    <x v="2"/>
    <s v="Arizona"/>
    <s v="Phoenix"/>
    <x v="3"/>
    <n v="43"/>
    <n v="120"/>
    <n v="5160"/>
    <n v="2167.1999999999998"/>
    <n v="0.42"/>
    <x v="1"/>
  </r>
  <r>
    <x v="0"/>
    <n v="1128299"/>
    <x v="368"/>
    <x v="2"/>
    <s v="Arizona"/>
    <s v="Phoenix"/>
    <x v="4"/>
    <n v="45"/>
    <n v="136"/>
    <n v="6120"/>
    <n v="2264.4"/>
    <n v="0.37"/>
    <x v="1"/>
  </r>
  <r>
    <x v="0"/>
    <n v="1128299"/>
    <x v="368"/>
    <x v="2"/>
    <s v="Arizona"/>
    <s v="Phoenix"/>
    <x v="5"/>
    <n v="48"/>
    <n v="131"/>
    <n v="6288"/>
    <n v="1760.64"/>
    <n v="0.28000000000000003"/>
    <x v="1"/>
  </r>
  <r>
    <x v="0"/>
    <n v="1128299"/>
    <x v="400"/>
    <x v="2"/>
    <s v="Arizona"/>
    <s v="Phoenix"/>
    <x v="0"/>
    <n v="35"/>
    <n v="184"/>
    <n v="6440"/>
    <n v="2704.7999999999997"/>
    <n v="0.42"/>
    <x v="1"/>
  </r>
  <r>
    <x v="0"/>
    <n v="1128299"/>
    <x v="400"/>
    <x v="2"/>
    <s v="Arizona"/>
    <s v="Phoenix"/>
    <x v="1"/>
    <n v="34"/>
    <n v="201"/>
    <n v="6834"/>
    <n v="3211.98"/>
    <n v="0.47000000000000003"/>
    <x v="1"/>
  </r>
  <r>
    <x v="0"/>
    <n v="1128299"/>
    <x v="400"/>
    <x v="2"/>
    <s v="Arizona"/>
    <s v="Phoenix"/>
    <x v="2"/>
    <n v="34"/>
    <n v="145"/>
    <n v="4930"/>
    <n v="1824.1"/>
    <n v="0.37"/>
    <x v="1"/>
  </r>
  <r>
    <x v="0"/>
    <n v="1128299"/>
    <x v="400"/>
    <x v="2"/>
    <s v="Arizona"/>
    <s v="Phoenix"/>
    <x v="3"/>
    <n v="33"/>
    <n v="124"/>
    <n v="4092"/>
    <n v="1514.04"/>
    <n v="0.37"/>
    <x v="1"/>
  </r>
  <r>
    <x v="0"/>
    <n v="1128299"/>
    <x v="400"/>
    <x v="2"/>
    <s v="Arizona"/>
    <s v="Phoenix"/>
    <x v="4"/>
    <n v="41"/>
    <n v="128"/>
    <n v="5248"/>
    <n v="1731.8399999999997"/>
    <n v="0.32999999999999996"/>
    <x v="1"/>
  </r>
  <r>
    <x v="0"/>
    <n v="1128299"/>
    <x v="400"/>
    <x v="2"/>
    <s v="Arizona"/>
    <s v="Phoenix"/>
    <x v="5"/>
    <n v="43"/>
    <n v="132"/>
    <n v="5676"/>
    <n v="1816.32"/>
    <n v="0.32"/>
    <x v="1"/>
  </r>
  <r>
    <x v="0"/>
    <n v="1128299"/>
    <x v="429"/>
    <x v="2"/>
    <s v="Arizona"/>
    <s v="Phoenix"/>
    <x v="0"/>
    <n v="36"/>
    <n v="170"/>
    <n v="6120"/>
    <n v="2570.4"/>
    <n v="0.42"/>
    <x v="1"/>
  </r>
  <r>
    <x v="0"/>
    <n v="1128299"/>
    <x v="429"/>
    <x v="2"/>
    <s v="Arizona"/>
    <s v="Phoenix"/>
    <x v="1"/>
    <n v="33"/>
    <n v="175"/>
    <n v="5775"/>
    <n v="2425.5000000000005"/>
    <n v="0.42000000000000004"/>
    <x v="1"/>
  </r>
  <r>
    <x v="0"/>
    <n v="1128299"/>
    <x v="429"/>
    <x v="2"/>
    <s v="Arizona"/>
    <s v="Phoenix"/>
    <x v="2"/>
    <n v="31"/>
    <n v="111"/>
    <n v="3441"/>
    <n v="1273.17"/>
    <n v="0.37"/>
    <x v="1"/>
  </r>
  <r>
    <x v="0"/>
    <n v="1128299"/>
    <x v="429"/>
    <x v="2"/>
    <s v="Arizona"/>
    <s v="Phoenix"/>
    <x v="3"/>
    <n v="32"/>
    <n v="102"/>
    <n v="3264"/>
    <n v="1272.9599999999998"/>
    <n v="0.38999999999999996"/>
    <x v="1"/>
  </r>
  <r>
    <x v="0"/>
    <n v="1128299"/>
    <x v="429"/>
    <x v="2"/>
    <s v="Arizona"/>
    <s v="Phoenix"/>
    <x v="4"/>
    <n v="44"/>
    <n v="88"/>
    <n v="3872"/>
    <n v="1432.6399999999999"/>
    <n v="0.37"/>
    <x v="1"/>
  </r>
  <r>
    <x v="0"/>
    <n v="1128299"/>
    <x v="429"/>
    <x v="2"/>
    <s v="Arizona"/>
    <s v="Phoenix"/>
    <x v="5"/>
    <n v="47"/>
    <n v="107"/>
    <n v="5029"/>
    <n v="1458.4099999999999"/>
    <n v="0.28999999999999998"/>
    <x v="1"/>
  </r>
  <r>
    <x v="0"/>
    <n v="1128299"/>
    <x v="460"/>
    <x v="2"/>
    <s v="Arizona"/>
    <s v="Phoenix"/>
    <x v="0"/>
    <n v="31"/>
    <n v="150"/>
    <n v="4650"/>
    <n v="1767"/>
    <n v="0.38"/>
    <x v="1"/>
  </r>
  <r>
    <x v="0"/>
    <n v="1128299"/>
    <x v="460"/>
    <x v="2"/>
    <s v="Arizona"/>
    <s v="Phoenix"/>
    <x v="1"/>
    <n v="38"/>
    <n v="163"/>
    <n v="6194"/>
    <n v="2911.1800000000003"/>
    <n v="0.47000000000000003"/>
    <x v="1"/>
  </r>
  <r>
    <x v="0"/>
    <n v="1128299"/>
    <x v="460"/>
    <x v="2"/>
    <s v="Arizona"/>
    <s v="Phoenix"/>
    <x v="2"/>
    <n v="33"/>
    <n v="124"/>
    <n v="4092"/>
    <n v="1595.8799999999999"/>
    <n v="0.38999999999999996"/>
    <x v="1"/>
  </r>
  <r>
    <x v="0"/>
    <n v="1128299"/>
    <x v="460"/>
    <x v="2"/>
    <s v="Arizona"/>
    <s v="Phoenix"/>
    <x v="3"/>
    <n v="33"/>
    <n v="116"/>
    <n v="3828"/>
    <n v="1607.76"/>
    <n v="0.42"/>
    <x v="1"/>
  </r>
  <r>
    <x v="0"/>
    <n v="1128299"/>
    <x v="460"/>
    <x v="2"/>
    <s v="Arizona"/>
    <s v="Phoenix"/>
    <x v="4"/>
    <n v="44"/>
    <n v="99"/>
    <n v="4356"/>
    <n v="1568.1599999999999"/>
    <n v="0.36"/>
    <x v="1"/>
  </r>
  <r>
    <x v="0"/>
    <n v="1128299"/>
    <x v="460"/>
    <x v="2"/>
    <s v="Arizona"/>
    <s v="Phoenix"/>
    <x v="5"/>
    <n v="39"/>
    <n v="140"/>
    <n v="5460"/>
    <n v="1528.8000000000002"/>
    <n v="0.28000000000000003"/>
    <x v="1"/>
  </r>
  <r>
    <x v="0"/>
    <n v="1128299"/>
    <x v="489"/>
    <x v="2"/>
    <s v="Arizona"/>
    <s v="Phoenix"/>
    <x v="0"/>
    <n v="35"/>
    <n v="194"/>
    <n v="6790"/>
    <n v="2716"/>
    <n v="0.39999999999999997"/>
    <x v="1"/>
  </r>
  <r>
    <x v="0"/>
    <n v="1128299"/>
    <x v="489"/>
    <x v="2"/>
    <s v="Arizona"/>
    <s v="Phoenix"/>
    <x v="1"/>
    <n v="33"/>
    <n v="213"/>
    <n v="7029"/>
    <n v="3233.34"/>
    <n v="0.46"/>
    <x v="1"/>
  </r>
  <r>
    <x v="4"/>
    <n v="1128299"/>
    <x v="489"/>
    <x v="2"/>
    <s v="Arizona"/>
    <s v="Phoenix"/>
    <x v="2"/>
    <n v="35"/>
    <n v="136"/>
    <n v="4760"/>
    <n v="1951.6"/>
    <n v="0.41"/>
    <x v="1"/>
  </r>
  <r>
    <x v="4"/>
    <n v="1128299"/>
    <x v="489"/>
    <x v="2"/>
    <s v="Arizona"/>
    <s v="Phoenix"/>
    <x v="3"/>
    <n v="32"/>
    <n v="128"/>
    <n v="4096"/>
    <n v="1679.36"/>
    <n v="0.41"/>
    <x v="1"/>
  </r>
  <r>
    <x v="4"/>
    <n v="1128299"/>
    <x v="489"/>
    <x v="2"/>
    <s v="Arizona"/>
    <s v="Phoenix"/>
    <x v="4"/>
    <n v="42"/>
    <n v="109"/>
    <n v="4578"/>
    <n v="1556.5199999999998"/>
    <n v="0.33999999999999997"/>
    <x v="1"/>
  </r>
  <r>
    <x v="4"/>
    <n v="1128299"/>
    <x v="489"/>
    <x v="2"/>
    <s v="Arizona"/>
    <s v="Phoenix"/>
    <x v="5"/>
    <n v="43"/>
    <n v="135"/>
    <n v="5805"/>
    <n v="1625.4"/>
    <n v="0.28000000000000003"/>
    <x v="1"/>
  </r>
  <r>
    <x v="4"/>
    <n v="1128299"/>
    <x v="190"/>
    <x v="2"/>
    <s v="Arizona"/>
    <s v="Phoenix"/>
    <x v="0"/>
    <n v="27"/>
    <n v="152"/>
    <n v="4104"/>
    <n v="1682.6399999999999"/>
    <n v="0.41"/>
    <x v="1"/>
  </r>
  <r>
    <x v="4"/>
    <n v="1128299"/>
    <x v="190"/>
    <x v="2"/>
    <s v="Arizona"/>
    <s v="Phoenix"/>
    <x v="1"/>
    <n v="30"/>
    <n v="147"/>
    <n v="4410"/>
    <n v="2072.7000000000003"/>
    <n v="0.47000000000000003"/>
    <x v="1"/>
  </r>
  <r>
    <x v="4"/>
    <n v="1128299"/>
    <x v="190"/>
    <x v="2"/>
    <s v="Arizona"/>
    <s v="Phoenix"/>
    <x v="2"/>
    <n v="32"/>
    <n v="157"/>
    <n v="5024"/>
    <n v="1959.36"/>
    <n v="0.38999999999999996"/>
    <x v="1"/>
  </r>
  <r>
    <x v="4"/>
    <n v="1128299"/>
    <x v="190"/>
    <x v="2"/>
    <s v="Arizona"/>
    <s v="Phoenix"/>
    <x v="3"/>
    <n v="30"/>
    <n v="101"/>
    <n v="3030"/>
    <n v="1151.4000000000001"/>
    <n v="0.38"/>
    <x v="1"/>
  </r>
  <r>
    <x v="4"/>
    <n v="1128299"/>
    <x v="190"/>
    <x v="2"/>
    <s v="Arizona"/>
    <s v="Phoenix"/>
    <x v="4"/>
    <n v="33"/>
    <n v="94"/>
    <n v="3102"/>
    <n v="1147.74"/>
    <n v="0.37"/>
    <x v="1"/>
  </r>
  <r>
    <x v="4"/>
    <n v="1128299"/>
    <x v="190"/>
    <x v="2"/>
    <s v="Arizona"/>
    <s v="Phoenix"/>
    <x v="5"/>
    <n v="36"/>
    <n v="166"/>
    <n v="5976"/>
    <n v="1613.5200000000002"/>
    <n v="0.27"/>
    <x v="1"/>
  </r>
  <r>
    <x v="4"/>
    <n v="1128299"/>
    <x v="700"/>
    <x v="2"/>
    <s v="Arizona"/>
    <s v="Phoenix"/>
    <x v="0"/>
    <n v="27"/>
    <n v="173"/>
    <n v="4671"/>
    <n v="1868.3999999999999"/>
    <n v="0.39999999999999997"/>
    <x v="1"/>
  </r>
  <r>
    <x v="4"/>
    <n v="1128299"/>
    <x v="700"/>
    <x v="2"/>
    <s v="Arizona"/>
    <s v="Phoenix"/>
    <x v="1"/>
    <n v="36"/>
    <n v="136"/>
    <n v="4896"/>
    <n v="2301.1200000000003"/>
    <n v="0.47000000000000003"/>
    <x v="1"/>
  </r>
  <r>
    <x v="4"/>
    <n v="1128299"/>
    <x v="700"/>
    <x v="2"/>
    <s v="Arizona"/>
    <s v="Phoenix"/>
    <x v="2"/>
    <n v="35"/>
    <n v="132"/>
    <n v="4620"/>
    <n v="1847.9999999999998"/>
    <n v="0.39999999999999997"/>
    <x v="1"/>
  </r>
  <r>
    <x v="4"/>
    <n v="1128299"/>
    <x v="700"/>
    <x v="2"/>
    <s v="New Mexico"/>
    <s v="Albuquerque"/>
    <x v="3"/>
    <n v="29"/>
    <n v="91"/>
    <n v="2639"/>
    <n v="976.43"/>
    <n v="0.37"/>
    <x v="1"/>
  </r>
  <r>
    <x v="4"/>
    <n v="1128299"/>
    <x v="700"/>
    <x v="2"/>
    <s v="New Mexico"/>
    <s v="Albuquerque"/>
    <x v="4"/>
    <n v="34"/>
    <n v="62"/>
    <n v="2108"/>
    <n v="674.56000000000006"/>
    <n v="0.32"/>
    <x v="1"/>
  </r>
  <r>
    <x v="4"/>
    <n v="1128299"/>
    <x v="700"/>
    <x v="2"/>
    <s v="New Mexico"/>
    <s v="Albuquerque"/>
    <x v="5"/>
    <n v="35"/>
    <n v="140"/>
    <n v="4900"/>
    <n v="1372.0000000000002"/>
    <n v="0.28000000000000003"/>
    <x v="1"/>
  </r>
  <r>
    <x v="4"/>
    <n v="1128299"/>
    <x v="712"/>
    <x v="2"/>
    <s v="New Mexico"/>
    <s v="Albuquerque"/>
    <x v="0"/>
    <n v="30"/>
    <n v="187"/>
    <n v="5610"/>
    <n v="2300.1"/>
    <n v="0.41"/>
    <x v="1"/>
  </r>
  <r>
    <x v="4"/>
    <n v="1128299"/>
    <x v="712"/>
    <x v="2"/>
    <s v="New Mexico"/>
    <s v="Albuquerque"/>
    <x v="1"/>
    <n v="36"/>
    <n v="136"/>
    <n v="4896"/>
    <n v="2203.2000000000003"/>
    <n v="0.45"/>
    <x v="1"/>
  </r>
  <r>
    <x v="4"/>
    <n v="1128299"/>
    <x v="712"/>
    <x v="2"/>
    <s v="New Mexico"/>
    <s v="Albuquerque"/>
    <x v="2"/>
    <n v="44"/>
    <n v="124"/>
    <n v="5456"/>
    <n v="2073.2800000000002"/>
    <n v="0.38"/>
    <x v="1"/>
  </r>
  <r>
    <x v="4"/>
    <n v="1128299"/>
    <x v="712"/>
    <x v="2"/>
    <s v="New Mexico"/>
    <s v="Albuquerque"/>
    <x v="3"/>
    <n v="37"/>
    <n v="88"/>
    <n v="3256"/>
    <n v="1269.8399999999999"/>
    <n v="0.38999999999999996"/>
    <x v="1"/>
  </r>
  <r>
    <x v="4"/>
    <n v="1128299"/>
    <x v="712"/>
    <x v="2"/>
    <s v="New Mexico"/>
    <s v="Albuquerque"/>
    <x v="4"/>
    <n v="41"/>
    <n v="53"/>
    <n v="2173"/>
    <n v="695.36"/>
    <n v="0.32"/>
    <x v="1"/>
  </r>
  <r>
    <x v="4"/>
    <n v="1128299"/>
    <x v="712"/>
    <x v="2"/>
    <s v="New Mexico"/>
    <s v="Albuquerque"/>
    <x v="5"/>
    <n v="44"/>
    <n v="131"/>
    <n v="5764"/>
    <n v="1786.84"/>
    <n v="0.31"/>
    <x v="1"/>
  </r>
  <r>
    <x v="4"/>
    <n v="1128299"/>
    <x v="249"/>
    <x v="2"/>
    <s v="New Mexico"/>
    <s v="Albuquerque"/>
    <x v="0"/>
    <n v="41"/>
    <n v="165"/>
    <n v="6765"/>
    <n v="2841.2999999999997"/>
    <n v="0.42"/>
    <x v="1"/>
  </r>
  <r>
    <x v="4"/>
    <n v="1128299"/>
    <x v="249"/>
    <x v="2"/>
    <s v="New Mexico"/>
    <s v="Albuquerque"/>
    <x v="1"/>
    <n v="43"/>
    <n v="109"/>
    <n v="4687"/>
    <n v="2156.02"/>
    <n v="0.46"/>
    <x v="1"/>
  </r>
  <r>
    <x v="4"/>
    <n v="1128299"/>
    <x v="249"/>
    <x v="2"/>
    <s v="New Mexico"/>
    <s v="Albuquerque"/>
    <x v="2"/>
    <n v="44"/>
    <n v="140"/>
    <n v="6160"/>
    <n v="2587.1999999999998"/>
    <n v="0.42"/>
    <x v="1"/>
  </r>
  <r>
    <x v="4"/>
    <n v="1128299"/>
    <x v="249"/>
    <x v="2"/>
    <s v="New Mexico"/>
    <s v="Albuquerque"/>
    <x v="3"/>
    <n v="37"/>
    <n v="96"/>
    <n v="3552"/>
    <n v="1385.2799999999997"/>
    <n v="0.38999999999999996"/>
    <x v="1"/>
  </r>
  <r>
    <x v="4"/>
    <n v="1128299"/>
    <x v="249"/>
    <x v="2"/>
    <s v="New Mexico"/>
    <s v="Albuquerque"/>
    <x v="4"/>
    <n v="46"/>
    <n v="60"/>
    <n v="2760"/>
    <n v="965.99999999999989"/>
    <n v="0.35"/>
    <x v="1"/>
  </r>
  <r>
    <x v="4"/>
    <n v="1128299"/>
    <x v="249"/>
    <x v="2"/>
    <s v="New Mexico"/>
    <s v="Albuquerque"/>
    <x v="5"/>
    <n v="56"/>
    <n v="116"/>
    <n v="6496"/>
    <n v="1818.88"/>
    <n v="0.28000000000000003"/>
    <x v="1"/>
  </r>
  <r>
    <x v="4"/>
    <n v="1128299"/>
    <x v="280"/>
    <x v="2"/>
    <s v="New Mexico"/>
    <s v="Albuquerque"/>
    <x v="0"/>
    <n v="43"/>
    <n v="184"/>
    <n v="7912"/>
    <n v="3243.9199999999996"/>
    <n v="0.41"/>
    <x v="1"/>
  </r>
  <r>
    <x v="4"/>
    <n v="1128299"/>
    <x v="280"/>
    <x v="2"/>
    <s v="New Mexico"/>
    <s v="Albuquerque"/>
    <x v="1"/>
    <n v="46"/>
    <n v="136"/>
    <n v="6256"/>
    <n v="2627.5200000000004"/>
    <n v="0.42000000000000004"/>
    <x v="1"/>
  </r>
  <r>
    <x v="4"/>
    <n v="1128299"/>
    <x v="280"/>
    <x v="2"/>
    <s v="New Mexico"/>
    <s v="Albuquerque"/>
    <x v="2"/>
    <n v="46"/>
    <n v="135"/>
    <n v="6210"/>
    <n v="2546.1"/>
    <n v="0.41"/>
    <x v="1"/>
  </r>
  <r>
    <x v="4"/>
    <n v="1128299"/>
    <x v="280"/>
    <x v="2"/>
    <s v="New Mexico"/>
    <s v="Albuquerque"/>
    <x v="3"/>
    <n v="43"/>
    <n v="109"/>
    <n v="4687"/>
    <n v="1921.6699999999998"/>
    <n v="0.41"/>
    <x v="1"/>
  </r>
  <r>
    <x v="4"/>
    <n v="1128299"/>
    <x v="280"/>
    <x v="2"/>
    <s v="New Mexico"/>
    <s v="Albuquerque"/>
    <x v="4"/>
    <n v="45"/>
    <n v="78"/>
    <n v="3510"/>
    <n v="1228.5"/>
    <n v="0.35"/>
    <x v="1"/>
  </r>
  <r>
    <x v="4"/>
    <n v="1128299"/>
    <x v="280"/>
    <x v="2"/>
    <s v="New Mexico"/>
    <s v="Albuquerque"/>
    <x v="5"/>
    <n v="56"/>
    <n v="132"/>
    <n v="7392"/>
    <n v="2143.6799999999998"/>
    <n v="0.28999999999999998"/>
    <x v="1"/>
  </r>
  <r>
    <x v="4"/>
    <n v="1128299"/>
    <x v="310"/>
    <x v="2"/>
    <s v="New Mexico"/>
    <s v="Albuquerque"/>
    <x v="0"/>
    <n v="37"/>
    <n v="224"/>
    <n v="8288"/>
    <n v="3232.3199999999997"/>
    <n v="0.38999999999999996"/>
    <x v="1"/>
  </r>
  <r>
    <x v="4"/>
    <n v="1128299"/>
    <x v="310"/>
    <x v="2"/>
    <s v="New Mexico"/>
    <s v="Albuquerque"/>
    <x v="1"/>
    <n v="47"/>
    <n v="187"/>
    <n v="8789"/>
    <n v="3779.2700000000004"/>
    <n v="0.43000000000000005"/>
    <x v="1"/>
  </r>
  <r>
    <x v="4"/>
    <n v="1128299"/>
    <x v="310"/>
    <x v="2"/>
    <s v="New Mexico"/>
    <s v="Albuquerque"/>
    <x v="2"/>
    <n v="41"/>
    <n v="193"/>
    <n v="7913"/>
    <n v="3165.2"/>
    <n v="0.39999999999999997"/>
    <x v="1"/>
  </r>
  <r>
    <x v="4"/>
    <n v="1128299"/>
    <x v="310"/>
    <x v="2"/>
    <s v="New Mexico"/>
    <s v="Albuquerque"/>
    <x v="3"/>
    <n v="37"/>
    <n v="128"/>
    <n v="4736"/>
    <n v="1894.3999999999999"/>
    <n v="0.39999999999999997"/>
    <x v="1"/>
  </r>
  <r>
    <x v="4"/>
    <n v="1128299"/>
    <x v="310"/>
    <x v="2"/>
    <s v="New Mexico"/>
    <s v="Albuquerque"/>
    <x v="4"/>
    <n v="44"/>
    <n v="93"/>
    <n v="4092"/>
    <n v="1432.1999999999998"/>
    <n v="0.35"/>
    <x v="1"/>
  </r>
  <r>
    <x v="4"/>
    <n v="1128299"/>
    <x v="310"/>
    <x v="2"/>
    <s v="New Mexico"/>
    <s v="Albuquerque"/>
    <x v="5"/>
    <n v="50"/>
    <n v="192"/>
    <n v="9600"/>
    <n v="2688.0000000000005"/>
    <n v="0.28000000000000003"/>
    <x v="1"/>
  </r>
  <r>
    <x v="4"/>
    <n v="1128299"/>
    <x v="339"/>
    <x v="2"/>
    <s v="New Mexico"/>
    <s v="Albuquerque"/>
    <x v="0"/>
    <n v="41"/>
    <n v="248"/>
    <n v="10168"/>
    <n v="3965.5199999999995"/>
    <n v="0.38999999999999996"/>
    <x v="1"/>
  </r>
  <r>
    <x v="4"/>
    <n v="1128299"/>
    <x v="339"/>
    <x v="2"/>
    <s v="New Mexico"/>
    <s v="Albuquerque"/>
    <x v="1"/>
    <n v="45"/>
    <n v="210"/>
    <n v="9450"/>
    <n v="4063.5000000000005"/>
    <n v="0.43000000000000005"/>
    <x v="1"/>
  </r>
  <r>
    <x v="4"/>
    <n v="1128299"/>
    <x v="339"/>
    <x v="2"/>
    <s v="New Mexico"/>
    <s v="Albuquerque"/>
    <x v="2"/>
    <n v="39"/>
    <n v="171"/>
    <n v="6669"/>
    <n v="2467.5299999999997"/>
    <n v="0.37"/>
    <x v="1"/>
  </r>
  <r>
    <x v="4"/>
    <n v="1128299"/>
    <x v="339"/>
    <x v="2"/>
    <s v="New Mexico"/>
    <s v="Albuquerque"/>
    <x v="3"/>
    <n v="39"/>
    <n v="149"/>
    <n v="5811"/>
    <n v="2440.62"/>
    <n v="0.42"/>
    <x v="1"/>
  </r>
  <r>
    <x v="4"/>
    <n v="1128299"/>
    <x v="339"/>
    <x v="2"/>
    <s v="New Mexico"/>
    <s v="Albuquerque"/>
    <x v="4"/>
    <n v="40"/>
    <n v="160"/>
    <n v="6400"/>
    <n v="2048"/>
    <n v="0.32"/>
    <x v="1"/>
  </r>
  <r>
    <x v="4"/>
    <n v="1128299"/>
    <x v="339"/>
    <x v="2"/>
    <s v="New Mexico"/>
    <s v="Albuquerque"/>
    <x v="5"/>
    <n v="49"/>
    <n v="160"/>
    <n v="7840"/>
    <n v="2508.8000000000002"/>
    <n v="0.32"/>
    <x v="1"/>
  </r>
  <r>
    <x v="4"/>
    <n v="1128299"/>
    <x v="371"/>
    <x v="2"/>
    <s v="New Mexico"/>
    <s v="Albuquerque"/>
    <x v="0"/>
    <n v="40"/>
    <n v="224"/>
    <n v="8960"/>
    <n v="3315.2"/>
    <n v="0.37"/>
    <x v="1"/>
  </r>
  <r>
    <x v="4"/>
    <n v="1128299"/>
    <x v="371"/>
    <x v="2"/>
    <s v="New Mexico"/>
    <s v="Albuquerque"/>
    <x v="1"/>
    <n v="44"/>
    <n v="208"/>
    <n v="9152"/>
    <n v="4026.88"/>
    <n v="0.44"/>
    <x v="1"/>
  </r>
  <r>
    <x v="4"/>
    <n v="1128299"/>
    <x v="371"/>
    <x v="2"/>
    <s v="New Mexico"/>
    <s v="Albuquerque"/>
    <x v="2"/>
    <n v="46"/>
    <n v="163"/>
    <n v="7498"/>
    <n v="2999.2"/>
    <n v="0.39999999999999997"/>
    <x v="1"/>
  </r>
  <r>
    <x v="4"/>
    <n v="1128299"/>
    <x v="371"/>
    <x v="2"/>
    <s v="New Mexico"/>
    <s v="Albuquerque"/>
    <x v="3"/>
    <n v="46"/>
    <n v="152"/>
    <n v="6992"/>
    <n v="2587.04"/>
    <n v="0.37"/>
    <x v="1"/>
  </r>
  <r>
    <x v="4"/>
    <n v="1128299"/>
    <x v="371"/>
    <x v="2"/>
    <s v="New Mexico"/>
    <s v="Albuquerque"/>
    <x v="4"/>
    <n v="48"/>
    <n v="162"/>
    <n v="7776"/>
    <n v="2643.8399999999997"/>
    <n v="0.33999999999999997"/>
    <x v="1"/>
  </r>
  <r>
    <x v="4"/>
    <n v="1128299"/>
    <x v="371"/>
    <x v="2"/>
    <s v="New Mexico"/>
    <s v="Albuquerque"/>
    <x v="5"/>
    <n v="50"/>
    <n v="153"/>
    <n v="7650"/>
    <n v="2448"/>
    <n v="0.32"/>
    <x v="1"/>
  </r>
  <r>
    <x v="4"/>
    <n v="1128299"/>
    <x v="403"/>
    <x v="2"/>
    <s v="New Mexico"/>
    <s v="Albuquerque"/>
    <x v="0"/>
    <n v="37"/>
    <n v="206"/>
    <n v="7622"/>
    <n v="3201.24"/>
    <n v="0.42"/>
    <x v="1"/>
  </r>
  <r>
    <x v="4"/>
    <n v="1128299"/>
    <x v="403"/>
    <x v="2"/>
    <s v="New Mexico"/>
    <s v="Albuquerque"/>
    <x v="1"/>
    <n v="39"/>
    <n v="188"/>
    <n v="7332"/>
    <n v="3372.7200000000003"/>
    <n v="0.46"/>
    <x v="1"/>
  </r>
  <r>
    <x v="4"/>
    <n v="1128299"/>
    <x v="403"/>
    <x v="2"/>
    <s v="New Mexico"/>
    <s v="Albuquerque"/>
    <x v="2"/>
    <n v="39"/>
    <n v="147"/>
    <n v="5733"/>
    <n v="2407.86"/>
    <n v="0.42"/>
    <x v="1"/>
  </r>
  <r>
    <x v="4"/>
    <n v="1128299"/>
    <x v="403"/>
    <x v="2"/>
    <s v="New Mexico"/>
    <s v="Albuquerque"/>
    <x v="3"/>
    <n v="37"/>
    <n v="145"/>
    <n v="5365"/>
    <n v="2199.65"/>
    <n v="0.41"/>
    <x v="1"/>
  </r>
  <r>
    <x v="4"/>
    <n v="1128299"/>
    <x v="403"/>
    <x v="2"/>
    <s v="New Mexico"/>
    <s v="Albuquerque"/>
    <x v="4"/>
    <n v="40"/>
    <n v="145"/>
    <n v="5800"/>
    <n v="2029.9999999999998"/>
    <n v="0.35"/>
    <x v="1"/>
  </r>
  <r>
    <x v="4"/>
    <n v="1128299"/>
    <x v="403"/>
    <x v="2"/>
    <s v="New Mexico"/>
    <s v="Albuquerque"/>
    <x v="5"/>
    <n v="48"/>
    <n v="157"/>
    <n v="7536"/>
    <n v="2260.7999999999997"/>
    <n v="0.3"/>
    <x v="1"/>
  </r>
  <r>
    <x v="4"/>
    <n v="1128299"/>
    <x v="432"/>
    <x v="2"/>
    <s v="New Mexico"/>
    <s v="Albuquerque"/>
    <x v="0"/>
    <n v="35"/>
    <n v="171"/>
    <n v="5985"/>
    <n v="2214.4499999999998"/>
    <n v="0.37"/>
    <x v="1"/>
  </r>
  <r>
    <x v="4"/>
    <n v="1128299"/>
    <x v="432"/>
    <x v="2"/>
    <s v="New Mexico"/>
    <s v="Albuquerque"/>
    <x v="1"/>
    <n v="38"/>
    <n v="182"/>
    <n v="6916"/>
    <n v="2973.8800000000006"/>
    <n v="0.43000000000000005"/>
    <x v="1"/>
  </r>
  <r>
    <x v="4"/>
    <n v="1128299"/>
    <x v="432"/>
    <x v="2"/>
    <s v="New Mexico"/>
    <s v="Albuquerque"/>
    <x v="2"/>
    <n v="34"/>
    <n v="120"/>
    <n v="4080"/>
    <n v="1631.9999999999998"/>
    <n v="0.39999999999999997"/>
    <x v="1"/>
  </r>
  <r>
    <x v="4"/>
    <n v="1128299"/>
    <x v="432"/>
    <x v="2"/>
    <s v="New Mexico"/>
    <s v="Albuquerque"/>
    <x v="3"/>
    <n v="35"/>
    <n v="112"/>
    <n v="3920"/>
    <n v="1646.3999999999999"/>
    <n v="0.42"/>
    <x v="1"/>
  </r>
  <r>
    <x v="4"/>
    <n v="1128299"/>
    <x v="432"/>
    <x v="2"/>
    <s v="New Mexico"/>
    <s v="Albuquerque"/>
    <x v="4"/>
    <n v="41"/>
    <n v="114"/>
    <n v="4674"/>
    <n v="1542.4199999999998"/>
    <n v="0.32999999999999996"/>
    <x v="1"/>
  </r>
  <r>
    <x v="4"/>
    <n v="1128299"/>
    <x v="432"/>
    <x v="2"/>
    <s v="New Mexico"/>
    <s v="Albuquerque"/>
    <x v="5"/>
    <n v="57"/>
    <n v="131"/>
    <n v="7467"/>
    <n v="2314.77"/>
    <n v="0.31"/>
    <x v="1"/>
  </r>
  <r>
    <x v="4"/>
    <n v="1128299"/>
    <x v="463"/>
    <x v="2"/>
    <s v="New Mexico"/>
    <s v="Albuquerque"/>
    <x v="0"/>
    <n v="47"/>
    <n v="176"/>
    <n v="8272"/>
    <n v="3391.52"/>
    <n v="0.41"/>
    <x v="1"/>
  </r>
  <r>
    <x v="4"/>
    <n v="1128299"/>
    <x v="463"/>
    <x v="2"/>
    <s v="New Mexico"/>
    <s v="Albuquerque"/>
    <x v="1"/>
    <n v="44"/>
    <n v="180"/>
    <n v="7920"/>
    <n v="3405.6000000000004"/>
    <n v="0.43000000000000005"/>
    <x v="1"/>
  </r>
  <r>
    <x v="4"/>
    <n v="1128299"/>
    <x v="463"/>
    <x v="2"/>
    <s v="New Mexico"/>
    <s v="Albuquerque"/>
    <x v="2"/>
    <n v="46"/>
    <n v="149"/>
    <n v="6854"/>
    <n v="2535.98"/>
    <n v="0.37"/>
    <x v="1"/>
  </r>
  <r>
    <x v="4"/>
    <n v="1128299"/>
    <x v="463"/>
    <x v="2"/>
    <s v="New Mexico"/>
    <s v="Albuquerque"/>
    <x v="3"/>
    <n v="40"/>
    <n v="136"/>
    <n v="5440"/>
    <n v="2230.4"/>
    <n v="0.41"/>
    <x v="1"/>
  </r>
  <r>
    <x v="4"/>
    <n v="1128299"/>
    <x v="463"/>
    <x v="2"/>
    <s v="New Mexico"/>
    <s v="Albuquerque"/>
    <x v="4"/>
    <n v="54"/>
    <n v="131"/>
    <n v="7074"/>
    <n v="2617.38"/>
    <n v="0.37"/>
    <x v="1"/>
  </r>
  <r>
    <x v="4"/>
    <n v="1128299"/>
    <x v="463"/>
    <x v="2"/>
    <s v="New Mexico"/>
    <s v="Albuquerque"/>
    <x v="5"/>
    <n v="56"/>
    <n v="170"/>
    <n v="9520"/>
    <n v="2856"/>
    <n v="0.3"/>
    <x v="1"/>
  </r>
  <r>
    <x v="4"/>
    <n v="1128299"/>
    <x v="492"/>
    <x v="2"/>
    <s v="New Mexico"/>
    <s v="Albuquerque"/>
    <x v="0"/>
    <n v="44"/>
    <n v="238"/>
    <n v="10472"/>
    <n v="4398.24"/>
    <n v="0.42"/>
    <x v="1"/>
  </r>
  <r>
    <x v="4"/>
    <n v="1128299"/>
    <x v="492"/>
    <x v="2"/>
    <s v="New Mexico"/>
    <s v="Albuquerque"/>
    <x v="1"/>
    <n v="47"/>
    <n v="217"/>
    <n v="10199"/>
    <n v="4793.5300000000007"/>
    <n v="0.47000000000000003"/>
    <x v="1"/>
  </r>
  <r>
    <x v="2"/>
    <n v="1128299"/>
    <x v="492"/>
    <x v="2"/>
    <s v="New Mexico"/>
    <s v="Albuquerque"/>
    <x v="2"/>
    <n v="44"/>
    <n v="150"/>
    <n v="6600"/>
    <n v="2706"/>
    <n v="0.41"/>
    <x v="1"/>
  </r>
  <r>
    <x v="2"/>
    <n v="1128299"/>
    <x v="492"/>
    <x v="2"/>
    <s v="New Mexico"/>
    <s v="Albuquerque"/>
    <x v="3"/>
    <n v="45"/>
    <n v="160"/>
    <n v="7200"/>
    <n v="2879.9999999999995"/>
    <n v="0.39999999999999997"/>
    <x v="1"/>
  </r>
  <r>
    <x v="2"/>
    <n v="1128299"/>
    <x v="492"/>
    <x v="2"/>
    <s v="New Mexico"/>
    <s v="Albuquerque"/>
    <x v="4"/>
    <n v="55"/>
    <n v="128"/>
    <n v="7040"/>
    <n v="2323.1999999999998"/>
    <n v="0.32999999999999996"/>
    <x v="1"/>
  </r>
  <r>
    <x v="2"/>
    <n v="1128299"/>
    <x v="492"/>
    <x v="2"/>
    <s v="New Mexico"/>
    <s v="Albuquerque"/>
    <x v="5"/>
    <n v="56"/>
    <n v="173"/>
    <n v="9688"/>
    <n v="2615.7600000000002"/>
    <n v="0.27"/>
    <x v="1"/>
  </r>
  <r>
    <x v="2"/>
    <n v="1128299"/>
    <x v="177"/>
    <x v="2"/>
    <s v="New Mexico"/>
    <s v="Albuquerque"/>
    <x v="0"/>
    <n v="24"/>
    <n v="149"/>
    <n v="3576"/>
    <n v="1644.96"/>
    <n v="0.46"/>
    <x v="1"/>
  </r>
  <r>
    <x v="2"/>
    <n v="1128299"/>
    <x v="177"/>
    <x v="2"/>
    <s v="New Mexico"/>
    <s v="Albuquerque"/>
    <x v="1"/>
    <n v="27"/>
    <n v="140"/>
    <n v="3780"/>
    <n v="1776.6000000000001"/>
    <n v="0.47000000000000003"/>
    <x v="1"/>
  </r>
  <r>
    <x v="2"/>
    <n v="1128299"/>
    <x v="177"/>
    <x v="2"/>
    <s v="New Mexico"/>
    <s v="Albuquerque"/>
    <x v="2"/>
    <n v="32"/>
    <n v="140"/>
    <n v="4480"/>
    <n v="1881.6"/>
    <n v="0.42"/>
    <x v="1"/>
  </r>
  <r>
    <x v="2"/>
    <n v="1128299"/>
    <x v="177"/>
    <x v="2"/>
    <s v="New Mexico"/>
    <s v="Albuquerque"/>
    <x v="3"/>
    <n v="28"/>
    <n v="99"/>
    <n v="2772"/>
    <n v="1164.24"/>
    <n v="0.42000000000000004"/>
    <x v="1"/>
  </r>
  <r>
    <x v="2"/>
    <n v="1128299"/>
    <x v="177"/>
    <x v="2"/>
    <s v="New Mexico"/>
    <s v="Albuquerque"/>
    <x v="4"/>
    <n v="35"/>
    <n v="75"/>
    <n v="2625"/>
    <n v="1050"/>
    <n v="0.39999999999999997"/>
    <x v="1"/>
  </r>
  <r>
    <x v="2"/>
    <n v="1128299"/>
    <x v="177"/>
    <x v="2"/>
    <s v="New Mexico"/>
    <s v="Albuquerque"/>
    <x v="5"/>
    <n v="28"/>
    <n v="140"/>
    <n v="3920"/>
    <n v="1254.4000000000001"/>
    <n v="0.32"/>
    <x v="1"/>
  </r>
  <r>
    <x v="2"/>
    <n v="1128299"/>
    <x v="208"/>
    <x v="2"/>
    <s v="New Mexico"/>
    <s v="Albuquerque"/>
    <x v="0"/>
    <n v="23"/>
    <n v="150"/>
    <n v="3450"/>
    <n v="1483.5000000000002"/>
    <n v="0.43000000000000005"/>
    <x v="1"/>
  </r>
  <r>
    <x v="2"/>
    <n v="1128299"/>
    <x v="208"/>
    <x v="2"/>
    <s v="New Mexico"/>
    <s v="Albuquerque"/>
    <x v="1"/>
    <n v="27"/>
    <n v="124"/>
    <n v="3348"/>
    <n v="1540.0800000000002"/>
    <n v="0.46"/>
    <x v="1"/>
  </r>
  <r>
    <x v="2"/>
    <n v="1128299"/>
    <x v="208"/>
    <x v="2"/>
    <s v="New Mexico"/>
    <s v="Albuquerque"/>
    <x v="2"/>
    <n v="28"/>
    <n v="120"/>
    <n v="3360"/>
    <n v="1377.6"/>
    <n v="0.41"/>
    <x v="1"/>
  </r>
  <r>
    <x v="2"/>
    <n v="1128299"/>
    <x v="208"/>
    <x v="4"/>
    <s v="Georgia"/>
    <s v="Atlanta"/>
    <x v="3"/>
    <n v="30"/>
    <n v="80"/>
    <n v="2400"/>
    <n v="1056"/>
    <n v="0.44"/>
    <x v="1"/>
  </r>
  <r>
    <x v="2"/>
    <n v="1128299"/>
    <x v="208"/>
    <x v="4"/>
    <s v="Georgia"/>
    <s v="Atlanta"/>
    <x v="4"/>
    <n v="34"/>
    <n v="60"/>
    <n v="2040"/>
    <n v="795.59999999999991"/>
    <n v="0.38999999999999996"/>
    <x v="1"/>
  </r>
  <r>
    <x v="2"/>
    <n v="1128299"/>
    <x v="208"/>
    <x v="4"/>
    <s v="Georgia"/>
    <s v="Atlanta"/>
    <x v="5"/>
    <n v="28"/>
    <n v="131"/>
    <n v="3668"/>
    <n v="1063.72"/>
    <n v="0.28999999999999998"/>
    <x v="1"/>
  </r>
  <r>
    <x v="2"/>
    <n v="1128299"/>
    <x v="217"/>
    <x v="4"/>
    <s v="Georgia"/>
    <s v="Atlanta"/>
    <x v="0"/>
    <n v="30"/>
    <n v="163"/>
    <n v="4890"/>
    <n v="2102.7000000000003"/>
    <n v="0.43000000000000005"/>
    <x v="1"/>
  </r>
  <r>
    <x v="2"/>
    <n v="1128299"/>
    <x v="217"/>
    <x v="4"/>
    <s v="Georgia"/>
    <s v="Atlanta"/>
    <x v="1"/>
    <n v="37"/>
    <n v="113"/>
    <n v="4181"/>
    <n v="1839.64"/>
    <n v="0.44"/>
    <x v="1"/>
  </r>
  <r>
    <x v="2"/>
    <n v="1128299"/>
    <x v="217"/>
    <x v="4"/>
    <s v="Georgia"/>
    <s v="Atlanta"/>
    <x v="2"/>
    <n v="39"/>
    <n v="124"/>
    <n v="4836"/>
    <n v="1837.68"/>
    <n v="0.38"/>
    <x v="1"/>
  </r>
  <r>
    <x v="2"/>
    <n v="1128299"/>
    <x v="217"/>
    <x v="4"/>
    <s v="Georgia"/>
    <s v="Atlanta"/>
    <x v="3"/>
    <n v="38"/>
    <n v="78"/>
    <n v="2964"/>
    <n v="1333.8"/>
    <n v="0.45"/>
    <x v="1"/>
  </r>
  <r>
    <x v="2"/>
    <n v="1128299"/>
    <x v="217"/>
    <x v="4"/>
    <s v="Georgia"/>
    <s v="Atlanta"/>
    <x v="4"/>
    <n v="41"/>
    <n v="45"/>
    <n v="1845"/>
    <n v="756.44999999999993"/>
    <n v="0.41"/>
    <x v="1"/>
  </r>
  <r>
    <x v="2"/>
    <n v="1128299"/>
    <x v="217"/>
    <x v="4"/>
    <s v="Georgia"/>
    <s v="Atlanta"/>
    <x v="5"/>
    <n v="40"/>
    <n v="112"/>
    <n v="4480"/>
    <n v="1299.1999999999998"/>
    <n v="0.28999999999999998"/>
    <x v="1"/>
  </r>
  <r>
    <x v="2"/>
    <n v="1128299"/>
    <x v="236"/>
    <x v="4"/>
    <s v="Georgia"/>
    <s v="Atlanta"/>
    <x v="0"/>
    <n v="37"/>
    <n v="179"/>
    <n v="6623"/>
    <n v="2847.8900000000003"/>
    <n v="0.43000000000000005"/>
    <x v="1"/>
  </r>
  <r>
    <x v="2"/>
    <n v="1128299"/>
    <x v="236"/>
    <x v="4"/>
    <s v="Georgia"/>
    <s v="Atlanta"/>
    <x v="1"/>
    <n v="40"/>
    <n v="111"/>
    <n v="4440"/>
    <n v="1864.8000000000002"/>
    <n v="0.42000000000000004"/>
    <x v="1"/>
  </r>
  <r>
    <x v="2"/>
    <n v="1128299"/>
    <x v="236"/>
    <x v="4"/>
    <s v="Georgia"/>
    <s v="Atlanta"/>
    <x v="2"/>
    <n v="36"/>
    <n v="113"/>
    <n v="4068"/>
    <n v="1505.16"/>
    <n v="0.37"/>
    <x v="1"/>
  </r>
  <r>
    <x v="2"/>
    <n v="1128299"/>
    <x v="236"/>
    <x v="4"/>
    <s v="Georgia"/>
    <s v="Atlanta"/>
    <x v="3"/>
    <n v="40"/>
    <n v="96"/>
    <n v="3840"/>
    <n v="1728"/>
    <n v="0.45"/>
    <x v="1"/>
  </r>
  <r>
    <x v="2"/>
    <n v="1128299"/>
    <x v="236"/>
    <x v="4"/>
    <s v="Georgia"/>
    <s v="Atlanta"/>
    <x v="4"/>
    <n v="38"/>
    <n v="56"/>
    <n v="2128"/>
    <n v="893.76"/>
    <n v="0.42"/>
    <x v="1"/>
  </r>
  <r>
    <x v="2"/>
    <n v="1128299"/>
    <x v="236"/>
    <x v="4"/>
    <s v="Georgia"/>
    <s v="Atlanta"/>
    <x v="5"/>
    <n v="56"/>
    <n v="112"/>
    <n v="6272"/>
    <n v="1756.16"/>
    <n v="0.28000000000000003"/>
    <x v="1"/>
  </r>
  <r>
    <x v="2"/>
    <n v="1128299"/>
    <x v="267"/>
    <x v="4"/>
    <s v="Georgia"/>
    <s v="Atlanta"/>
    <x v="0"/>
    <n v="37"/>
    <n v="187"/>
    <n v="6919"/>
    <n v="3182.7400000000002"/>
    <n v="0.46"/>
    <x v="1"/>
  </r>
  <r>
    <x v="2"/>
    <n v="1128299"/>
    <x v="267"/>
    <x v="4"/>
    <s v="Georgia"/>
    <s v="Atlanta"/>
    <x v="1"/>
    <n v="36"/>
    <n v="136"/>
    <n v="4896"/>
    <n v="2203.2000000000003"/>
    <n v="0.45"/>
    <x v="1"/>
  </r>
  <r>
    <x v="2"/>
    <n v="1128299"/>
    <x v="267"/>
    <x v="4"/>
    <s v="Georgia"/>
    <s v="Atlanta"/>
    <x v="2"/>
    <n v="40"/>
    <n v="145"/>
    <n v="5800"/>
    <n v="2261.9999999999995"/>
    <n v="0.38999999999999996"/>
    <x v="1"/>
  </r>
  <r>
    <x v="2"/>
    <n v="1128299"/>
    <x v="267"/>
    <x v="4"/>
    <s v="Georgia"/>
    <s v="Atlanta"/>
    <x v="3"/>
    <n v="34"/>
    <n v="114"/>
    <n v="3876"/>
    <n v="1666.6800000000003"/>
    <n v="0.43000000000000005"/>
    <x v="1"/>
  </r>
  <r>
    <x v="2"/>
    <n v="1128299"/>
    <x v="267"/>
    <x v="4"/>
    <s v="Georgia"/>
    <s v="Atlanta"/>
    <x v="4"/>
    <n v="39"/>
    <n v="74"/>
    <n v="2886"/>
    <n v="1212.1199999999999"/>
    <n v="0.42"/>
    <x v="1"/>
  </r>
  <r>
    <x v="2"/>
    <n v="1128299"/>
    <x v="267"/>
    <x v="4"/>
    <s v="Georgia"/>
    <s v="Atlanta"/>
    <x v="5"/>
    <n v="53"/>
    <n v="124"/>
    <n v="6572"/>
    <n v="2037.32"/>
    <n v="0.31"/>
    <x v="1"/>
  </r>
  <r>
    <x v="2"/>
    <n v="1128299"/>
    <x v="297"/>
    <x v="4"/>
    <s v="Georgia"/>
    <s v="Atlanta"/>
    <x v="0"/>
    <n v="35"/>
    <n v="203"/>
    <n v="7105"/>
    <n v="3055.1500000000005"/>
    <n v="0.43000000000000005"/>
    <x v="1"/>
  </r>
  <r>
    <x v="2"/>
    <n v="1128299"/>
    <x v="297"/>
    <x v="4"/>
    <s v="Georgia"/>
    <s v="Atlanta"/>
    <x v="1"/>
    <n v="41"/>
    <n v="163"/>
    <n v="6683"/>
    <n v="2940.52"/>
    <n v="0.44"/>
    <x v="1"/>
  </r>
  <r>
    <x v="2"/>
    <n v="1128299"/>
    <x v="297"/>
    <x v="4"/>
    <s v="Georgia"/>
    <s v="Atlanta"/>
    <x v="2"/>
    <n v="39"/>
    <n v="158"/>
    <n v="6162"/>
    <n v="2341.56"/>
    <n v="0.38"/>
    <x v="1"/>
  </r>
  <r>
    <x v="2"/>
    <n v="1128299"/>
    <x v="297"/>
    <x v="4"/>
    <s v="Georgia"/>
    <s v="Atlanta"/>
    <x v="3"/>
    <n v="33"/>
    <n v="132"/>
    <n v="4356"/>
    <n v="1873.0800000000002"/>
    <n v="0.43000000000000005"/>
    <x v="1"/>
  </r>
  <r>
    <x v="2"/>
    <n v="1128299"/>
    <x v="297"/>
    <x v="4"/>
    <s v="Georgia"/>
    <s v="Atlanta"/>
    <x v="4"/>
    <n v="42"/>
    <n v="94"/>
    <n v="3948"/>
    <n v="1539.7199999999998"/>
    <n v="0.38999999999999996"/>
    <x v="1"/>
  </r>
  <r>
    <x v="2"/>
    <n v="1128299"/>
    <x v="297"/>
    <x v="4"/>
    <s v="Georgia"/>
    <s v="Atlanta"/>
    <x v="5"/>
    <n v="53"/>
    <n v="190"/>
    <n v="10070"/>
    <n v="3222.4"/>
    <n v="0.32"/>
    <x v="1"/>
  </r>
  <r>
    <x v="2"/>
    <n v="1128299"/>
    <x v="326"/>
    <x v="4"/>
    <s v="Georgia"/>
    <s v="Atlanta"/>
    <x v="0"/>
    <n v="37"/>
    <n v="218"/>
    <n v="8066"/>
    <n v="3710.36"/>
    <n v="0.46"/>
    <x v="1"/>
  </r>
  <r>
    <x v="2"/>
    <n v="1128299"/>
    <x v="326"/>
    <x v="4"/>
    <s v="Georgia"/>
    <s v="Atlanta"/>
    <x v="1"/>
    <n v="37"/>
    <n v="173"/>
    <n v="6401"/>
    <n v="2944.46"/>
    <n v="0.46"/>
    <x v="1"/>
  </r>
  <r>
    <x v="2"/>
    <n v="1128299"/>
    <x v="326"/>
    <x v="4"/>
    <s v="Georgia"/>
    <s v="Atlanta"/>
    <x v="2"/>
    <n v="41"/>
    <n v="184"/>
    <n v="7544"/>
    <n v="3093.04"/>
    <n v="0.41"/>
    <x v="1"/>
  </r>
  <r>
    <x v="2"/>
    <n v="1128299"/>
    <x v="326"/>
    <x v="4"/>
    <s v="Georgia"/>
    <s v="Atlanta"/>
    <x v="3"/>
    <n v="39"/>
    <n v="128"/>
    <n v="4992"/>
    <n v="2246.4"/>
    <n v="0.45"/>
    <x v="1"/>
  </r>
  <r>
    <x v="2"/>
    <n v="1128299"/>
    <x v="326"/>
    <x v="4"/>
    <s v="Georgia"/>
    <s v="Atlanta"/>
    <x v="4"/>
    <n v="39"/>
    <n v="162"/>
    <n v="6318"/>
    <n v="2400.84"/>
    <n v="0.38"/>
    <x v="1"/>
  </r>
  <r>
    <x v="2"/>
    <n v="1128299"/>
    <x v="326"/>
    <x v="4"/>
    <s v="Georgia"/>
    <s v="Atlanta"/>
    <x v="5"/>
    <n v="51"/>
    <n v="157"/>
    <n v="8007"/>
    <n v="2322.0299999999997"/>
    <n v="0.28999999999999998"/>
    <x v="1"/>
  </r>
  <r>
    <x v="2"/>
    <n v="1128299"/>
    <x v="358"/>
    <x v="4"/>
    <s v="Georgia"/>
    <s v="Atlanta"/>
    <x v="0"/>
    <n v="39"/>
    <n v="209"/>
    <n v="8151"/>
    <n v="3749.46"/>
    <n v="0.46"/>
    <x v="1"/>
  </r>
  <r>
    <x v="2"/>
    <n v="1128299"/>
    <x v="358"/>
    <x v="4"/>
    <s v="Georgia"/>
    <s v="Atlanta"/>
    <x v="1"/>
    <n v="44"/>
    <n v="200"/>
    <n v="8800"/>
    <n v="3696.0000000000005"/>
    <n v="0.42000000000000004"/>
    <x v="1"/>
  </r>
  <r>
    <x v="2"/>
    <n v="1128299"/>
    <x v="358"/>
    <x v="4"/>
    <s v="Georgia"/>
    <s v="Atlanta"/>
    <x v="2"/>
    <n v="42"/>
    <n v="150"/>
    <n v="6300"/>
    <n v="2646"/>
    <n v="0.42"/>
    <x v="1"/>
  </r>
  <r>
    <x v="2"/>
    <n v="1128299"/>
    <x v="358"/>
    <x v="4"/>
    <s v="Georgia"/>
    <s v="Atlanta"/>
    <x v="3"/>
    <n v="42"/>
    <n v="149"/>
    <n v="6258"/>
    <n v="2816.1"/>
    <n v="0.45"/>
    <x v="1"/>
  </r>
  <r>
    <x v="2"/>
    <n v="1128299"/>
    <x v="358"/>
    <x v="4"/>
    <s v="Georgia"/>
    <s v="Atlanta"/>
    <x v="4"/>
    <n v="51"/>
    <n v="140"/>
    <n v="7140"/>
    <n v="2784.6"/>
    <n v="0.38999999999999996"/>
    <x v="1"/>
  </r>
  <r>
    <x v="2"/>
    <n v="1128299"/>
    <x v="358"/>
    <x v="4"/>
    <s v="Georgia"/>
    <s v="Atlanta"/>
    <x v="5"/>
    <n v="50"/>
    <n v="128"/>
    <n v="6400"/>
    <n v="1855.9999999999998"/>
    <n v="0.28999999999999998"/>
    <x v="1"/>
  </r>
  <r>
    <x v="2"/>
    <n v="1128299"/>
    <x v="390"/>
    <x v="4"/>
    <s v="Georgia"/>
    <s v="Atlanta"/>
    <x v="0"/>
    <n v="31"/>
    <n v="204"/>
    <n v="6324"/>
    <n v="2909.04"/>
    <n v="0.46"/>
    <x v="1"/>
  </r>
  <r>
    <x v="2"/>
    <n v="1128299"/>
    <x v="390"/>
    <x v="4"/>
    <s v="Georgia"/>
    <s v="Atlanta"/>
    <x v="1"/>
    <n v="38"/>
    <n v="198"/>
    <n v="7524"/>
    <n v="3310.56"/>
    <n v="0.44"/>
    <x v="1"/>
  </r>
  <r>
    <x v="2"/>
    <n v="1128299"/>
    <x v="390"/>
    <x v="4"/>
    <s v="Georgia"/>
    <s v="Atlanta"/>
    <x v="2"/>
    <n v="32"/>
    <n v="135"/>
    <n v="4320"/>
    <n v="1598.4"/>
    <n v="0.37"/>
    <x v="1"/>
  </r>
  <r>
    <x v="2"/>
    <n v="1128299"/>
    <x v="390"/>
    <x v="4"/>
    <s v="Georgia"/>
    <s v="Atlanta"/>
    <x v="3"/>
    <n v="35"/>
    <n v="120"/>
    <n v="4200"/>
    <n v="1932"/>
    <n v="0.46"/>
    <x v="1"/>
  </r>
  <r>
    <x v="2"/>
    <n v="1128299"/>
    <x v="390"/>
    <x v="4"/>
    <s v="Georgia"/>
    <s v="Atlanta"/>
    <x v="4"/>
    <n v="36"/>
    <n v="132"/>
    <n v="4752"/>
    <n v="1758.24"/>
    <n v="0.37"/>
    <x v="1"/>
  </r>
  <r>
    <x v="2"/>
    <n v="1128299"/>
    <x v="390"/>
    <x v="4"/>
    <s v="Georgia"/>
    <s v="Atlanta"/>
    <x v="5"/>
    <n v="46"/>
    <n v="135"/>
    <n v="6210"/>
    <n v="1863"/>
    <n v="0.3"/>
    <x v="1"/>
  </r>
  <r>
    <x v="2"/>
    <n v="1128299"/>
    <x v="419"/>
    <x v="4"/>
    <s v="Georgia"/>
    <s v="Atlanta"/>
    <x v="0"/>
    <n v="34"/>
    <n v="173"/>
    <n v="5882"/>
    <n v="2705.7200000000003"/>
    <n v="0.46"/>
    <x v="1"/>
  </r>
  <r>
    <x v="2"/>
    <n v="1128299"/>
    <x v="419"/>
    <x v="4"/>
    <s v="Georgia"/>
    <s v="Atlanta"/>
    <x v="1"/>
    <n v="34"/>
    <n v="173"/>
    <n v="5882"/>
    <n v="2470.44"/>
    <n v="0.42000000000000004"/>
    <x v="1"/>
  </r>
  <r>
    <x v="2"/>
    <n v="1128299"/>
    <x v="419"/>
    <x v="4"/>
    <s v="Georgia"/>
    <s v="Atlanta"/>
    <x v="2"/>
    <n v="32"/>
    <n v="123"/>
    <n v="3936"/>
    <n v="1495.68"/>
    <n v="0.38"/>
    <x v="1"/>
  </r>
  <r>
    <x v="2"/>
    <n v="1128299"/>
    <x v="419"/>
    <x v="4"/>
    <s v="Georgia"/>
    <s v="Atlanta"/>
    <x v="3"/>
    <n v="32"/>
    <n v="114"/>
    <n v="3648"/>
    <n v="1605.1200000000001"/>
    <n v="0.44"/>
    <x v="1"/>
  </r>
  <r>
    <x v="2"/>
    <n v="1128299"/>
    <x v="419"/>
    <x v="4"/>
    <s v="Georgia"/>
    <s v="Atlanta"/>
    <x v="4"/>
    <n v="41"/>
    <n v="102"/>
    <n v="4182"/>
    <n v="1672.8"/>
    <n v="0.39999999999999997"/>
    <x v="1"/>
  </r>
  <r>
    <x v="2"/>
    <n v="1128299"/>
    <x v="419"/>
    <x v="4"/>
    <s v="Georgia"/>
    <s v="Atlanta"/>
    <x v="5"/>
    <n v="46"/>
    <n v="109"/>
    <n v="5014"/>
    <n v="1554.34"/>
    <n v="0.31"/>
    <x v="1"/>
  </r>
  <r>
    <x v="2"/>
    <n v="1128299"/>
    <x v="450"/>
    <x v="4"/>
    <s v="Georgia"/>
    <s v="Atlanta"/>
    <x v="0"/>
    <n v="36"/>
    <n v="173"/>
    <n v="6228"/>
    <n v="2615.7600000000002"/>
    <n v="0.42000000000000004"/>
    <x v="1"/>
  </r>
  <r>
    <x v="2"/>
    <n v="1128299"/>
    <x v="450"/>
    <x v="4"/>
    <s v="Georgia"/>
    <s v="Atlanta"/>
    <x v="1"/>
    <n v="40"/>
    <n v="184"/>
    <n v="7360"/>
    <n v="3238.4"/>
    <n v="0.44"/>
    <x v="1"/>
  </r>
  <r>
    <x v="2"/>
    <n v="1128299"/>
    <x v="450"/>
    <x v="4"/>
    <s v="Georgia"/>
    <s v="Atlanta"/>
    <x v="2"/>
    <n v="39"/>
    <n v="145"/>
    <n v="5655"/>
    <n v="2262"/>
    <n v="0.39999999999999997"/>
    <x v="1"/>
  </r>
  <r>
    <x v="2"/>
    <n v="1128299"/>
    <x v="450"/>
    <x v="4"/>
    <s v="Georgia"/>
    <s v="Atlanta"/>
    <x v="3"/>
    <n v="37"/>
    <n v="140"/>
    <n v="5180"/>
    <n v="2382.8000000000002"/>
    <n v="0.46"/>
    <x v="1"/>
  </r>
  <r>
    <x v="2"/>
    <n v="1128299"/>
    <x v="450"/>
    <x v="4"/>
    <s v="Georgia"/>
    <s v="Atlanta"/>
    <x v="4"/>
    <n v="47"/>
    <n v="119"/>
    <n v="5593"/>
    <n v="2125.34"/>
    <n v="0.38"/>
    <x v="1"/>
  </r>
  <r>
    <x v="2"/>
    <n v="1128299"/>
    <x v="450"/>
    <x v="4"/>
    <s v="Georgia"/>
    <s v="Atlanta"/>
    <x v="5"/>
    <n v="46"/>
    <n v="157"/>
    <n v="7222"/>
    <n v="2094.3799999999997"/>
    <n v="0.28999999999999998"/>
    <x v="1"/>
  </r>
  <r>
    <x v="2"/>
    <n v="1128299"/>
    <x v="479"/>
    <x v="4"/>
    <s v="Georgia"/>
    <s v="Atlanta"/>
    <x v="0"/>
    <n v="42"/>
    <n v="209"/>
    <n v="8778"/>
    <n v="4125.66"/>
    <n v="0.47000000000000003"/>
    <x v="1"/>
  </r>
  <r>
    <x v="2"/>
    <n v="1128299"/>
    <x v="479"/>
    <x v="4"/>
    <s v="Georgia"/>
    <s v="Atlanta"/>
    <x v="1"/>
    <n v="39"/>
    <n v="223"/>
    <n v="8697"/>
    <n v="4087.59"/>
    <n v="0.47000000000000003"/>
    <x v="1"/>
  </r>
  <r>
    <x v="0"/>
    <n v="1128299"/>
    <x v="479"/>
    <x v="4"/>
    <s v="Georgia"/>
    <s v="Atlanta"/>
    <x v="2"/>
    <n v="36"/>
    <n v="147"/>
    <n v="5292"/>
    <n v="2222.64"/>
    <n v="0.42"/>
    <x v="1"/>
  </r>
  <r>
    <x v="0"/>
    <n v="1128299"/>
    <x v="479"/>
    <x v="4"/>
    <s v="Georgia"/>
    <s v="Atlanta"/>
    <x v="3"/>
    <n v="40"/>
    <n v="143"/>
    <n v="5720"/>
    <n v="2459.6000000000004"/>
    <n v="0.43000000000000005"/>
    <x v="1"/>
  </r>
  <r>
    <x v="0"/>
    <n v="1128299"/>
    <x v="479"/>
    <x v="4"/>
    <s v="Georgia"/>
    <s v="Atlanta"/>
    <x v="4"/>
    <n v="44"/>
    <n v="120"/>
    <n v="5280"/>
    <n v="2006.4"/>
    <n v="0.38"/>
    <x v="1"/>
  </r>
  <r>
    <x v="0"/>
    <n v="1128299"/>
    <x v="479"/>
    <x v="4"/>
    <s v="Georgia"/>
    <s v="Atlanta"/>
    <x v="5"/>
    <n v="47"/>
    <n v="160"/>
    <n v="7520"/>
    <n v="2256"/>
    <n v="0.3"/>
    <x v="1"/>
  </r>
  <r>
    <x v="0"/>
    <n v="1185732"/>
    <x v="173"/>
    <x v="4"/>
    <s v="Georgia"/>
    <s v="Atlanta"/>
    <x v="0"/>
    <n v="26"/>
    <n v="349"/>
    <n v="9074"/>
    <n v="4264.7800000000007"/>
    <n v="0.47000000000000003"/>
    <x v="1"/>
  </r>
  <r>
    <x v="0"/>
    <n v="1185732"/>
    <x v="173"/>
    <x v="4"/>
    <s v="Georgia"/>
    <s v="Atlanta"/>
    <x v="1"/>
    <n v="30"/>
    <n v="256"/>
    <n v="7680"/>
    <n v="3071.9999999999995"/>
    <n v="0.39999999999999997"/>
    <x v="1"/>
  </r>
  <r>
    <x v="0"/>
    <n v="1185732"/>
    <x v="173"/>
    <x v="4"/>
    <s v="Georgia"/>
    <s v="Atlanta"/>
    <x v="2"/>
    <n v="24"/>
    <n v="264"/>
    <n v="6336"/>
    <n v="2027.52"/>
    <n v="0.32"/>
    <x v="1"/>
  </r>
  <r>
    <x v="0"/>
    <n v="1185732"/>
    <x v="173"/>
    <x v="4"/>
    <s v="Georgia"/>
    <s v="Atlanta"/>
    <x v="3"/>
    <n v="25"/>
    <n v="209"/>
    <n v="5225"/>
    <n v="1828.7499999999998"/>
    <n v="0.35"/>
    <x v="1"/>
  </r>
  <r>
    <x v="0"/>
    <n v="1185732"/>
    <x v="173"/>
    <x v="4"/>
    <s v="Georgia"/>
    <s v="Atlanta"/>
    <x v="4"/>
    <n v="35"/>
    <n v="247"/>
    <n v="8645"/>
    <n v="3371.5499999999997"/>
    <n v="0.38999999999999996"/>
    <x v="1"/>
  </r>
  <r>
    <x v="0"/>
    <n v="1185732"/>
    <x v="173"/>
    <x v="4"/>
    <s v="Georgia"/>
    <s v="Atlanta"/>
    <x v="5"/>
    <n v="30"/>
    <n v="281"/>
    <n v="8430"/>
    <n v="4467.9000000000005"/>
    <n v="0.53"/>
    <x v="1"/>
  </r>
  <r>
    <x v="0"/>
    <n v="1185732"/>
    <x v="202"/>
    <x v="4"/>
    <s v="Georgia"/>
    <s v="Atlanta"/>
    <x v="0"/>
    <n v="31"/>
    <n v="376"/>
    <n v="11656"/>
    <n v="5594.88"/>
    <n v="0.48"/>
    <x v="1"/>
  </r>
  <r>
    <x v="0"/>
    <n v="1185732"/>
    <x v="202"/>
    <x v="4"/>
    <s v="Georgia"/>
    <s v="Atlanta"/>
    <x v="1"/>
    <n v="27"/>
    <n v="247"/>
    <n v="6669"/>
    <n v="2534.2200000000003"/>
    <n v="0.38"/>
    <x v="1"/>
  </r>
  <r>
    <x v="0"/>
    <n v="1185732"/>
    <x v="202"/>
    <x v="4"/>
    <s v="Georgia"/>
    <s v="Atlanta"/>
    <x v="2"/>
    <n v="21"/>
    <n v="248"/>
    <n v="5208"/>
    <n v="1562.3999999999999"/>
    <n v="0.3"/>
    <x v="1"/>
  </r>
  <r>
    <x v="0"/>
    <n v="1185732"/>
    <x v="213"/>
    <x v="1"/>
    <s v="Mississippi"/>
    <s v="Jackson"/>
    <x v="3"/>
    <n v="19"/>
    <n v="98"/>
    <n v="1862"/>
    <n v="856.52"/>
    <n v="0.46"/>
    <x v="1"/>
  </r>
  <r>
    <x v="0"/>
    <n v="1185732"/>
    <x v="213"/>
    <x v="1"/>
    <s v="Mississippi"/>
    <s v="Jackson"/>
    <x v="4"/>
    <n v="26"/>
    <n v="136"/>
    <n v="3536"/>
    <n v="1379.04"/>
    <n v="0.38999999999999996"/>
    <x v="1"/>
  </r>
  <r>
    <x v="0"/>
    <n v="1185732"/>
    <x v="213"/>
    <x v="1"/>
    <s v="Mississippi"/>
    <s v="Jackson"/>
    <x v="5"/>
    <n v="20"/>
    <n v="160"/>
    <n v="3200"/>
    <n v="1824.0000000000002"/>
    <n v="0.57000000000000006"/>
    <x v="1"/>
  </r>
  <r>
    <x v="0"/>
    <n v="1185732"/>
    <x v="221"/>
    <x v="1"/>
    <s v="Mississippi"/>
    <s v="Jackson"/>
    <x v="0"/>
    <n v="20"/>
    <n v="223"/>
    <n v="4460"/>
    <n v="2051.6"/>
    <n v="0.46"/>
    <x v="1"/>
  </r>
  <r>
    <x v="0"/>
    <n v="1185732"/>
    <x v="221"/>
    <x v="1"/>
    <s v="Mississippi"/>
    <s v="Jackson"/>
    <x v="1"/>
    <n v="20"/>
    <n v="128"/>
    <n v="2560"/>
    <n v="998.39999999999986"/>
    <n v="0.38999999999999996"/>
    <x v="1"/>
  </r>
  <r>
    <x v="0"/>
    <n v="1185732"/>
    <x v="221"/>
    <x v="1"/>
    <s v="Mississippi"/>
    <s v="Jackson"/>
    <x v="2"/>
    <n v="11"/>
    <n v="136"/>
    <n v="1496"/>
    <n v="703.12"/>
    <n v="0.47000000000000003"/>
    <x v="1"/>
  </r>
  <r>
    <x v="0"/>
    <n v="1185732"/>
    <x v="221"/>
    <x v="1"/>
    <s v="Mississippi"/>
    <s v="Jackson"/>
    <x v="3"/>
    <n v="15"/>
    <n v="85"/>
    <n v="1275"/>
    <n v="573.75"/>
    <n v="0.45"/>
    <x v="1"/>
  </r>
  <r>
    <x v="0"/>
    <n v="1185732"/>
    <x v="221"/>
    <x v="1"/>
    <s v="Mississippi"/>
    <s v="Jackson"/>
    <x v="4"/>
    <n v="25"/>
    <n v="104"/>
    <n v="2600"/>
    <n v="962"/>
    <n v="0.37"/>
    <x v="1"/>
  </r>
  <r>
    <x v="0"/>
    <n v="1185732"/>
    <x v="221"/>
    <x v="1"/>
    <s v="Mississippi"/>
    <s v="Jackson"/>
    <x v="5"/>
    <n v="17"/>
    <n v="136"/>
    <n v="2312"/>
    <n v="1248.48"/>
    <n v="0.54"/>
    <x v="1"/>
  </r>
  <r>
    <x v="0"/>
    <n v="1185732"/>
    <x v="240"/>
    <x v="1"/>
    <s v="Mississippi"/>
    <s v="Jackson"/>
    <x v="0"/>
    <n v="19"/>
    <n v="223"/>
    <n v="4237"/>
    <n v="1864.28"/>
    <n v="0.44"/>
    <x v="1"/>
  </r>
  <r>
    <x v="0"/>
    <n v="1185732"/>
    <x v="240"/>
    <x v="1"/>
    <s v="Mississippi"/>
    <s v="Jackson"/>
    <x v="1"/>
    <n v="20"/>
    <n v="116"/>
    <n v="2320"/>
    <n v="927.99999999999989"/>
    <n v="0.39999999999999997"/>
    <x v="1"/>
  </r>
  <r>
    <x v="0"/>
    <n v="1185732"/>
    <x v="240"/>
    <x v="1"/>
    <s v="Mississippi"/>
    <s v="Jackson"/>
    <x v="2"/>
    <n v="11"/>
    <n v="124"/>
    <n v="1364"/>
    <n v="613.80000000000007"/>
    <n v="0.45"/>
    <x v="1"/>
  </r>
  <r>
    <x v="0"/>
    <n v="1185732"/>
    <x v="240"/>
    <x v="1"/>
    <s v="Mississippi"/>
    <s v="Jackson"/>
    <x v="3"/>
    <n v="16"/>
    <n v="96"/>
    <n v="1536"/>
    <n v="660.48"/>
    <n v="0.43000000000000005"/>
    <x v="1"/>
  </r>
  <r>
    <x v="0"/>
    <n v="1185732"/>
    <x v="240"/>
    <x v="1"/>
    <s v="Mississippi"/>
    <s v="Jackson"/>
    <x v="4"/>
    <n v="30"/>
    <n v="98"/>
    <n v="2940"/>
    <n v="1176"/>
    <n v="0.39999999999999997"/>
    <x v="1"/>
  </r>
  <r>
    <x v="0"/>
    <n v="1185732"/>
    <x v="240"/>
    <x v="1"/>
    <s v="Mississippi"/>
    <s v="Jackson"/>
    <x v="5"/>
    <n v="22"/>
    <n v="147"/>
    <n v="3234"/>
    <n v="1714.02"/>
    <n v="0.53"/>
    <x v="1"/>
  </r>
  <r>
    <x v="0"/>
    <n v="1185732"/>
    <x v="269"/>
    <x v="1"/>
    <s v="Mississippi"/>
    <s v="Jackson"/>
    <x v="0"/>
    <n v="27"/>
    <n v="238"/>
    <n v="6426"/>
    <n v="2698.92"/>
    <n v="0.42000000000000004"/>
    <x v="1"/>
  </r>
  <r>
    <x v="0"/>
    <n v="1185732"/>
    <x v="269"/>
    <x v="1"/>
    <s v="Mississippi"/>
    <s v="Jackson"/>
    <x v="1"/>
    <n v="28"/>
    <n v="140"/>
    <n v="3920"/>
    <n v="1607.1999999999998"/>
    <n v="0.41"/>
    <x v="1"/>
  </r>
  <r>
    <x v="0"/>
    <n v="1185732"/>
    <x v="269"/>
    <x v="1"/>
    <s v="Mississippi"/>
    <s v="Jackson"/>
    <x v="2"/>
    <n v="26"/>
    <n v="136"/>
    <n v="3536"/>
    <n v="1520.4800000000002"/>
    <n v="0.43000000000000005"/>
    <x v="1"/>
  </r>
  <r>
    <x v="0"/>
    <n v="1185732"/>
    <x v="269"/>
    <x v="1"/>
    <s v="Mississippi"/>
    <s v="Jackson"/>
    <x v="3"/>
    <n v="24"/>
    <n v="116"/>
    <n v="2784"/>
    <n v="1280.6400000000001"/>
    <n v="0.46"/>
    <x v="1"/>
  </r>
  <r>
    <x v="0"/>
    <n v="1185732"/>
    <x v="269"/>
    <x v="1"/>
    <s v="Mississippi"/>
    <s v="Jackson"/>
    <x v="4"/>
    <n v="34"/>
    <n v="132"/>
    <n v="4488"/>
    <n v="1795.1999999999998"/>
    <n v="0.39999999999999997"/>
    <x v="1"/>
  </r>
  <r>
    <x v="0"/>
    <n v="1185732"/>
    <x v="269"/>
    <x v="1"/>
    <s v="Mississippi"/>
    <s v="Jackson"/>
    <x v="5"/>
    <n v="35"/>
    <n v="150"/>
    <n v="5250"/>
    <n v="2940.0000000000005"/>
    <n v="0.56000000000000005"/>
    <x v="1"/>
  </r>
  <r>
    <x v="0"/>
    <n v="1185732"/>
    <x v="302"/>
    <x v="1"/>
    <s v="Mississippi"/>
    <s v="Jackson"/>
    <x v="0"/>
    <n v="31"/>
    <n v="263"/>
    <n v="8153"/>
    <n v="3587.32"/>
    <n v="0.44"/>
    <x v="1"/>
  </r>
  <r>
    <x v="0"/>
    <n v="1185732"/>
    <x v="302"/>
    <x v="1"/>
    <s v="Mississippi"/>
    <s v="Jackson"/>
    <x v="1"/>
    <n v="29"/>
    <n v="150"/>
    <n v="4350"/>
    <n v="1696.4999999999998"/>
    <n v="0.38999999999999996"/>
    <x v="1"/>
  </r>
  <r>
    <x v="0"/>
    <n v="1185732"/>
    <x v="302"/>
    <x v="1"/>
    <s v="Mississippi"/>
    <s v="Jackson"/>
    <x v="2"/>
    <n v="33"/>
    <n v="157"/>
    <n v="5181"/>
    <n v="2383.2600000000002"/>
    <n v="0.46"/>
    <x v="1"/>
  </r>
  <r>
    <x v="0"/>
    <n v="1185732"/>
    <x v="302"/>
    <x v="1"/>
    <s v="Mississippi"/>
    <s v="Jackson"/>
    <x v="3"/>
    <n v="34"/>
    <n v="149"/>
    <n v="5066"/>
    <n v="2178.38"/>
    <n v="0.43000000000000005"/>
    <x v="1"/>
  </r>
  <r>
    <x v="0"/>
    <n v="1185732"/>
    <x v="302"/>
    <x v="1"/>
    <s v="Mississippi"/>
    <s v="Jackson"/>
    <x v="4"/>
    <n v="47"/>
    <n v="135"/>
    <n v="6345"/>
    <n v="2411.1"/>
    <n v="0.38"/>
    <x v="1"/>
  </r>
  <r>
    <x v="0"/>
    <n v="1185732"/>
    <x v="302"/>
    <x v="1"/>
    <s v="Mississippi"/>
    <s v="Jackson"/>
    <x v="5"/>
    <n v="51"/>
    <n v="219"/>
    <n v="11169"/>
    <n v="5919.5700000000006"/>
    <n v="0.53"/>
    <x v="1"/>
  </r>
  <r>
    <x v="0"/>
    <n v="1185732"/>
    <x v="330"/>
    <x v="1"/>
    <s v="Mississippi"/>
    <s v="Jackson"/>
    <x v="0"/>
    <n v="47"/>
    <n v="289"/>
    <n v="13583"/>
    <n v="6248.18"/>
    <n v="0.46"/>
    <x v="1"/>
  </r>
  <r>
    <x v="1"/>
    <n v="1185732"/>
    <x v="330"/>
    <x v="1"/>
    <s v="Mississippi"/>
    <s v="Jackson"/>
    <x v="1"/>
    <n v="42"/>
    <n v="192"/>
    <n v="8064"/>
    <n v="3064.32"/>
    <n v="0.38"/>
    <x v="1"/>
  </r>
  <r>
    <x v="1"/>
    <n v="1185732"/>
    <x v="330"/>
    <x v="1"/>
    <s v="Mississippi"/>
    <s v="Jackson"/>
    <x v="2"/>
    <n v="37"/>
    <n v="168"/>
    <n v="6216"/>
    <n v="2610.7200000000003"/>
    <n v="0.42000000000000004"/>
    <x v="1"/>
  </r>
  <r>
    <x v="1"/>
    <n v="1185732"/>
    <x v="330"/>
    <x v="1"/>
    <s v="Mississippi"/>
    <s v="Jackson"/>
    <x v="3"/>
    <n v="33"/>
    <n v="143"/>
    <n v="4719"/>
    <n v="2029.1700000000003"/>
    <n v="0.43000000000000005"/>
    <x v="1"/>
  </r>
  <r>
    <x v="1"/>
    <n v="1185732"/>
    <x v="330"/>
    <x v="1"/>
    <s v="Mississippi"/>
    <s v="Jackson"/>
    <x v="4"/>
    <n v="46"/>
    <n v="150"/>
    <n v="6900"/>
    <n v="2553"/>
    <n v="0.37"/>
    <x v="1"/>
  </r>
  <r>
    <x v="1"/>
    <n v="1185732"/>
    <x v="330"/>
    <x v="1"/>
    <s v="Mississippi"/>
    <s v="Jackson"/>
    <x v="5"/>
    <n v="49"/>
    <n v="209"/>
    <n v="10241"/>
    <n v="5427.7300000000005"/>
    <n v="0.53"/>
    <x v="1"/>
  </r>
  <r>
    <x v="1"/>
    <n v="1185732"/>
    <x v="362"/>
    <x v="1"/>
    <s v="Mississippi"/>
    <s v="Jackson"/>
    <x v="0"/>
    <n v="41"/>
    <n v="256"/>
    <n v="10496"/>
    <n v="4723.2"/>
    <n v="0.45"/>
    <x v="1"/>
  </r>
  <r>
    <x v="1"/>
    <n v="1185732"/>
    <x v="362"/>
    <x v="1"/>
    <s v="Mississippi"/>
    <s v="Jackson"/>
    <x v="1"/>
    <n v="44"/>
    <n v="198"/>
    <n v="8712"/>
    <n v="3571.9199999999996"/>
    <n v="0.41"/>
    <x v="1"/>
  </r>
  <r>
    <x v="1"/>
    <n v="1185732"/>
    <x v="362"/>
    <x v="1"/>
    <s v="Mississippi"/>
    <s v="Jackson"/>
    <x v="2"/>
    <n v="37"/>
    <n v="179"/>
    <n v="6623"/>
    <n v="2914.12"/>
    <n v="0.44"/>
    <x v="1"/>
  </r>
  <r>
    <x v="1"/>
    <n v="1185732"/>
    <x v="362"/>
    <x v="1"/>
    <s v="Mississippi"/>
    <s v="Jackson"/>
    <x v="3"/>
    <n v="32"/>
    <n v="147"/>
    <n v="4704"/>
    <n v="1975.6800000000003"/>
    <n v="0.42000000000000004"/>
    <x v="1"/>
  </r>
  <r>
    <x v="1"/>
    <n v="1185732"/>
    <x v="362"/>
    <x v="1"/>
    <s v="Mississippi"/>
    <s v="Jackson"/>
    <x v="4"/>
    <n v="35"/>
    <n v="158"/>
    <n v="5530"/>
    <n v="2322.6"/>
    <n v="0.42"/>
    <x v="1"/>
  </r>
  <r>
    <x v="1"/>
    <n v="1185732"/>
    <x v="362"/>
    <x v="1"/>
    <s v="Mississippi"/>
    <s v="Jackson"/>
    <x v="5"/>
    <n v="42"/>
    <n v="206"/>
    <n v="8652"/>
    <n v="4758.6000000000004"/>
    <n v="0.55000000000000004"/>
    <x v="1"/>
  </r>
  <r>
    <x v="1"/>
    <n v="1185732"/>
    <x v="392"/>
    <x v="1"/>
    <s v="Mississippi"/>
    <s v="Jackson"/>
    <x v="0"/>
    <n v="40"/>
    <n v="232"/>
    <n v="9280"/>
    <n v="4083.2"/>
    <n v="0.44"/>
    <x v="1"/>
  </r>
  <r>
    <x v="1"/>
    <n v="1185732"/>
    <x v="392"/>
    <x v="1"/>
    <s v="Mississippi"/>
    <s v="Jackson"/>
    <x v="1"/>
    <n v="33"/>
    <n v="158"/>
    <n v="5214"/>
    <n v="2137.7399999999998"/>
    <n v="0.41"/>
    <x v="1"/>
  </r>
  <r>
    <x v="1"/>
    <n v="1185732"/>
    <x v="392"/>
    <x v="1"/>
    <s v="Mississippi"/>
    <s v="Jackson"/>
    <x v="2"/>
    <n v="15"/>
    <n v="145"/>
    <n v="2175"/>
    <n v="1022.2500000000001"/>
    <n v="0.47000000000000003"/>
    <x v="1"/>
  </r>
  <r>
    <x v="1"/>
    <n v="1185732"/>
    <x v="392"/>
    <x v="1"/>
    <s v="Mississippi"/>
    <s v="Jackson"/>
    <x v="3"/>
    <n v="16"/>
    <n v="120"/>
    <n v="1920"/>
    <n v="864"/>
    <n v="0.45"/>
    <x v="1"/>
  </r>
  <r>
    <x v="1"/>
    <n v="1185732"/>
    <x v="392"/>
    <x v="1"/>
    <s v="Mississippi"/>
    <s v="Jackson"/>
    <x v="4"/>
    <n v="22"/>
    <n v="132"/>
    <n v="2904"/>
    <n v="1103.52"/>
    <n v="0.38"/>
    <x v="1"/>
  </r>
  <r>
    <x v="1"/>
    <n v="1185732"/>
    <x v="392"/>
    <x v="1"/>
    <s v="Mississippi"/>
    <s v="Jackson"/>
    <x v="5"/>
    <n v="26"/>
    <n v="160"/>
    <n v="4160"/>
    <n v="2329.6000000000004"/>
    <n v="0.56000000000000005"/>
    <x v="1"/>
  </r>
  <r>
    <x v="1"/>
    <n v="1185732"/>
    <x v="424"/>
    <x v="1"/>
    <s v="Mississippi"/>
    <s v="Jackson"/>
    <x v="0"/>
    <n v="24"/>
    <n v="216"/>
    <n v="5184"/>
    <n v="2384.6400000000003"/>
    <n v="0.46"/>
    <x v="1"/>
  </r>
  <r>
    <x v="1"/>
    <n v="1185732"/>
    <x v="424"/>
    <x v="1"/>
    <s v="Mississippi"/>
    <s v="Jackson"/>
    <x v="1"/>
    <n v="17"/>
    <n v="165"/>
    <n v="2805"/>
    <n v="1037.8499999999999"/>
    <n v="0.37"/>
    <x v="1"/>
  </r>
  <r>
    <x v="1"/>
    <n v="1185732"/>
    <x v="424"/>
    <x v="1"/>
    <s v="Mississippi"/>
    <s v="Jackson"/>
    <x v="2"/>
    <n v="19"/>
    <n v="120"/>
    <n v="2280"/>
    <n v="1071.6000000000001"/>
    <n v="0.47000000000000003"/>
    <x v="1"/>
  </r>
  <r>
    <x v="1"/>
    <n v="1185732"/>
    <x v="424"/>
    <x v="1"/>
    <s v="Mississippi"/>
    <s v="Jackson"/>
    <x v="3"/>
    <n v="20"/>
    <n v="109"/>
    <n v="2180"/>
    <n v="981"/>
    <n v="0.45"/>
    <x v="1"/>
  </r>
  <r>
    <x v="1"/>
    <n v="1185732"/>
    <x v="424"/>
    <x v="1"/>
    <s v="Mississippi"/>
    <s v="Jackson"/>
    <x v="4"/>
    <n v="25"/>
    <n v="105"/>
    <n v="2625"/>
    <n v="1102.5"/>
    <n v="0.42"/>
    <x v="1"/>
  </r>
  <r>
    <x v="2"/>
    <n v="1185732"/>
    <x v="424"/>
    <x v="1"/>
    <s v="Mississippi"/>
    <s v="Jackson"/>
    <x v="5"/>
    <n v="27"/>
    <n v="162"/>
    <n v="4374"/>
    <n v="2361.96"/>
    <n v="0.54"/>
    <x v="1"/>
  </r>
  <r>
    <x v="2"/>
    <n v="1185732"/>
    <x v="454"/>
    <x v="1"/>
    <s v="Mississippi"/>
    <s v="Jackson"/>
    <x v="0"/>
    <n v="22"/>
    <n v="206"/>
    <n v="4532"/>
    <n v="1994.08"/>
    <n v="0.44"/>
    <x v="1"/>
  </r>
  <r>
    <x v="2"/>
    <n v="1185732"/>
    <x v="454"/>
    <x v="1"/>
    <s v="Mississippi"/>
    <s v="Jackson"/>
    <x v="1"/>
    <n v="15"/>
    <n v="153"/>
    <n v="2295"/>
    <n v="872.1"/>
    <n v="0.38"/>
    <x v="1"/>
  </r>
  <r>
    <x v="2"/>
    <n v="1185732"/>
    <x v="454"/>
    <x v="1"/>
    <s v="Mississippi"/>
    <s v="Jackson"/>
    <x v="2"/>
    <n v="22"/>
    <n v="119"/>
    <n v="2618"/>
    <n v="1099.5600000000002"/>
    <n v="0.42000000000000004"/>
    <x v="1"/>
  </r>
  <r>
    <x v="2"/>
    <n v="1185732"/>
    <x v="454"/>
    <x v="1"/>
    <s v="Mississippi"/>
    <s v="Jackson"/>
    <x v="3"/>
    <n v="43"/>
    <n v="153"/>
    <n v="6579"/>
    <n v="2894.76"/>
    <n v="0.44"/>
    <x v="1"/>
  </r>
  <r>
    <x v="2"/>
    <n v="1185732"/>
    <x v="454"/>
    <x v="1"/>
    <s v="Mississippi"/>
    <s v="Jackson"/>
    <x v="4"/>
    <n v="59"/>
    <n v="132"/>
    <n v="7788"/>
    <n v="3115.2"/>
    <n v="0.39999999999999997"/>
    <x v="1"/>
  </r>
  <r>
    <x v="2"/>
    <n v="1185732"/>
    <x v="454"/>
    <x v="1"/>
    <s v="Mississippi"/>
    <s v="Jackson"/>
    <x v="5"/>
    <n v="51"/>
    <n v="168"/>
    <n v="8568"/>
    <n v="4883.76"/>
    <n v="0.57000000000000006"/>
    <x v="1"/>
  </r>
  <r>
    <x v="2"/>
    <n v="1185732"/>
    <x v="483"/>
    <x v="1"/>
    <s v="Mississippi"/>
    <s v="Jackson"/>
    <x v="0"/>
    <n v="48"/>
    <n v="256"/>
    <n v="12288"/>
    <n v="5775.3600000000006"/>
    <n v="0.47000000000000003"/>
    <x v="1"/>
  </r>
  <r>
    <x v="2"/>
    <n v="1185732"/>
    <x v="483"/>
    <x v="1"/>
    <s v="Mississippi"/>
    <s v="Jackson"/>
    <x v="1"/>
    <n v="44"/>
    <n v="201"/>
    <n v="8844"/>
    <n v="3272.2799999999997"/>
    <n v="0.37"/>
    <x v="1"/>
  </r>
  <r>
    <x v="2"/>
    <n v="1185732"/>
    <x v="483"/>
    <x v="1"/>
    <s v="Mississippi"/>
    <s v="Jackson"/>
    <x v="2"/>
    <n v="43"/>
    <n v="158"/>
    <n v="6794"/>
    <n v="3057.3"/>
    <n v="0.45"/>
    <x v="1"/>
  </r>
  <r>
    <x v="2"/>
    <n v="1185732"/>
    <x v="483"/>
    <x v="1"/>
    <s v="Mississippi"/>
    <s v="Jackson"/>
    <x v="3"/>
    <n v="41"/>
    <n v="143"/>
    <n v="5863"/>
    <n v="2755.61"/>
    <n v="0.47000000000000003"/>
    <x v="1"/>
  </r>
  <r>
    <x v="2"/>
    <n v="1185732"/>
    <x v="483"/>
    <x v="1"/>
    <s v="Mississippi"/>
    <s v="Jackson"/>
    <x v="4"/>
    <n v="54"/>
    <n v="157"/>
    <n v="8478"/>
    <n v="3221.64"/>
    <n v="0.38"/>
    <x v="1"/>
  </r>
  <r>
    <x v="2"/>
    <n v="1185732"/>
    <x v="483"/>
    <x v="1"/>
    <s v="Mississippi"/>
    <s v="Jackson"/>
    <x v="5"/>
    <n v="53"/>
    <n v="178"/>
    <n v="9434"/>
    <n v="5188.7000000000007"/>
    <n v="0.55000000000000004"/>
    <x v="1"/>
  </r>
  <r>
    <x v="2"/>
    <n v="1197831"/>
    <x v="187"/>
    <x v="1"/>
    <s v="Mississippi"/>
    <s v="Jackson"/>
    <x v="0"/>
    <n v="17"/>
    <n v="215"/>
    <n v="3655"/>
    <n v="1608.2"/>
    <n v="0.44"/>
    <x v="1"/>
  </r>
  <r>
    <x v="2"/>
    <n v="1197831"/>
    <x v="187"/>
    <x v="1"/>
    <s v="Mississippi"/>
    <s v="Jackson"/>
    <x v="1"/>
    <n v="18"/>
    <n v="135"/>
    <n v="2430"/>
    <n v="971.99999999999989"/>
    <n v="0.39999999999999997"/>
    <x v="1"/>
  </r>
  <r>
    <x v="2"/>
    <n v="1197831"/>
    <x v="187"/>
    <x v="1"/>
    <s v="Mississippi"/>
    <s v="Jackson"/>
    <x v="2"/>
    <n v="11"/>
    <n v="140"/>
    <n v="1540"/>
    <n v="677.6"/>
    <n v="0.44"/>
    <x v="1"/>
  </r>
  <r>
    <x v="2"/>
    <n v="1197831"/>
    <x v="187"/>
    <x v="1"/>
    <s v="Mississippi"/>
    <s v="Jackson"/>
    <x v="3"/>
    <n v="13"/>
    <n v="102"/>
    <n v="1326"/>
    <n v="623.22"/>
    <n v="0.47000000000000003"/>
    <x v="1"/>
  </r>
  <r>
    <x v="2"/>
    <n v="1197831"/>
    <x v="187"/>
    <x v="1"/>
    <s v="Mississippi"/>
    <s v="Jackson"/>
    <x v="4"/>
    <n v="26"/>
    <n v="123"/>
    <n v="3198"/>
    <n v="1215.24"/>
    <n v="0.38"/>
    <x v="1"/>
  </r>
  <r>
    <x v="2"/>
    <n v="1197831"/>
    <x v="187"/>
    <x v="1"/>
    <s v="Mississippi"/>
    <s v="Jackson"/>
    <x v="5"/>
    <n v="18"/>
    <n v="158"/>
    <n v="2844"/>
    <n v="1222.92"/>
    <n v="0.43000000000000005"/>
    <x v="1"/>
  </r>
  <r>
    <x v="2"/>
    <n v="1197831"/>
    <x v="695"/>
    <x v="1"/>
    <s v="Mississippi"/>
    <s v="Jackson"/>
    <x v="0"/>
    <n v="17"/>
    <n v="210"/>
    <n v="3570"/>
    <n v="1606.5"/>
    <n v="0.45"/>
    <x v="1"/>
  </r>
  <r>
    <x v="2"/>
    <n v="1197831"/>
    <x v="695"/>
    <x v="1"/>
    <s v="Mississippi"/>
    <s v="Jackson"/>
    <x v="1"/>
    <n v="17"/>
    <n v="112"/>
    <n v="1904"/>
    <n v="742.56"/>
    <n v="0.38999999999999996"/>
    <x v="1"/>
  </r>
  <r>
    <x v="2"/>
    <n v="1197831"/>
    <x v="695"/>
    <x v="1"/>
    <s v="Mississippi"/>
    <s v="Jackson"/>
    <x v="2"/>
    <n v="11"/>
    <n v="136"/>
    <n v="1496"/>
    <n v="628.32000000000005"/>
    <n v="0.42000000000000004"/>
    <x v="1"/>
  </r>
  <r>
    <x v="1"/>
    <n v="1197831"/>
    <x v="695"/>
    <x v="1"/>
    <s v="Arkansas"/>
    <s v="Little Rock"/>
    <x v="3"/>
    <n v="15"/>
    <n v="78"/>
    <n v="1170"/>
    <n v="549.9"/>
    <n v="0.47000000000000003"/>
    <x v="1"/>
  </r>
  <r>
    <x v="1"/>
    <n v="1197831"/>
    <x v="695"/>
    <x v="1"/>
    <s v="Arkansas"/>
    <s v="Little Rock"/>
    <x v="4"/>
    <n v="23"/>
    <n v="111"/>
    <n v="2553"/>
    <n v="944.61"/>
    <n v="0.37"/>
    <x v="1"/>
  </r>
  <r>
    <x v="1"/>
    <n v="1197831"/>
    <x v="695"/>
    <x v="1"/>
    <s v="Arkansas"/>
    <s v="Little Rock"/>
    <x v="5"/>
    <n v="16"/>
    <n v="145"/>
    <n v="2320"/>
    <n v="974.40000000000009"/>
    <n v="0.42000000000000004"/>
    <x v="1"/>
  </r>
  <r>
    <x v="1"/>
    <n v="1197831"/>
    <x v="224"/>
    <x v="1"/>
    <s v="Arkansas"/>
    <s v="Little Rock"/>
    <x v="0"/>
    <n v="15"/>
    <n v="206"/>
    <n v="3090"/>
    <n v="1452.3000000000002"/>
    <n v="0.47000000000000003"/>
    <x v="1"/>
  </r>
  <r>
    <x v="1"/>
    <n v="1197831"/>
    <x v="224"/>
    <x v="1"/>
    <s v="Arkansas"/>
    <s v="Little Rock"/>
    <x v="1"/>
    <n v="14"/>
    <n v="107"/>
    <n v="1498"/>
    <n v="554.26"/>
    <n v="0.37"/>
    <x v="1"/>
  </r>
  <r>
    <x v="1"/>
    <n v="1197831"/>
    <x v="224"/>
    <x v="1"/>
    <s v="Arkansas"/>
    <s v="Little Rock"/>
    <x v="2"/>
    <n v="8"/>
    <n v="112"/>
    <n v="896"/>
    <n v="403.2"/>
    <n v="0.45"/>
    <x v="1"/>
  </r>
  <r>
    <x v="1"/>
    <n v="1197831"/>
    <x v="224"/>
    <x v="1"/>
    <s v="Arkansas"/>
    <s v="Little Rock"/>
    <x v="3"/>
    <n v="15"/>
    <n v="70"/>
    <n v="1050"/>
    <n v="493.50000000000006"/>
    <n v="0.47000000000000003"/>
    <x v="1"/>
  </r>
  <r>
    <x v="1"/>
    <n v="1197831"/>
    <x v="224"/>
    <x v="1"/>
    <s v="Arkansas"/>
    <s v="Little Rock"/>
    <x v="4"/>
    <n v="24"/>
    <n v="88"/>
    <n v="2112"/>
    <n v="844.8"/>
    <n v="0.39999999999999997"/>
    <x v="1"/>
  </r>
  <r>
    <x v="1"/>
    <n v="1197831"/>
    <x v="224"/>
    <x v="1"/>
    <s v="Arkansas"/>
    <s v="Little Rock"/>
    <x v="5"/>
    <n v="20"/>
    <n v="112"/>
    <n v="2240"/>
    <n v="1030.4000000000001"/>
    <n v="0.46"/>
    <x v="1"/>
  </r>
  <r>
    <x v="1"/>
    <n v="1197831"/>
    <x v="243"/>
    <x v="1"/>
    <s v="Arkansas"/>
    <s v="Little Rock"/>
    <x v="0"/>
    <n v="19"/>
    <n v="204"/>
    <n v="3876"/>
    <n v="1744.2"/>
    <n v="0.45"/>
    <x v="1"/>
  </r>
  <r>
    <x v="1"/>
    <n v="1197831"/>
    <x v="243"/>
    <x v="1"/>
    <s v="Arkansas"/>
    <s v="Little Rock"/>
    <x v="1"/>
    <n v="20"/>
    <n v="102"/>
    <n v="2040"/>
    <n v="815.99999999999989"/>
    <n v="0.39999999999999997"/>
    <x v="1"/>
  </r>
  <r>
    <x v="1"/>
    <n v="1197831"/>
    <x v="243"/>
    <x v="1"/>
    <s v="Arkansas"/>
    <s v="Little Rock"/>
    <x v="2"/>
    <n v="11"/>
    <n v="96"/>
    <n v="1056"/>
    <n v="496.32000000000005"/>
    <n v="0.47000000000000003"/>
    <x v="1"/>
  </r>
  <r>
    <x v="1"/>
    <n v="1197831"/>
    <x v="243"/>
    <x v="1"/>
    <s v="Arkansas"/>
    <s v="Little Rock"/>
    <x v="3"/>
    <n v="13"/>
    <n v="77"/>
    <n v="1001"/>
    <n v="470.47"/>
    <n v="0.47000000000000003"/>
    <x v="1"/>
  </r>
  <r>
    <x v="1"/>
    <n v="1197831"/>
    <x v="243"/>
    <x v="1"/>
    <s v="Arkansas"/>
    <s v="Little Rock"/>
    <x v="4"/>
    <n v="31"/>
    <n v="75"/>
    <n v="2325"/>
    <n v="860.25"/>
    <n v="0.37"/>
    <x v="1"/>
  </r>
  <r>
    <x v="1"/>
    <n v="1197831"/>
    <x v="243"/>
    <x v="1"/>
    <s v="Arkansas"/>
    <s v="Little Rock"/>
    <x v="5"/>
    <n v="24"/>
    <n v="120"/>
    <n v="2880"/>
    <n v="1267.2"/>
    <n v="0.44"/>
    <x v="1"/>
  </r>
  <r>
    <x v="1"/>
    <n v="1197831"/>
    <x v="272"/>
    <x v="1"/>
    <s v="Arkansas"/>
    <s v="Little Rock"/>
    <x v="0"/>
    <n v="26"/>
    <n v="228"/>
    <n v="5928"/>
    <n v="2726.88"/>
    <n v="0.46"/>
    <x v="1"/>
  </r>
  <r>
    <x v="1"/>
    <n v="1197831"/>
    <x v="272"/>
    <x v="1"/>
    <s v="Arkansas"/>
    <s v="Little Rock"/>
    <x v="1"/>
    <n v="28"/>
    <n v="116"/>
    <n v="3248"/>
    <n v="1364.1599999999999"/>
    <n v="0.42"/>
    <x v="1"/>
  </r>
  <r>
    <x v="1"/>
    <n v="1197831"/>
    <x v="272"/>
    <x v="1"/>
    <s v="Arkansas"/>
    <s v="Little Rock"/>
    <x v="2"/>
    <n v="27"/>
    <n v="119"/>
    <n v="3213"/>
    <n v="1413.72"/>
    <n v="0.44"/>
    <x v="1"/>
  </r>
  <r>
    <x v="1"/>
    <n v="1197831"/>
    <x v="272"/>
    <x v="1"/>
    <s v="Arkansas"/>
    <s v="Little Rock"/>
    <x v="3"/>
    <n v="24"/>
    <n v="90"/>
    <n v="2160"/>
    <n v="1015.2"/>
    <n v="0.47000000000000003"/>
    <x v="1"/>
  </r>
  <r>
    <x v="1"/>
    <n v="1197831"/>
    <x v="272"/>
    <x v="1"/>
    <s v="Arkansas"/>
    <s v="Little Rock"/>
    <x v="4"/>
    <n v="32"/>
    <n v="111"/>
    <n v="3552"/>
    <n v="1385.2799999999997"/>
    <n v="0.38999999999999996"/>
    <x v="1"/>
  </r>
  <r>
    <x v="1"/>
    <n v="1197831"/>
    <x v="272"/>
    <x v="1"/>
    <s v="Arkansas"/>
    <s v="Little Rock"/>
    <x v="5"/>
    <n v="33"/>
    <n v="145"/>
    <n v="4785"/>
    <n v="2248.9500000000003"/>
    <n v="0.47000000000000003"/>
    <x v="1"/>
  </r>
  <r>
    <x v="1"/>
    <n v="1197831"/>
    <x v="305"/>
    <x v="1"/>
    <s v="Arkansas"/>
    <s v="Little Rock"/>
    <x v="0"/>
    <n v="28"/>
    <n v="236"/>
    <n v="6608"/>
    <n v="2907.52"/>
    <n v="0.44"/>
    <x v="1"/>
  </r>
  <r>
    <x v="1"/>
    <n v="1197831"/>
    <x v="305"/>
    <x v="1"/>
    <s v="Arkansas"/>
    <s v="Little Rock"/>
    <x v="1"/>
    <n v="25"/>
    <n v="149"/>
    <n v="3725"/>
    <n v="1452.7499999999998"/>
    <n v="0.38999999999999996"/>
    <x v="1"/>
  </r>
  <r>
    <x v="1"/>
    <n v="1197831"/>
    <x v="305"/>
    <x v="1"/>
    <s v="Arkansas"/>
    <s v="Little Rock"/>
    <x v="2"/>
    <n v="28"/>
    <n v="124"/>
    <n v="3472"/>
    <n v="1562.4"/>
    <n v="0.45"/>
    <x v="1"/>
  </r>
  <r>
    <x v="1"/>
    <n v="1197831"/>
    <x v="305"/>
    <x v="1"/>
    <s v="Arkansas"/>
    <s v="Little Rock"/>
    <x v="3"/>
    <n v="29"/>
    <n v="124"/>
    <n v="3596"/>
    <n v="1582.24"/>
    <n v="0.44"/>
    <x v="1"/>
  </r>
  <r>
    <x v="1"/>
    <n v="1197831"/>
    <x v="305"/>
    <x v="1"/>
    <s v="Arkansas"/>
    <s v="Little Rock"/>
    <x v="4"/>
    <n v="37"/>
    <n v="116"/>
    <n v="4292"/>
    <n v="1673.8799999999999"/>
    <n v="0.38999999999999996"/>
    <x v="1"/>
  </r>
  <r>
    <x v="1"/>
    <n v="1197831"/>
    <x v="305"/>
    <x v="1"/>
    <s v="Arkansas"/>
    <s v="Little Rock"/>
    <x v="5"/>
    <n v="48"/>
    <n v="165"/>
    <n v="7920"/>
    <n v="3405.6000000000004"/>
    <n v="0.43000000000000005"/>
    <x v="1"/>
  </r>
  <r>
    <x v="1"/>
    <n v="1197831"/>
    <x v="333"/>
    <x v="1"/>
    <s v="Arkansas"/>
    <s v="Little Rock"/>
    <x v="0"/>
    <n v="39"/>
    <n v="271"/>
    <n v="10569"/>
    <n v="4438.9800000000005"/>
    <n v="0.42000000000000004"/>
    <x v="1"/>
  </r>
  <r>
    <x v="1"/>
    <n v="1197831"/>
    <x v="333"/>
    <x v="1"/>
    <s v="Arkansas"/>
    <s v="Little Rock"/>
    <x v="1"/>
    <n v="36"/>
    <n v="163"/>
    <n v="5868"/>
    <n v="2171.16"/>
    <n v="0.37"/>
    <x v="1"/>
  </r>
  <r>
    <x v="1"/>
    <n v="1197831"/>
    <x v="333"/>
    <x v="1"/>
    <s v="Arkansas"/>
    <s v="Little Rock"/>
    <x v="2"/>
    <n v="32"/>
    <n v="140"/>
    <n v="4480"/>
    <n v="1971.2"/>
    <n v="0.44"/>
    <x v="1"/>
  </r>
  <r>
    <x v="1"/>
    <n v="1197831"/>
    <x v="333"/>
    <x v="1"/>
    <s v="Arkansas"/>
    <s v="Little Rock"/>
    <x v="3"/>
    <n v="35"/>
    <n v="120"/>
    <n v="4200"/>
    <n v="1806.0000000000002"/>
    <n v="0.43000000000000005"/>
    <x v="1"/>
  </r>
  <r>
    <x v="1"/>
    <n v="1197831"/>
    <x v="333"/>
    <x v="1"/>
    <s v="Arkansas"/>
    <s v="Little Rock"/>
    <x v="4"/>
    <n v="40"/>
    <n v="149"/>
    <n v="5960"/>
    <n v="2384"/>
    <n v="0.39999999999999997"/>
    <x v="1"/>
  </r>
  <r>
    <x v="1"/>
    <n v="1197831"/>
    <x v="333"/>
    <x v="1"/>
    <s v="Arkansas"/>
    <s v="Little Rock"/>
    <x v="5"/>
    <n v="50"/>
    <n v="198"/>
    <n v="9900"/>
    <n v="4554"/>
    <n v="0.46"/>
    <x v="1"/>
  </r>
  <r>
    <x v="1"/>
    <n v="1197831"/>
    <x v="365"/>
    <x v="1"/>
    <s v="Arkansas"/>
    <s v="Little Rock"/>
    <x v="0"/>
    <n v="43"/>
    <n v="233"/>
    <n v="10019"/>
    <n v="4508.55"/>
    <n v="0.45"/>
    <x v="1"/>
  </r>
  <r>
    <x v="1"/>
    <n v="1197831"/>
    <x v="365"/>
    <x v="1"/>
    <s v="Arkansas"/>
    <s v="Little Rock"/>
    <x v="1"/>
    <n v="42"/>
    <n v="163"/>
    <n v="6846"/>
    <n v="2669.9399999999996"/>
    <n v="0.38999999999999996"/>
    <x v="1"/>
  </r>
  <r>
    <x v="1"/>
    <n v="1197831"/>
    <x v="365"/>
    <x v="1"/>
    <s v="Arkansas"/>
    <s v="Little Rock"/>
    <x v="2"/>
    <n v="40"/>
    <n v="135"/>
    <n v="5400"/>
    <n v="2376"/>
    <n v="0.44"/>
    <x v="1"/>
  </r>
  <r>
    <x v="1"/>
    <n v="1197831"/>
    <x v="365"/>
    <x v="1"/>
    <s v="Arkansas"/>
    <s v="Little Rock"/>
    <x v="3"/>
    <n v="29"/>
    <n v="132"/>
    <n v="3828"/>
    <n v="1722.6000000000001"/>
    <n v="0.45"/>
    <x v="1"/>
  </r>
  <r>
    <x v="1"/>
    <n v="1197831"/>
    <x v="365"/>
    <x v="1"/>
    <s v="Arkansas"/>
    <s v="Little Rock"/>
    <x v="4"/>
    <n v="40"/>
    <n v="113"/>
    <n v="4520"/>
    <n v="1672.4"/>
    <n v="0.37"/>
    <x v="1"/>
  </r>
  <r>
    <x v="1"/>
    <n v="1197831"/>
    <x v="365"/>
    <x v="1"/>
    <s v="Arkansas"/>
    <s v="Little Rock"/>
    <x v="5"/>
    <n v="40"/>
    <n v="193"/>
    <n v="7720"/>
    <n v="3628.4"/>
    <n v="0.47000000000000003"/>
    <x v="1"/>
  </r>
  <r>
    <x v="1"/>
    <n v="1197831"/>
    <x v="395"/>
    <x v="1"/>
    <s v="Arkansas"/>
    <s v="Little Rock"/>
    <x v="0"/>
    <n v="35"/>
    <n v="221"/>
    <n v="7735"/>
    <n v="3326.05"/>
    <n v="0.43000000000000005"/>
    <x v="1"/>
  </r>
  <r>
    <x v="1"/>
    <n v="1197831"/>
    <x v="395"/>
    <x v="1"/>
    <s v="Arkansas"/>
    <s v="Little Rock"/>
    <x v="1"/>
    <n v="26"/>
    <n v="135"/>
    <n v="3510"/>
    <n v="1439.1"/>
    <n v="0.41"/>
    <x v="1"/>
  </r>
  <r>
    <x v="1"/>
    <n v="1197831"/>
    <x v="395"/>
    <x v="1"/>
    <s v="Arkansas"/>
    <s v="Little Rock"/>
    <x v="2"/>
    <n v="11"/>
    <n v="123"/>
    <n v="1353"/>
    <n v="635.91000000000008"/>
    <n v="0.47000000000000003"/>
    <x v="1"/>
  </r>
  <r>
    <x v="1"/>
    <n v="1197831"/>
    <x v="395"/>
    <x v="1"/>
    <s v="Arkansas"/>
    <s v="Little Rock"/>
    <x v="3"/>
    <n v="12"/>
    <n v="104"/>
    <n v="1248"/>
    <n v="524.16000000000008"/>
    <n v="0.42000000000000004"/>
    <x v="1"/>
  </r>
  <r>
    <x v="1"/>
    <n v="1197831"/>
    <x v="395"/>
    <x v="1"/>
    <s v="Arkansas"/>
    <s v="Little Rock"/>
    <x v="4"/>
    <n v="18"/>
    <n v="111"/>
    <n v="1998"/>
    <n v="779.21999999999991"/>
    <n v="0.38999999999999996"/>
    <x v="1"/>
  </r>
  <r>
    <x v="1"/>
    <n v="1197831"/>
    <x v="395"/>
    <x v="1"/>
    <s v="Arkansas"/>
    <s v="Little Rock"/>
    <x v="5"/>
    <n v="22"/>
    <n v="140"/>
    <n v="3080"/>
    <n v="1293.6000000000001"/>
    <n v="0.42000000000000004"/>
    <x v="1"/>
  </r>
  <r>
    <x v="1"/>
    <n v="1197831"/>
    <x v="427"/>
    <x v="1"/>
    <s v="Arkansas"/>
    <s v="Little Rock"/>
    <x v="0"/>
    <n v="21"/>
    <n v="180"/>
    <n v="3780"/>
    <n v="1701"/>
    <n v="0.45"/>
    <x v="1"/>
  </r>
  <r>
    <x v="1"/>
    <n v="1197831"/>
    <x v="427"/>
    <x v="1"/>
    <s v="Arkansas"/>
    <s v="Little Rock"/>
    <x v="1"/>
    <n v="14"/>
    <n v="132"/>
    <n v="1848"/>
    <n v="739.19999999999993"/>
    <n v="0.39999999999999997"/>
    <x v="1"/>
  </r>
  <r>
    <x v="1"/>
    <n v="1197831"/>
    <x v="427"/>
    <x v="1"/>
    <s v="Arkansas"/>
    <s v="Little Rock"/>
    <x v="2"/>
    <n v="16"/>
    <n v="99"/>
    <n v="1584"/>
    <n v="728.64"/>
    <n v="0.46"/>
    <x v="1"/>
  </r>
  <r>
    <x v="1"/>
    <n v="1197831"/>
    <x v="427"/>
    <x v="1"/>
    <s v="Arkansas"/>
    <s v="Little Rock"/>
    <x v="3"/>
    <n v="15"/>
    <n v="94"/>
    <n v="1410"/>
    <n v="634.5"/>
    <n v="0.45"/>
    <x v="1"/>
  </r>
  <r>
    <x v="1"/>
    <n v="1197831"/>
    <x v="427"/>
    <x v="1"/>
    <s v="Arkansas"/>
    <s v="Little Rock"/>
    <x v="4"/>
    <n v="21"/>
    <n v="91"/>
    <n v="1911"/>
    <n v="707.06999999999994"/>
    <n v="0.37"/>
    <x v="1"/>
  </r>
  <r>
    <x v="3"/>
    <n v="1197831"/>
    <x v="427"/>
    <x v="1"/>
    <s v="Arkansas"/>
    <s v="Little Rock"/>
    <x v="5"/>
    <n v="20"/>
    <n v="132"/>
    <n v="2640"/>
    <n v="1188"/>
    <n v="0.45"/>
    <x v="1"/>
  </r>
  <r>
    <x v="3"/>
    <n v="1197831"/>
    <x v="457"/>
    <x v="1"/>
    <s v="Arkansas"/>
    <s v="Little Rock"/>
    <x v="0"/>
    <n v="18"/>
    <n v="176"/>
    <n v="3168"/>
    <n v="1457.28"/>
    <n v="0.46"/>
    <x v="1"/>
  </r>
  <r>
    <x v="3"/>
    <n v="1197831"/>
    <x v="457"/>
    <x v="1"/>
    <s v="Arkansas"/>
    <s v="Little Rock"/>
    <x v="1"/>
    <n v="11"/>
    <n v="116"/>
    <n v="1276"/>
    <n v="535.91999999999996"/>
    <n v="0.42"/>
    <x v="1"/>
  </r>
  <r>
    <x v="3"/>
    <n v="1197831"/>
    <x v="457"/>
    <x v="1"/>
    <s v="Arkansas"/>
    <s v="Little Rock"/>
    <x v="2"/>
    <n v="19"/>
    <n v="102"/>
    <n v="1938"/>
    <n v="833.34000000000015"/>
    <n v="0.43000000000000005"/>
    <x v="1"/>
  </r>
  <r>
    <x v="3"/>
    <n v="1197831"/>
    <x v="457"/>
    <x v="1"/>
    <s v="Arkansas"/>
    <s v="Little Rock"/>
    <x v="3"/>
    <n v="41"/>
    <n v="128"/>
    <n v="5248"/>
    <n v="2309.12"/>
    <n v="0.44"/>
    <x v="1"/>
  </r>
  <r>
    <x v="3"/>
    <n v="1197831"/>
    <x v="457"/>
    <x v="1"/>
    <s v="Arkansas"/>
    <s v="Little Rock"/>
    <x v="4"/>
    <n v="56"/>
    <n v="105"/>
    <n v="5880"/>
    <n v="2410.7999999999997"/>
    <n v="0.41"/>
    <x v="1"/>
  </r>
  <r>
    <x v="3"/>
    <n v="1197831"/>
    <x v="457"/>
    <x v="1"/>
    <s v="Arkansas"/>
    <s v="Little Rock"/>
    <x v="5"/>
    <n v="53"/>
    <n v="135"/>
    <n v="7155"/>
    <n v="3219.75"/>
    <n v="0.45"/>
    <x v="1"/>
  </r>
  <r>
    <x v="3"/>
    <n v="1197831"/>
    <x v="486"/>
    <x v="1"/>
    <s v="Arkansas"/>
    <s v="Little Rock"/>
    <x v="0"/>
    <n v="55"/>
    <n v="238"/>
    <n v="13090"/>
    <n v="6021.4000000000005"/>
    <n v="0.46"/>
    <x v="1"/>
  </r>
  <r>
    <x v="3"/>
    <n v="1197831"/>
    <x v="486"/>
    <x v="1"/>
    <s v="Arkansas"/>
    <s v="Little Rock"/>
    <x v="1"/>
    <n v="46"/>
    <n v="155"/>
    <n v="7130"/>
    <n v="2851.9999999999995"/>
    <n v="0.39999999999999997"/>
    <x v="1"/>
  </r>
  <r>
    <x v="3"/>
    <n v="1197831"/>
    <x v="486"/>
    <x v="1"/>
    <s v="Arkansas"/>
    <s v="Little Rock"/>
    <x v="2"/>
    <n v="43"/>
    <n v="149"/>
    <n v="6407"/>
    <n v="2819.08"/>
    <n v="0.44"/>
    <x v="1"/>
  </r>
  <r>
    <x v="3"/>
    <n v="1197831"/>
    <x v="486"/>
    <x v="1"/>
    <s v="Arkansas"/>
    <s v="Little Rock"/>
    <x v="3"/>
    <n v="40"/>
    <n v="124"/>
    <n v="4960"/>
    <n v="2281.6"/>
    <n v="0.46"/>
    <x v="1"/>
  </r>
  <r>
    <x v="3"/>
    <n v="1197831"/>
    <x v="486"/>
    <x v="1"/>
    <s v="Arkansas"/>
    <s v="Little Rock"/>
    <x v="4"/>
    <n v="50"/>
    <n v="132"/>
    <n v="6600"/>
    <n v="2640"/>
    <n v="0.39999999999999997"/>
    <x v="1"/>
  </r>
  <r>
    <x v="3"/>
    <n v="1197831"/>
    <x v="486"/>
    <x v="1"/>
    <s v="Arkansas"/>
    <s v="Little Rock"/>
    <x v="5"/>
    <n v="55"/>
    <n v="170"/>
    <n v="9350"/>
    <n v="4207.5"/>
    <n v="0.45"/>
    <x v="1"/>
  </r>
  <r>
    <x v="3"/>
    <n v="1197831"/>
    <x v="187"/>
    <x v="1"/>
    <s v="Arkansas"/>
    <s v="Little Rock"/>
    <x v="0"/>
    <n v="17"/>
    <n v="178"/>
    <n v="3026"/>
    <n v="1422.22"/>
    <n v="0.47000000000000003"/>
    <x v="1"/>
  </r>
  <r>
    <x v="3"/>
    <n v="1197831"/>
    <x v="187"/>
    <x v="1"/>
    <s v="Arkansas"/>
    <s v="Little Rock"/>
    <x v="1"/>
    <n v="18"/>
    <n v="124"/>
    <n v="2232"/>
    <n v="848.16"/>
    <n v="0.38"/>
    <x v="1"/>
  </r>
  <r>
    <x v="3"/>
    <n v="1197831"/>
    <x v="187"/>
    <x v="1"/>
    <s v="Arkansas"/>
    <s v="Little Rock"/>
    <x v="2"/>
    <n v="10"/>
    <n v="131"/>
    <n v="1310"/>
    <n v="563.30000000000007"/>
    <n v="0.43000000000000005"/>
    <x v="1"/>
  </r>
  <r>
    <x v="3"/>
    <n v="1197831"/>
    <x v="187"/>
    <x v="1"/>
    <s v="Arkansas"/>
    <s v="Little Rock"/>
    <x v="3"/>
    <n v="13"/>
    <n v="74"/>
    <n v="962"/>
    <n v="413.66"/>
    <n v="0.43000000000000005"/>
    <x v="1"/>
  </r>
  <r>
    <x v="3"/>
    <n v="1197831"/>
    <x v="187"/>
    <x v="1"/>
    <s v="Arkansas"/>
    <s v="Little Rock"/>
    <x v="4"/>
    <n v="23"/>
    <n v="91"/>
    <n v="2093"/>
    <n v="858.13"/>
    <n v="0.41"/>
    <x v="1"/>
  </r>
  <r>
    <x v="3"/>
    <n v="1197831"/>
    <x v="187"/>
    <x v="1"/>
    <s v="Arkansas"/>
    <s v="Little Rock"/>
    <x v="5"/>
    <n v="18"/>
    <n v="124"/>
    <n v="2232"/>
    <n v="1004.4"/>
    <n v="0.45"/>
    <x v="1"/>
  </r>
  <r>
    <x v="3"/>
    <n v="1197831"/>
    <x v="695"/>
    <x v="1"/>
    <s v="Arkansas"/>
    <s v="Little Rock"/>
    <x v="0"/>
    <n v="18"/>
    <n v="206"/>
    <n v="3708"/>
    <n v="1631.52"/>
    <n v="0.44"/>
    <x v="1"/>
  </r>
  <r>
    <x v="3"/>
    <n v="1197831"/>
    <x v="695"/>
    <x v="1"/>
    <s v="Arkansas"/>
    <s v="Little Rock"/>
    <x v="1"/>
    <n v="17"/>
    <n v="83"/>
    <n v="1411"/>
    <n v="550.29"/>
    <n v="0.38999999999999996"/>
    <x v="1"/>
  </r>
  <r>
    <x v="3"/>
    <n v="1197831"/>
    <x v="695"/>
    <x v="1"/>
    <s v="Arkansas"/>
    <s v="Little Rock"/>
    <x v="2"/>
    <n v="12"/>
    <n v="98"/>
    <n v="1176"/>
    <n v="552.72"/>
    <n v="0.47000000000000003"/>
    <x v="1"/>
  </r>
  <r>
    <x v="3"/>
    <n v="1197831"/>
    <x v="695"/>
    <x v="1"/>
    <s v="Oklahoma"/>
    <s v="Oklahoma City"/>
    <x v="3"/>
    <n v="15"/>
    <n v="58"/>
    <n v="870"/>
    <n v="400.20000000000005"/>
    <n v="0.46"/>
    <x v="1"/>
  </r>
  <r>
    <x v="3"/>
    <n v="1197831"/>
    <x v="695"/>
    <x v="1"/>
    <s v="Oklahoma"/>
    <s v="Oklahoma City"/>
    <x v="4"/>
    <n v="24"/>
    <n v="85"/>
    <n v="2040"/>
    <n v="815.99999999999989"/>
    <n v="0.39999999999999997"/>
    <x v="1"/>
  </r>
  <r>
    <x v="3"/>
    <n v="1197831"/>
    <x v="695"/>
    <x v="1"/>
    <s v="Oklahoma"/>
    <s v="Oklahoma City"/>
    <x v="5"/>
    <n v="14"/>
    <n v="112"/>
    <n v="1568"/>
    <n v="721.28000000000009"/>
    <n v="0.46"/>
    <x v="1"/>
  </r>
  <r>
    <x v="3"/>
    <n v="1197831"/>
    <x v="224"/>
    <x v="1"/>
    <s v="Oklahoma"/>
    <s v="Oklahoma City"/>
    <x v="0"/>
    <n v="14"/>
    <n v="182"/>
    <n v="2548"/>
    <n v="1172.0800000000002"/>
    <n v="0.46"/>
    <x v="1"/>
  </r>
  <r>
    <x v="3"/>
    <n v="1197831"/>
    <x v="224"/>
    <x v="1"/>
    <s v="Oklahoma"/>
    <s v="Oklahoma City"/>
    <x v="1"/>
    <n v="15"/>
    <n v="78"/>
    <n v="1170"/>
    <n v="479.7"/>
    <n v="0.41"/>
    <x v="1"/>
  </r>
  <r>
    <x v="3"/>
    <n v="1197831"/>
    <x v="224"/>
    <x v="1"/>
    <s v="Oklahoma"/>
    <s v="Oklahoma City"/>
    <x v="2"/>
    <n v="7"/>
    <n v="83"/>
    <n v="581"/>
    <n v="261.45"/>
    <n v="0.45"/>
    <x v="1"/>
  </r>
  <r>
    <x v="3"/>
    <n v="1197831"/>
    <x v="224"/>
    <x v="1"/>
    <s v="Oklahoma"/>
    <s v="Oklahoma City"/>
    <x v="3"/>
    <n v="16"/>
    <n v="39"/>
    <n v="624"/>
    <n v="293.28000000000003"/>
    <n v="0.47000000000000003"/>
    <x v="1"/>
  </r>
  <r>
    <x v="3"/>
    <n v="1197831"/>
    <x v="224"/>
    <x v="1"/>
    <s v="Oklahoma"/>
    <s v="Oklahoma City"/>
    <x v="4"/>
    <n v="26"/>
    <n v="61"/>
    <n v="1586"/>
    <n v="666.12"/>
    <n v="0.42"/>
    <x v="1"/>
  </r>
  <r>
    <x v="3"/>
    <n v="1197831"/>
    <x v="224"/>
    <x v="1"/>
    <s v="Oklahoma"/>
    <s v="Oklahoma City"/>
    <x v="5"/>
    <n v="18"/>
    <n v="88"/>
    <n v="1584"/>
    <n v="728.64"/>
    <n v="0.46"/>
    <x v="1"/>
  </r>
  <r>
    <x v="3"/>
    <n v="1197831"/>
    <x v="243"/>
    <x v="1"/>
    <s v="Oklahoma"/>
    <s v="Oklahoma City"/>
    <x v="0"/>
    <n v="20"/>
    <n v="184"/>
    <n v="3680"/>
    <n v="1692.8000000000002"/>
    <n v="0.46"/>
    <x v="1"/>
  </r>
  <r>
    <x v="3"/>
    <n v="1197831"/>
    <x v="243"/>
    <x v="1"/>
    <s v="Oklahoma"/>
    <s v="Oklahoma City"/>
    <x v="1"/>
    <n v="18"/>
    <n v="79"/>
    <n v="1422"/>
    <n v="554.57999999999993"/>
    <n v="0.38999999999999996"/>
    <x v="1"/>
  </r>
  <r>
    <x v="3"/>
    <n v="1197831"/>
    <x v="243"/>
    <x v="1"/>
    <s v="Oklahoma"/>
    <s v="Oklahoma City"/>
    <x v="2"/>
    <n v="10"/>
    <n v="70"/>
    <n v="700"/>
    <n v="322"/>
    <n v="0.46"/>
    <x v="1"/>
  </r>
  <r>
    <x v="3"/>
    <n v="1197831"/>
    <x v="243"/>
    <x v="1"/>
    <s v="Oklahoma"/>
    <s v="Oklahoma City"/>
    <x v="3"/>
    <n v="15"/>
    <n v="47"/>
    <n v="705"/>
    <n v="303.15000000000003"/>
    <n v="0.43000000000000005"/>
    <x v="1"/>
  </r>
  <r>
    <x v="3"/>
    <n v="1197831"/>
    <x v="243"/>
    <x v="1"/>
    <s v="Oklahoma"/>
    <s v="Oklahoma City"/>
    <x v="4"/>
    <n v="27"/>
    <n v="54"/>
    <n v="1458"/>
    <n v="568.61999999999989"/>
    <n v="0.38999999999999996"/>
    <x v="1"/>
  </r>
  <r>
    <x v="3"/>
    <n v="1197831"/>
    <x v="243"/>
    <x v="1"/>
    <s v="Oklahoma"/>
    <s v="Oklahoma City"/>
    <x v="5"/>
    <n v="22"/>
    <n v="111"/>
    <n v="2442"/>
    <n v="1050.0600000000002"/>
    <n v="0.43000000000000005"/>
    <x v="1"/>
  </r>
  <r>
    <x v="3"/>
    <n v="1197831"/>
    <x v="272"/>
    <x v="1"/>
    <s v="Oklahoma"/>
    <s v="Oklahoma City"/>
    <x v="0"/>
    <n v="28"/>
    <n v="179"/>
    <n v="5012"/>
    <n v="2155.1600000000003"/>
    <n v="0.43000000000000005"/>
    <x v="1"/>
  </r>
  <r>
    <x v="3"/>
    <n v="1197831"/>
    <x v="272"/>
    <x v="1"/>
    <s v="Oklahoma"/>
    <s v="Oklahoma City"/>
    <x v="1"/>
    <n v="29"/>
    <n v="93"/>
    <n v="2697"/>
    <n v="1024.8599999999999"/>
    <n v="0.38"/>
    <x v="1"/>
  </r>
  <r>
    <x v="3"/>
    <n v="1197831"/>
    <x v="272"/>
    <x v="1"/>
    <s v="Oklahoma"/>
    <s v="Oklahoma City"/>
    <x v="2"/>
    <n v="27"/>
    <n v="88"/>
    <n v="2376"/>
    <n v="997.92000000000007"/>
    <n v="0.42000000000000004"/>
    <x v="1"/>
  </r>
  <r>
    <x v="3"/>
    <n v="1197831"/>
    <x v="272"/>
    <x v="1"/>
    <s v="Oklahoma"/>
    <s v="Oklahoma City"/>
    <x v="3"/>
    <n v="26"/>
    <n v="74"/>
    <n v="1924"/>
    <n v="808.08"/>
    <n v="0.42000000000000004"/>
    <x v="1"/>
  </r>
  <r>
    <x v="3"/>
    <n v="1197831"/>
    <x v="272"/>
    <x v="1"/>
    <s v="Oklahoma"/>
    <s v="Oklahoma City"/>
    <x v="4"/>
    <n v="33"/>
    <n v="80"/>
    <n v="2640"/>
    <n v="1082.3999999999999"/>
    <n v="0.41"/>
    <x v="1"/>
  </r>
  <r>
    <x v="3"/>
    <n v="1197831"/>
    <x v="272"/>
    <x v="1"/>
    <s v="Oklahoma"/>
    <s v="Oklahoma City"/>
    <x v="5"/>
    <n v="33"/>
    <n v="116"/>
    <n v="3828"/>
    <n v="1722.6000000000001"/>
    <n v="0.45"/>
    <x v="1"/>
  </r>
  <r>
    <x v="3"/>
    <n v="1197831"/>
    <x v="305"/>
    <x v="1"/>
    <s v="Oklahoma"/>
    <s v="Oklahoma City"/>
    <x v="0"/>
    <n v="32"/>
    <n v="192"/>
    <n v="6144"/>
    <n v="2826.2400000000002"/>
    <n v="0.46"/>
    <x v="1"/>
  </r>
  <r>
    <x v="3"/>
    <n v="1197831"/>
    <x v="305"/>
    <x v="1"/>
    <s v="Oklahoma"/>
    <s v="Oklahoma City"/>
    <x v="1"/>
    <n v="25"/>
    <n v="123"/>
    <n v="3075"/>
    <n v="1199.2499999999998"/>
    <n v="0.38999999999999996"/>
    <x v="1"/>
  </r>
  <r>
    <x v="3"/>
    <n v="1197831"/>
    <x v="305"/>
    <x v="1"/>
    <s v="Oklahoma"/>
    <s v="Oklahoma City"/>
    <x v="2"/>
    <n v="27"/>
    <n v="107"/>
    <n v="2889"/>
    <n v="1242.2700000000002"/>
    <n v="0.43000000000000005"/>
    <x v="1"/>
  </r>
  <r>
    <x v="3"/>
    <n v="1197831"/>
    <x v="305"/>
    <x v="1"/>
    <s v="Oklahoma"/>
    <s v="Oklahoma City"/>
    <x v="3"/>
    <n v="29"/>
    <n v="102"/>
    <n v="2958"/>
    <n v="1331.1000000000001"/>
    <n v="0.45"/>
    <x v="1"/>
  </r>
  <r>
    <x v="3"/>
    <n v="1197831"/>
    <x v="305"/>
    <x v="1"/>
    <s v="Oklahoma"/>
    <s v="Oklahoma City"/>
    <x v="4"/>
    <n v="41"/>
    <n v="105"/>
    <n v="4305"/>
    <n v="1635.9"/>
    <n v="0.38"/>
    <x v="1"/>
  </r>
  <r>
    <x v="3"/>
    <n v="1197831"/>
    <x v="305"/>
    <x v="1"/>
    <s v="Oklahoma"/>
    <s v="Oklahoma City"/>
    <x v="5"/>
    <n v="40"/>
    <n v="143"/>
    <n v="5720"/>
    <n v="2402.4"/>
    <n v="0.42000000000000004"/>
    <x v="1"/>
  </r>
  <r>
    <x v="3"/>
    <n v="1197831"/>
    <x v="333"/>
    <x v="1"/>
    <s v="Oklahoma"/>
    <s v="Oklahoma City"/>
    <x v="0"/>
    <n v="43"/>
    <n v="238"/>
    <n v="10234"/>
    <n v="4298.2800000000007"/>
    <n v="0.42000000000000004"/>
    <x v="1"/>
  </r>
  <r>
    <x v="3"/>
    <n v="1197831"/>
    <x v="333"/>
    <x v="1"/>
    <s v="Oklahoma"/>
    <s v="Oklahoma City"/>
    <x v="1"/>
    <n v="35"/>
    <n v="135"/>
    <n v="4725"/>
    <n v="1795.5"/>
    <n v="0.38"/>
    <x v="1"/>
  </r>
  <r>
    <x v="3"/>
    <n v="1197831"/>
    <x v="333"/>
    <x v="1"/>
    <s v="Oklahoma"/>
    <s v="Oklahoma City"/>
    <x v="2"/>
    <n v="33"/>
    <n v="131"/>
    <n v="4323"/>
    <n v="1858.89"/>
    <n v="0.43000000000000005"/>
    <x v="1"/>
  </r>
  <r>
    <x v="3"/>
    <n v="1197831"/>
    <x v="333"/>
    <x v="1"/>
    <s v="Oklahoma"/>
    <s v="Oklahoma City"/>
    <x v="3"/>
    <n v="36"/>
    <n v="107"/>
    <n v="3852"/>
    <n v="1771.92"/>
    <n v="0.46"/>
    <x v="1"/>
  </r>
  <r>
    <x v="3"/>
    <n v="1197831"/>
    <x v="333"/>
    <x v="1"/>
    <s v="Oklahoma"/>
    <s v="Oklahoma City"/>
    <x v="4"/>
    <n v="43"/>
    <n v="116"/>
    <n v="4988"/>
    <n v="2045.08"/>
    <n v="0.41"/>
    <x v="1"/>
  </r>
  <r>
    <x v="3"/>
    <n v="1197831"/>
    <x v="333"/>
    <x v="1"/>
    <s v="Oklahoma"/>
    <s v="Oklahoma City"/>
    <x v="5"/>
    <n v="45"/>
    <n v="163"/>
    <n v="7335"/>
    <n v="3447.4500000000003"/>
    <n v="0.47000000000000003"/>
    <x v="1"/>
  </r>
  <r>
    <x v="3"/>
    <n v="1197831"/>
    <x v="365"/>
    <x v="1"/>
    <s v="Oklahoma"/>
    <s v="Oklahoma City"/>
    <x v="0"/>
    <n v="41"/>
    <n v="230"/>
    <n v="9430"/>
    <n v="3960.6000000000004"/>
    <n v="0.42000000000000004"/>
    <x v="1"/>
  </r>
  <r>
    <x v="3"/>
    <n v="1197831"/>
    <x v="365"/>
    <x v="1"/>
    <s v="Oklahoma"/>
    <s v="Oklahoma City"/>
    <x v="1"/>
    <n v="37"/>
    <n v="140"/>
    <n v="5180"/>
    <n v="2175.6"/>
    <n v="0.42"/>
    <x v="1"/>
  </r>
  <r>
    <x v="3"/>
    <n v="1197831"/>
    <x v="365"/>
    <x v="1"/>
    <s v="Oklahoma"/>
    <s v="Oklahoma City"/>
    <x v="2"/>
    <n v="38"/>
    <n v="113"/>
    <n v="4294"/>
    <n v="2018.18"/>
    <n v="0.47000000000000003"/>
    <x v="1"/>
  </r>
  <r>
    <x v="3"/>
    <n v="1197831"/>
    <x v="365"/>
    <x v="1"/>
    <s v="Oklahoma"/>
    <s v="Oklahoma City"/>
    <x v="3"/>
    <n v="32"/>
    <n v="111"/>
    <n v="3552"/>
    <n v="1491.8400000000001"/>
    <n v="0.42000000000000004"/>
    <x v="1"/>
  </r>
  <r>
    <x v="3"/>
    <n v="1197831"/>
    <x v="365"/>
    <x v="1"/>
    <s v="Oklahoma"/>
    <s v="Oklahoma City"/>
    <x v="4"/>
    <n v="40"/>
    <n v="105"/>
    <n v="4200"/>
    <n v="1554"/>
    <n v="0.37"/>
    <x v="1"/>
  </r>
  <r>
    <x v="3"/>
    <n v="1197831"/>
    <x v="365"/>
    <x v="1"/>
    <s v="Oklahoma"/>
    <s v="Oklahoma City"/>
    <x v="5"/>
    <n v="40"/>
    <n v="166"/>
    <n v="6640"/>
    <n v="3120.8"/>
    <n v="0.47000000000000003"/>
    <x v="1"/>
  </r>
  <r>
    <x v="3"/>
    <n v="1197831"/>
    <x v="395"/>
    <x v="1"/>
    <s v="Oklahoma"/>
    <s v="Oklahoma City"/>
    <x v="0"/>
    <n v="35"/>
    <n v="196"/>
    <n v="6860"/>
    <n v="3155.6000000000004"/>
    <n v="0.46"/>
    <x v="1"/>
  </r>
  <r>
    <x v="3"/>
    <n v="1197831"/>
    <x v="395"/>
    <x v="1"/>
    <s v="Oklahoma"/>
    <s v="Oklahoma City"/>
    <x v="1"/>
    <n v="28"/>
    <n v="128"/>
    <n v="3584"/>
    <n v="1469.4399999999998"/>
    <n v="0.41"/>
    <x v="1"/>
  </r>
  <r>
    <x v="3"/>
    <n v="1197831"/>
    <x v="395"/>
    <x v="1"/>
    <s v="Oklahoma"/>
    <s v="Oklahoma City"/>
    <x v="2"/>
    <n v="12"/>
    <n v="91"/>
    <n v="1092"/>
    <n v="458.64000000000004"/>
    <n v="0.42000000000000004"/>
    <x v="1"/>
  </r>
  <r>
    <x v="3"/>
    <n v="1197831"/>
    <x v="395"/>
    <x v="1"/>
    <s v="Oklahoma"/>
    <s v="Oklahoma City"/>
    <x v="3"/>
    <n v="12"/>
    <n v="83"/>
    <n v="996"/>
    <n v="418.32000000000005"/>
    <n v="0.42000000000000004"/>
    <x v="1"/>
  </r>
  <r>
    <x v="3"/>
    <n v="1197831"/>
    <x v="395"/>
    <x v="1"/>
    <s v="Oklahoma"/>
    <s v="Oklahoma City"/>
    <x v="4"/>
    <n v="20"/>
    <n v="78"/>
    <n v="1560"/>
    <n v="592.79999999999995"/>
    <n v="0.38"/>
    <x v="1"/>
  </r>
  <r>
    <x v="3"/>
    <n v="1197831"/>
    <x v="395"/>
    <x v="1"/>
    <s v="Oklahoma"/>
    <s v="Oklahoma City"/>
    <x v="5"/>
    <n v="23"/>
    <n v="119"/>
    <n v="2737"/>
    <n v="1286.3900000000001"/>
    <n v="0.47000000000000003"/>
    <x v="1"/>
  </r>
  <r>
    <x v="3"/>
    <n v="1197831"/>
    <x v="427"/>
    <x v="1"/>
    <s v="Oklahoma"/>
    <s v="Oklahoma City"/>
    <x v="0"/>
    <n v="20"/>
    <n v="173"/>
    <n v="3460"/>
    <n v="1626.2"/>
    <n v="0.47000000000000003"/>
    <x v="1"/>
  </r>
  <r>
    <x v="3"/>
    <n v="1197831"/>
    <x v="427"/>
    <x v="1"/>
    <s v="Oklahoma"/>
    <s v="Oklahoma City"/>
    <x v="1"/>
    <n v="14"/>
    <n v="112"/>
    <n v="1568"/>
    <n v="658.56"/>
    <n v="0.42"/>
    <x v="1"/>
  </r>
  <r>
    <x v="3"/>
    <n v="1197831"/>
    <x v="427"/>
    <x v="1"/>
    <s v="Oklahoma"/>
    <s v="Oklahoma City"/>
    <x v="2"/>
    <n v="14"/>
    <n v="74"/>
    <n v="1036"/>
    <n v="435.12000000000006"/>
    <n v="0.42000000000000004"/>
    <x v="1"/>
  </r>
  <r>
    <x v="3"/>
    <n v="1197831"/>
    <x v="427"/>
    <x v="1"/>
    <s v="Oklahoma"/>
    <s v="Oklahoma City"/>
    <x v="3"/>
    <n v="15"/>
    <n v="62"/>
    <n v="930"/>
    <n v="390.6"/>
    <n v="0.42000000000000004"/>
    <x v="1"/>
  </r>
  <r>
    <x v="3"/>
    <n v="1197831"/>
    <x v="427"/>
    <x v="1"/>
    <s v="Oklahoma"/>
    <s v="Oklahoma City"/>
    <x v="4"/>
    <n v="22"/>
    <n v="68"/>
    <n v="1496"/>
    <n v="568.48"/>
    <n v="0.38"/>
    <x v="1"/>
  </r>
  <r>
    <x v="4"/>
    <n v="1197831"/>
    <x v="427"/>
    <x v="1"/>
    <s v="Oklahoma"/>
    <s v="Oklahoma City"/>
    <x v="5"/>
    <n v="22"/>
    <n v="101"/>
    <n v="2222"/>
    <n v="1044.3400000000001"/>
    <n v="0.47000000000000003"/>
    <x v="1"/>
  </r>
  <r>
    <x v="4"/>
    <n v="1197831"/>
    <x v="457"/>
    <x v="1"/>
    <s v="Oklahoma"/>
    <s v="Oklahoma City"/>
    <x v="0"/>
    <n v="16"/>
    <n v="166"/>
    <n v="2656"/>
    <n v="1168.6400000000001"/>
    <n v="0.44"/>
    <x v="1"/>
  </r>
  <r>
    <x v="4"/>
    <n v="1197831"/>
    <x v="457"/>
    <x v="1"/>
    <s v="Oklahoma"/>
    <s v="Oklahoma City"/>
    <x v="1"/>
    <n v="11"/>
    <n v="96"/>
    <n v="1056"/>
    <n v="401.28000000000003"/>
    <n v="0.38"/>
    <x v="1"/>
  </r>
  <r>
    <x v="4"/>
    <n v="1197831"/>
    <x v="457"/>
    <x v="1"/>
    <s v="Oklahoma"/>
    <s v="Oklahoma City"/>
    <x v="2"/>
    <n v="19"/>
    <n v="81"/>
    <n v="1539"/>
    <n v="661.7700000000001"/>
    <n v="0.43000000000000005"/>
    <x v="1"/>
  </r>
  <r>
    <x v="4"/>
    <n v="1197831"/>
    <x v="457"/>
    <x v="1"/>
    <s v="Oklahoma"/>
    <s v="Oklahoma City"/>
    <x v="3"/>
    <n v="37"/>
    <n v="90"/>
    <n v="3330"/>
    <n v="1565.1000000000001"/>
    <n v="0.47000000000000003"/>
    <x v="1"/>
  </r>
  <r>
    <x v="4"/>
    <n v="1197831"/>
    <x v="457"/>
    <x v="1"/>
    <s v="Oklahoma"/>
    <s v="Oklahoma City"/>
    <x v="4"/>
    <n v="60"/>
    <n v="85"/>
    <n v="5100"/>
    <n v="2039.9999999999998"/>
    <n v="0.39999999999999997"/>
    <x v="1"/>
  </r>
  <r>
    <x v="4"/>
    <n v="1197831"/>
    <x v="457"/>
    <x v="1"/>
    <s v="Oklahoma"/>
    <s v="Oklahoma City"/>
    <x v="5"/>
    <n v="60"/>
    <n v="128"/>
    <n v="7680"/>
    <n v="3302.4000000000005"/>
    <n v="0.43000000000000005"/>
    <x v="1"/>
  </r>
  <r>
    <x v="4"/>
    <n v="1197831"/>
    <x v="486"/>
    <x v="1"/>
    <s v="Oklahoma"/>
    <s v="Oklahoma City"/>
    <x v="0"/>
    <n v="55"/>
    <n v="200"/>
    <n v="11000"/>
    <n v="4620"/>
    <n v="0.42000000000000004"/>
    <x v="1"/>
  </r>
  <r>
    <x v="4"/>
    <n v="1197831"/>
    <x v="486"/>
    <x v="1"/>
    <s v="Oklahoma"/>
    <s v="Oklahoma City"/>
    <x v="1"/>
    <n v="47"/>
    <n v="149"/>
    <n v="7003"/>
    <n v="2661.14"/>
    <n v="0.38"/>
    <x v="1"/>
  </r>
  <r>
    <x v="4"/>
    <n v="1197831"/>
    <x v="486"/>
    <x v="1"/>
    <s v="Oklahoma"/>
    <s v="Oklahoma City"/>
    <x v="2"/>
    <n v="44"/>
    <n v="131"/>
    <n v="5764"/>
    <n v="2593.8000000000002"/>
    <n v="0.45"/>
    <x v="1"/>
  </r>
  <r>
    <x v="4"/>
    <n v="1197831"/>
    <x v="486"/>
    <x v="1"/>
    <s v="Oklahoma"/>
    <s v="Oklahoma City"/>
    <x v="3"/>
    <n v="45"/>
    <n v="114"/>
    <n v="5130"/>
    <n v="2308.5"/>
    <n v="0.45"/>
    <x v="1"/>
  </r>
  <r>
    <x v="4"/>
    <n v="1197831"/>
    <x v="486"/>
    <x v="1"/>
    <s v="Oklahoma"/>
    <s v="Oklahoma City"/>
    <x v="4"/>
    <n v="55"/>
    <n v="98"/>
    <n v="5390"/>
    <n v="2156"/>
    <n v="0.39999999999999997"/>
    <x v="1"/>
  </r>
  <r>
    <x v="4"/>
    <n v="1197831"/>
    <x v="486"/>
    <x v="1"/>
    <s v="Oklahoma"/>
    <s v="Oklahoma City"/>
    <x v="5"/>
    <n v="51"/>
    <n v="128"/>
    <n v="6528"/>
    <n v="2807.0400000000004"/>
    <n v="0.43000000000000005"/>
    <x v="1"/>
  </r>
  <r>
    <x v="4"/>
    <n v="1197831"/>
    <x v="180"/>
    <x v="1"/>
    <s v="Oklahoma"/>
    <s v="Oklahoma City"/>
    <x v="0"/>
    <n v="17"/>
    <n v="176"/>
    <n v="2992"/>
    <n v="1136.96"/>
    <n v="0.38"/>
    <x v="1"/>
  </r>
  <r>
    <x v="4"/>
    <n v="1197831"/>
    <x v="180"/>
    <x v="1"/>
    <s v="Oklahoma"/>
    <s v="Oklahoma City"/>
    <x v="1"/>
    <n v="16"/>
    <n v="105"/>
    <n v="1680"/>
    <n v="638.4"/>
    <n v="0.38"/>
    <x v="1"/>
  </r>
  <r>
    <x v="4"/>
    <n v="1197831"/>
    <x v="180"/>
    <x v="1"/>
    <s v="Oklahoma"/>
    <s v="Oklahoma City"/>
    <x v="2"/>
    <n v="12"/>
    <n v="116"/>
    <n v="1392"/>
    <n v="556.79999999999995"/>
    <n v="0.39999999999999997"/>
    <x v="1"/>
  </r>
  <r>
    <x v="4"/>
    <n v="1197831"/>
    <x v="180"/>
    <x v="1"/>
    <s v="Oklahoma"/>
    <s v="Oklahoma City"/>
    <x v="3"/>
    <n v="16"/>
    <n v="70"/>
    <n v="1120"/>
    <n v="447.99999999999994"/>
    <n v="0.39999999999999997"/>
    <x v="1"/>
  </r>
  <r>
    <x v="4"/>
    <n v="1197831"/>
    <x v="180"/>
    <x v="1"/>
    <s v="Oklahoma"/>
    <s v="Oklahoma City"/>
    <x v="4"/>
    <n v="28"/>
    <n v="88"/>
    <n v="2464"/>
    <n v="1010.2399999999999"/>
    <n v="0.41"/>
    <x v="1"/>
  </r>
  <r>
    <x v="4"/>
    <n v="1197831"/>
    <x v="180"/>
    <x v="1"/>
    <s v="Oklahoma"/>
    <s v="Oklahoma City"/>
    <x v="5"/>
    <n v="17"/>
    <n v="119"/>
    <n v="2023"/>
    <n v="748.51"/>
    <n v="0.37"/>
    <x v="1"/>
  </r>
  <r>
    <x v="4"/>
    <n v="1197831"/>
    <x v="209"/>
    <x v="1"/>
    <s v="Oklahoma"/>
    <s v="Oklahoma City"/>
    <x v="0"/>
    <n v="18"/>
    <n v="204"/>
    <n v="3672"/>
    <n v="1468.8"/>
    <n v="0.39999999999999997"/>
    <x v="1"/>
  </r>
  <r>
    <x v="4"/>
    <n v="1197831"/>
    <x v="209"/>
    <x v="1"/>
    <s v="Oklahoma"/>
    <s v="Oklahoma City"/>
    <x v="1"/>
    <n v="17"/>
    <n v="75"/>
    <n v="1275"/>
    <n v="522.75"/>
    <n v="0.41"/>
    <x v="1"/>
  </r>
  <r>
    <x v="4"/>
    <n v="1197831"/>
    <x v="209"/>
    <x v="1"/>
    <s v="Oklahoma"/>
    <s v="Oklahoma City"/>
    <x v="2"/>
    <n v="11"/>
    <n v="90"/>
    <n v="990"/>
    <n v="386.09999999999997"/>
    <n v="0.38999999999999996"/>
    <x v="1"/>
  </r>
  <r>
    <x v="2"/>
    <n v="1185732"/>
    <x v="200"/>
    <x v="0"/>
    <s v="Connecticut"/>
    <s v="Hartford"/>
    <x v="3"/>
    <n v="24"/>
    <n v="39"/>
    <n v="936"/>
    <n v="308.87999999999994"/>
    <n v="0.32999999999999996"/>
    <x v="1"/>
  </r>
  <r>
    <x v="2"/>
    <n v="1185732"/>
    <x v="200"/>
    <x v="0"/>
    <s v="Connecticut"/>
    <s v="Hartford"/>
    <x v="4"/>
    <n v="39"/>
    <n v="66"/>
    <n v="2574"/>
    <n v="952.38"/>
    <n v="0.37"/>
    <x v="1"/>
  </r>
  <r>
    <x v="2"/>
    <n v="1185732"/>
    <x v="200"/>
    <x v="0"/>
    <s v="Connecticut"/>
    <s v="Hartford"/>
    <x v="5"/>
    <n v="32"/>
    <n v="96"/>
    <n v="3072"/>
    <n v="1198.08"/>
    <n v="0.38999999999999996"/>
    <x v="1"/>
  </r>
  <r>
    <x v="2"/>
    <n v="1185732"/>
    <x v="705"/>
    <x v="0"/>
    <s v="Connecticut"/>
    <s v="Hartford"/>
    <x v="0"/>
    <n v="26"/>
    <n v="182"/>
    <n v="4732"/>
    <n v="2034.7600000000002"/>
    <n v="0.43000000000000005"/>
    <x v="1"/>
  </r>
  <r>
    <x v="2"/>
    <n v="1185732"/>
    <x v="705"/>
    <x v="0"/>
    <s v="Connecticut"/>
    <s v="Hartford"/>
    <x v="1"/>
    <n v="32"/>
    <n v="68"/>
    <n v="2176"/>
    <n v="979.2"/>
    <n v="0.45"/>
    <x v="1"/>
  </r>
  <r>
    <x v="2"/>
    <n v="1185732"/>
    <x v="705"/>
    <x v="0"/>
    <s v="Connecticut"/>
    <s v="Hartford"/>
    <x v="2"/>
    <n v="23"/>
    <n v="75"/>
    <n v="1725"/>
    <n v="552"/>
    <n v="0.32"/>
    <x v="1"/>
  </r>
  <r>
    <x v="2"/>
    <n v="1185732"/>
    <x v="705"/>
    <x v="0"/>
    <s v="Connecticut"/>
    <s v="Hartford"/>
    <x v="3"/>
    <n v="27"/>
    <n v="34"/>
    <n v="918"/>
    <n v="293.76"/>
    <n v="0.32"/>
    <x v="1"/>
  </r>
  <r>
    <x v="2"/>
    <n v="1185732"/>
    <x v="705"/>
    <x v="0"/>
    <s v="Connecticut"/>
    <s v="Hartford"/>
    <x v="4"/>
    <n v="39"/>
    <n v="53"/>
    <n v="2067"/>
    <n v="702.78"/>
    <n v="0.33999999999999997"/>
    <x v="1"/>
  </r>
  <r>
    <x v="2"/>
    <n v="1185732"/>
    <x v="705"/>
    <x v="0"/>
    <s v="Connecticut"/>
    <s v="Hartford"/>
    <x v="5"/>
    <n v="29"/>
    <n v="85"/>
    <n v="2465"/>
    <n v="961.34999999999991"/>
    <n v="0.38999999999999996"/>
    <x v="1"/>
  </r>
  <r>
    <x v="2"/>
    <n v="1185732"/>
    <x v="722"/>
    <x v="0"/>
    <s v="Connecticut"/>
    <s v="Hartford"/>
    <x v="0"/>
    <n v="28"/>
    <n v="155"/>
    <n v="4340"/>
    <n v="1996.4"/>
    <n v="0.46"/>
    <x v="1"/>
  </r>
  <r>
    <x v="2"/>
    <n v="1185732"/>
    <x v="722"/>
    <x v="0"/>
    <s v="Connecticut"/>
    <s v="Hartford"/>
    <x v="1"/>
    <n v="30"/>
    <n v="64"/>
    <n v="1920"/>
    <n v="844.8"/>
    <n v="0.44"/>
    <x v="1"/>
  </r>
  <r>
    <x v="2"/>
    <n v="1185732"/>
    <x v="722"/>
    <x v="0"/>
    <s v="Connecticut"/>
    <s v="Hartford"/>
    <x v="2"/>
    <n v="20"/>
    <n v="64"/>
    <n v="1280"/>
    <n v="460.79999999999995"/>
    <n v="0.36"/>
    <x v="1"/>
  </r>
  <r>
    <x v="2"/>
    <n v="1185732"/>
    <x v="722"/>
    <x v="0"/>
    <s v="Connecticut"/>
    <s v="Hartford"/>
    <x v="3"/>
    <n v="26"/>
    <n v="41"/>
    <n v="1066"/>
    <n v="341.12"/>
    <n v="0.32"/>
    <x v="1"/>
  </r>
  <r>
    <x v="2"/>
    <n v="1185732"/>
    <x v="722"/>
    <x v="0"/>
    <s v="Connecticut"/>
    <s v="Hartford"/>
    <x v="4"/>
    <n v="37"/>
    <n v="40"/>
    <n v="1480"/>
    <n v="503.19999999999993"/>
    <n v="0.33999999999999997"/>
    <x v="1"/>
  </r>
  <r>
    <x v="2"/>
    <n v="1185732"/>
    <x v="722"/>
    <x v="0"/>
    <s v="Connecticut"/>
    <s v="Hartford"/>
    <x v="5"/>
    <n v="26"/>
    <n v="94"/>
    <n v="2444"/>
    <n v="1026.48"/>
    <n v="0.42"/>
    <x v="1"/>
  </r>
  <r>
    <x v="2"/>
    <n v="1185732"/>
    <x v="256"/>
    <x v="0"/>
    <s v="Connecticut"/>
    <s v="Hartford"/>
    <x v="0"/>
    <n v="40"/>
    <n v="191"/>
    <n v="7640"/>
    <n v="3361.6"/>
    <n v="0.44"/>
    <x v="1"/>
  </r>
  <r>
    <x v="2"/>
    <n v="1185732"/>
    <x v="256"/>
    <x v="0"/>
    <s v="Connecticut"/>
    <s v="Hartford"/>
    <x v="1"/>
    <n v="35"/>
    <n v="83"/>
    <n v="2905"/>
    <n v="1278.2"/>
    <n v="0.44"/>
    <x v="1"/>
  </r>
  <r>
    <x v="2"/>
    <n v="1185732"/>
    <x v="256"/>
    <x v="0"/>
    <s v="Connecticut"/>
    <s v="Hartford"/>
    <x v="2"/>
    <n v="32"/>
    <n v="83"/>
    <n v="2656"/>
    <n v="903.04"/>
    <n v="0.33999999999999997"/>
    <x v="1"/>
  </r>
  <r>
    <x v="2"/>
    <n v="1185732"/>
    <x v="256"/>
    <x v="0"/>
    <s v="Connecticut"/>
    <s v="Hartford"/>
    <x v="3"/>
    <n v="32"/>
    <n v="74"/>
    <n v="2368"/>
    <n v="781.43999999999994"/>
    <n v="0.32999999999999996"/>
    <x v="1"/>
  </r>
  <r>
    <x v="2"/>
    <n v="1185732"/>
    <x v="256"/>
    <x v="0"/>
    <s v="Connecticut"/>
    <s v="Hartford"/>
    <x v="4"/>
    <n v="37"/>
    <n v="83"/>
    <n v="3071"/>
    <n v="1074.8499999999999"/>
    <n v="0.35"/>
    <x v="1"/>
  </r>
  <r>
    <x v="2"/>
    <n v="1185732"/>
    <x v="256"/>
    <x v="0"/>
    <s v="Connecticut"/>
    <s v="Hartford"/>
    <x v="5"/>
    <n v="41"/>
    <n v="128"/>
    <n v="5248"/>
    <n v="2204.16"/>
    <n v="0.42"/>
    <x v="1"/>
  </r>
  <r>
    <x v="2"/>
    <n v="1185732"/>
    <x v="289"/>
    <x v="0"/>
    <s v="Connecticut"/>
    <s v="Hartford"/>
    <x v="0"/>
    <n v="40"/>
    <n v="206"/>
    <n v="8240"/>
    <n v="3872.8"/>
    <n v="0.47000000000000003"/>
    <x v="1"/>
  </r>
  <r>
    <x v="2"/>
    <n v="1185732"/>
    <x v="289"/>
    <x v="0"/>
    <s v="Connecticut"/>
    <s v="Hartford"/>
    <x v="1"/>
    <n v="38"/>
    <n v="124"/>
    <n v="4712"/>
    <n v="2214.6400000000003"/>
    <n v="0.47000000000000003"/>
    <x v="1"/>
  </r>
  <r>
    <x v="2"/>
    <n v="1185732"/>
    <x v="289"/>
    <x v="0"/>
    <s v="Connecticut"/>
    <s v="Hartford"/>
    <x v="2"/>
    <n v="35"/>
    <n v="96"/>
    <n v="3360"/>
    <n v="1108.8"/>
    <n v="0.32999999999999996"/>
    <x v="1"/>
  </r>
  <r>
    <x v="2"/>
    <n v="1185732"/>
    <x v="289"/>
    <x v="0"/>
    <s v="Connecticut"/>
    <s v="Hartford"/>
    <x v="3"/>
    <n v="35"/>
    <n v="85"/>
    <n v="2975"/>
    <n v="1041.25"/>
    <n v="0.35"/>
    <x v="1"/>
  </r>
  <r>
    <x v="2"/>
    <n v="1185732"/>
    <x v="289"/>
    <x v="0"/>
    <s v="Connecticut"/>
    <s v="Hartford"/>
    <x v="4"/>
    <n v="36"/>
    <n v="91"/>
    <n v="3276"/>
    <n v="1048.32"/>
    <n v="0.32"/>
    <x v="1"/>
  </r>
  <r>
    <x v="2"/>
    <n v="1185732"/>
    <x v="289"/>
    <x v="0"/>
    <s v="Connecticut"/>
    <s v="Hartford"/>
    <x v="5"/>
    <n v="39"/>
    <n v="128"/>
    <n v="4992"/>
    <n v="1946.8799999999999"/>
    <n v="0.38999999999999996"/>
    <x v="1"/>
  </r>
  <r>
    <x v="2"/>
    <n v="1185732"/>
    <x v="317"/>
    <x v="0"/>
    <s v="Connecticut"/>
    <s v="Hartford"/>
    <x v="0"/>
    <n v="42"/>
    <n v="195"/>
    <n v="8190"/>
    <n v="3685.5"/>
    <n v="0.45"/>
    <x v="1"/>
  </r>
  <r>
    <x v="2"/>
    <n v="1185732"/>
    <x v="317"/>
    <x v="0"/>
    <s v="Connecticut"/>
    <s v="Hartford"/>
    <x v="1"/>
    <n v="38"/>
    <n v="120"/>
    <n v="4560"/>
    <n v="1915.2000000000003"/>
    <n v="0.42000000000000004"/>
    <x v="1"/>
  </r>
  <r>
    <x v="2"/>
    <n v="1185732"/>
    <x v="317"/>
    <x v="0"/>
    <s v="Connecticut"/>
    <s v="Hartford"/>
    <x v="2"/>
    <n v="29"/>
    <n v="111"/>
    <n v="3219"/>
    <n v="1094.4599999999998"/>
    <n v="0.33999999999999997"/>
    <x v="1"/>
  </r>
  <r>
    <x v="2"/>
    <n v="1185732"/>
    <x v="317"/>
    <x v="0"/>
    <s v="Connecticut"/>
    <s v="Hartford"/>
    <x v="3"/>
    <n v="34"/>
    <n v="94"/>
    <n v="3196"/>
    <n v="1150.56"/>
    <n v="0.36"/>
    <x v="1"/>
  </r>
  <r>
    <x v="2"/>
    <n v="1185732"/>
    <x v="317"/>
    <x v="0"/>
    <s v="Connecticut"/>
    <s v="Hartford"/>
    <x v="4"/>
    <n v="43"/>
    <n v="93"/>
    <n v="3999"/>
    <n v="1319.6699999999998"/>
    <n v="0.32999999999999996"/>
    <x v="1"/>
  </r>
  <r>
    <x v="2"/>
    <n v="1185732"/>
    <x v="317"/>
    <x v="0"/>
    <s v="Connecticut"/>
    <s v="Hartford"/>
    <x v="5"/>
    <n v="40"/>
    <n v="152"/>
    <n v="6080"/>
    <n v="2310.4"/>
    <n v="0.38"/>
    <x v="1"/>
  </r>
  <r>
    <x v="2"/>
    <n v="1185732"/>
    <x v="349"/>
    <x v="0"/>
    <s v="Connecticut"/>
    <s v="Hartford"/>
    <x v="0"/>
    <n v="40"/>
    <n v="194"/>
    <n v="7760"/>
    <n v="3259.2000000000003"/>
    <n v="0.42000000000000004"/>
    <x v="1"/>
  </r>
  <r>
    <x v="2"/>
    <n v="1185732"/>
    <x v="349"/>
    <x v="0"/>
    <s v="Connecticut"/>
    <s v="Hartford"/>
    <x v="1"/>
    <n v="34"/>
    <n v="128"/>
    <n v="4352"/>
    <n v="1871.3600000000001"/>
    <n v="0.43000000000000005"/>
    <x v="1"/>
  </r>
  <r>
    <x v="2"/>
    <n v="1185732"/>
    <x v="349"/>
    <x v="0"/>
    <s v="Connecticut"/>
    <s v="Hartford"/>
    <x v="2"/>
    <n v="36"/>
    <n v="107"/>
    <n v="3852"/>
    <n v="1348.1999999999998"/>
    <n v="0.35"/>
    <x v="1"/>
  </r>
  <r>
    <x v="2"/>
    <n v="1185732"/>
    <x v="349"/>
    <x v="0"/>
    <s v="Connecticut"/>
    <s v="Hartford"/>
    <x v="3"/>
    <n v="32"/>
    <n v="72"/>
    <n v="2304"/>
    <n v="760.31999999999994"/>
    <n v="0.32999999999999996"/>
    <x v="1"/>
  </r>
  <r>
    <x v="2"/>
    <n v="1185732"/>
    <x v="349"/>
    <x v="0"/>
    <s v="Connecticut"/>
    <s v="Hartford"/>
    <x v="4"/>
    <n v="43"/>
    <n v="62"/>
    <n v="2666"/>
    <n v="879.77999999999986"/>
    <n v="0.32999999999999996"/>
    <x v="1"/>
  </r>
  <r>
    <x v="2"/>
    <n v="1185732"/>
    <x v="349"/>
    <x v="0"/>
    <s v="Connecticut"/>
    <s v="Hartford"/>
    <x v="5"/>
    <n v="44"/>
    <n v="124"/>
    <n v="5456"/>
    <n v="2073.2800000000002"/>
    <n v="0.38"/>
    <x v="1"/>
  </r>
  <r>
    <x v="2"/>
    <n v="1185732"/>
    <x v="379"/>
    <x v="0"/>
    <s v="Connecticut"/>
    <s v="Hartford"/>
    <x v="0"/>
    <n v="43"/>
    <n v="170"/>
    <n v="7310"/>
    <n v="3435.7000000000003"/>
    <n v="0.47000000000000003"/>
    <x v="1"/>
  </r>
  <r>
    <x v="2"/>
    <n v="1185732"/>
    <x v="379"/>
    <x v="0"/>
    <s v="Connecticut"/>
    <s v="Hartford"/>
    <x v="1"/>
    <n v="40"/>
    <n v="93"/>
    <n v="3720"/>
    <n v="1748.4"/>
    <n v="0.47000000000000003"/>
    <x v="1"/>
  </r>
  <r>
    <x v="2"/>
    <n v="1185732"/>
    <x v="379"/>
    <x v="0"/>
    <s v="Connecticut"/>
    <s v="Hartford"/>
    <x v="2"/>
    <n v="33"/>
    <n v="64"/>
    <n v="2112"/>
    <n v="675.84"/>
    <n v="0.32"/>
    <x v="1"/>
  </r>
  <r>
    <x v="2"/>
    <n v="1185732"/>
    <x v="379"/>
    <x v="0"/>
    <s v="Connecticut"/>
    <s v="Hartford"/>
    <x v="3"/>
    <n v="30"/>
    <n v="58"/>
    <n v="1740"/>
    <n v="591.59999999999991"/>
    <n v="0.33999999999999997"/>
    <x v="1"/>
  </r>
  <r>
    <x v="2"/>
    <n v="1185732"/>
    <x v="379"/>
    <x v="0"/>
    <s v="Connecticut"/>
    <s v="Hartford"/>
    <x v="4"/>
    <n v="41"/>
    <n v="58"/>
    <n v="2378"/>
    <n v="856.07999999999993"/>
    <n v="0.36"/>
    <x v="1"/>
  </r>
  <r>
    <x v="2"/>
    <n v="1185732"/>
    <x v="379"/>
    <x v="0"/>
    <s v="Connecticut"/>
    <s v="Hartford"/>
    <x v="5"/>
    <n v="45"/>
    <n v="83"/>
    <n v="3735"/>
    <n v="1568.7"/>
    <n v="0.42"/>
    <x v="1"/>
  </r>
  <r>
    <x v="2"/>
    <n v="1185732"/>
    <x v="411"/>
    <x v="0"/>
    <s v="Connecticut"/>
    <s v="Hartford"/>
    <x v="0"/>
    <n v="46"/>
    <n v="153"/>
    <n v="7038"/>
    <n v="2955.9600000000005"/>
    <n v="0.42000000000000004"/>
    <x v="1"/>
  </r>
  <r>
    <x v="2"/>
    <n v="1185732"/>
    <x v="411"/>
    <x v="0"/>
    <s v="Connecticut"/>
    <s v="Hartford"/>
    <x v="1"/>
    <n v="39"/>
    <n v="94"/>
    <n v="3666"/>
    <n v="1613.04"/>
    <n v="0.44"/>
    <x v="1"/>
  </r>
  <r>
    <x v="2"/>
    <n v="1185732"/>
    <x v="411"/>
    <x v="0"/>
    <s v="Connecticut"/>
    <s v="Hartford"/>
    <x v="2"/>
    <n v="36"/>
    <n v="61"/>
    <n v="2196"/>
    <n v="812.52"/>
    <n v="0.37"/>
    <x v="1"/>
  </r>
  <r>
    <x v="2"/>
    <n v="1185732"/>
    <x v="411"/>
    <x v="0"/>
    <s v="Connecticut"/>
    <s v="Hartford"/>
    <x v="3"/>
    <n v="43"/>
    <n v="45"/>
    <n v="1935"/>
    <n v="696.6"/>
    <n v="0.36"/>
    <x v="1"/>
  </r>
  <r>
    <x v="2"/>
    <n v="1185732"/>
    <x v="411"/>
    <x v="0"/>
    <s v="Connecticut"/>
    <s v="Hartford"/>
    <x v="4"/>
    <n v="50"/>
    <n v="45"/>
    <n v="2250"/>
    <n v="742.49999999999989"/>
    <n v="0.32999999999999996"/>
    <x v="1"/>
  </r>
  <r>
    <x v="0"/>
    <n v="1185732"/>
    <x v="411"/>
    <x v="0"/>
    <s v="Connecticut"/>
    <s v="Hartford"/>
    <x v="5"/>
    <n v="46"/>
    <n v="94"/>
    <n v="4324"/>
    <n v="1816.08"/>
    <n v="0.42"/>
    <x v="1"/>
  </r>
  <r>
    <x v="0"/>
    <n v="1185732"/>
    <x v="441"/>
    <x v="0"/>
    <s v="Connecticut"/>
    <s v="Hartford"/>
    <x v="0"/>
    <n v="51"/>
    <n v="149"/>
    <n v="7599"/>
    <n v="3267.57"/>
    <n v="0.43000000000000005"/>
    <x v="1"/>
  </r>
  <r>
    <x v="0"/>
    <n v="1185732"/>
    <x v="441"/>
    <x v="0"/>
    <s v="Connecticut"/>
    <s v="Hartford"/>
    <x v="1"/>
    <n v="37"/>
    <n v="105"/>
    <n v="3885"/>
    <n v="1787.1000000000001"/>
    <n v="0.46"/>
    <x v="1"/>
  </r>
  <r>
    <x v="0"/>
    <n v="1185732"/>
    <x v="441"/>
    <x v="0"/>
    <s v="Connecticut"/>
    <s v="Hartford"/>
    <x v="2"/>
    <n v="36"/>
    <n v="103"/>
    <n v="3708"/>
    <n v="1371.96"/>
    <n v="0.37"/>
    <x v="1"/>
  </r>
  <r>
    <x v="0"/>
    <n v="1185732"/>
    <x v="441"/>
    <x v="0"/>
    <s v="Connecticut"/>
    <s v="Hartford"/>
    <x v="3"/>
    <n v="39"/>
    <n v="83"/>
    <n v="3237"/>
    <n v="1197.69"/>
    <n v="0.37"/>
    <x v="1"/>
  </r>
  <r>
    <x v="0"/>
    <n v="1185732"/>
    <x v="441"/>
    <x v="0"/>
    <s v="Connecticut"/>
    <s v="Hartford"/>
    <x v="4"/>
    <n v="44"/>
    <n v="88"/>
    <n v="3872"/>
    <n v="1393.9199999999998"/>
    <n v="0.36"/>
    <x v="1"/>
  </r>
  <r>
    <x v="0"/>
    <n v="1185732"/>
    <x v="441"/>
    <x v="0"/>
    <s v="Connecticut"/>
    <s v="Hartford"/>
    <x v="5"/>
    <n v="52"/>
    <n v="116"/>
    <n v="6032"/>
    <n v="2352.4799999999996"/>
    <n v="0.38999999999999996"/>
    <x v="1"/>
  </r>
  <r>
    <x v="0"/>
    <n v="1185732"/>
    <x v="470"/>
    <x v="0"/>
    <s v="Connecticut"/>
    <s v="Hartford"/>
    <x v="0"/>
    <n v="45"/>
    <n v="173"/>
    <n v="7785"/>
    <n v="3269.7000000000003"/>
    <n v="0.42000000000000004"/>
    <x v="1"/>
  </r>
  <r>
    <x v="0"/>
    <n v="1185732"/>
    <x v="470"/>
    <x v="0"/>
    <s v="Connecticut"/>
    <s v="Hartford"/>
    <x v="1"/>
    <n v="37"/>
    <n v="131"/>
    <n v="4847"/>
    <n v="2181.15"/>
    <n v="0.45"/>
    <x v="1"/>
  </r>
  <r>
    <x v="0"/>
    <n v="1185732"/>
    <x v="470"/>
    <x v="0"/>
    <s v="Connecticut"/>
    <s v="Hartford"/>
    <x v="2"/>
    <n v="43"/>
    <n v="116"/>
    <n v="4988"/>
    <n v="1646.0399999999997"/>
    <n v="0.32999999999999996"/>
    <x v="1"/>
  </r>
  <r>
    <x v="0"/>
    <n v="1185732"/>
    <x v="470"/>
    <x v="0"/>
    <s v="Connecticut"/>
    <s v="Hartford"/>
    <x v="3"/>
    <n v="38"/>
    <n v="96"/>
    <n v="3648"/>
    <n v="1276.8"/>
    <n v="0.35"/>
    <x v="1"/>
  </r>
  <r>
    <x v="0"/>
    <n v="1185732"/>
    <x v="470"/>
    <x v="0"/>
    <s v="Connecticut"/>
    <s v="Hartford"/>
    <x v="4"/>
    <n v="42"/>
    <n v="99"/>
    <n v="4158"/>
    <n v="1455.3"/>
    <n v="0.35"/>
    <x v="1"/>
  </r>
  <r>
    <x v="0"/>
    <n v="1185732"/>
    <x v="470"/>
    <x v="0"/>
    <s v="Connecticut"/>
    <s v="Hartford"/>
    <x v="5"/>
    <n v="52"/>
    <n v="120"/>
    <n v="6240"/>
    <n v="2308.8000000000002"/>
    <n v="0.37"/>
    <x v="1"/>
  </r>
  <r>
    <x v="0"/>
    <n v="1185732"/>
    <x v="174"/>
    <x v="0"/>
    <s v="Connecticut"/>
    <s v="Hartford"/>
    <x v="0"/>
    <n v="23"/>
    <n v="149"/>
    <n v="3427"/>
    <n v="1439.34"/>
    <n v="0.42"/>
    <x v="1"/>
  </r>
  <r>
    <x v="0"/>
    <n v="1185732"/>
    <x v="174"/>
    <x v="0"/>
    <s v="Connecticut"/>
    <s v="Hartford"/>
    <x v="1"/>
    <n v="28"/>
    <n v="79"/>
    <n v="2212"/>
    <n v="884.8"/>
    <n v="0.39999999999999997"/>
    <x v="1"/>
  </r>
  <r>
    <x v="0"/>
    <n v="1185732"/>
    <x v="174"/>
    <x v="0"/>
    <s v="Connecticut"/>
    <s v="Hartford"/>
    <x v="2"/>
    <n v="19"/>
    <n v="72"/>
    <n v="1368"/>
    <n v="574.56000000000006"/>
    <n v="0.42000000000000004"/>
    <x v="1"/>
  </r>
  <r>
    <x v="0"/>
    <n v="1185732"/>
    <x v="174"/>
    <x v="0"/>
    <s v="Connecticut"/>
    <s v="Hartford"/>
    <x v="3"/>
    <n v="24"/>
    <n v="24"/>
    <n v="576"/>
    <n v="264.96000000000004"/>
    <n v="0.46"/>
    <x v="1"/>
  </r>
  <r>
    <x v="0"/>
    <n v="1185732"/>
    <x v="174"/>
    <x v="0"/>
    <s v="Connecticut"/>
    <s v="Hartford"/>
    <x v="4"/>
    <n v="34"/>
    <n v="44"/>
    <n v="1496"/>
    <n v="538.55999999999995"/>
    <n v="0.36"/>
    <x v="1"/>
  </r>
  <r>
    <x v="0"/>
    <n v="1185732"/>
    <x v="174"/>
    <x v="0"/>
    <s v="Connecticut"/>
    <s v="Hartford"/>
    <x v="5"/>
    <n v="26"/>
    <n v="72"/>
    <n v="1872"/>
    <n v="879.84"/>
    <n v="0.47000000000000003"/>
    <x v="1"/>
  </r>
  <r>
    <x v="0"/>
    <n v="1185732"/>
    <x v="203"/>
    <x v="0"/>
    <s v="Connecticut"/>
    <s v="Hartford"/>
    <x v="0"/>
    <n v="24"/>
    <n v="162"/>
    <n v="3888"/>
    <n v="1555.1999999999998"/>
    <n v="0.39999999999999997"/>
    <x v="1"/>
  </r>
  <r>
    <x v="0"/>
    <n v="1185732"/>
    <x v="203"/>
    <x v="0"/>
    <s v="Connecticut"/>
    <s v="Hartford"/>
    <x v="1"/>
    <n v="24"/>
    <n v="41"/>
    <n v="984"/>
    <n v="383.75999999999993"/>
    <n v="0.38999999999999996"/>
    <x v="1"/>
  </r>
  <r>
    <x v="0"/>
    <n v="1185732"/>
    <x v="203"/>
    <x v="0"/>
    <s v="Connecticut"/>
    <s v="Hartford"/>
    <x v="2"/>
    <n v="18"/>
    <n v="53"/>
    <n v="954"/>
    <n v="410.22"/>
    <n v="0.43000000000000005"/>
    <x v="1"/>
  </r>
  <r>
    <x v="0"/>
    <n v="1185732"/>
    <x v="203"/>
    <x v="0"/>
    <s v="Rhode Island"/>
    <s v="Providence"/>
    <x v="3"/>
    <n v="20"/>
    <n v="16"/>
    <n v="320"/>
    <n v="144"/>
    <n v="0.45"/>
    <x v="1"/>
  </r>
  <r>
    <x v="0"/>
    <n v="1185732"/>
    <x v="203"/>
    <x v="0"/>
    <s v="Rhode Island"/>
    <s v="Providence"/>
    <x v="4"/>
    <n v="34"/>
    <n v="40"/>
    <n v="1360"/>
    <n v="489.59999999999997"/>
    <n v="0.36"/>
    <x v="1"/>
  </r>
  <r>
    <x v="0"/>
    <n v="1185732"/>
    <x v="203"/>
    <x v="0"/>
    <s v="Rhode Island"/>
    <s v="Providence"/>
    <x v="5"/>
    <n v="27"/>
    <n v="77"/>
    <n v="2079"/>
    <n v="977.13000000000011"/>
    <n v="0.47000000000000003"/>
    <x v="1"/>
  </r>
  <r>
    <x v="0"/>
    <n v="1185732"/>
    <x v="708"/>
    <x v="0"/>
    <s v="Rhode Island"/>
    <s v="Providence"/>
    <x v="0"/>
    <n v="26"/>
    <n v="156"/>
    <n v="4056"/>
    <n v="1500.72"/>
    <n v="0.37"/>
    <x v="1"/>
  </r>
  <r>
    <x v="0"/>
    <n v="1185732"/>
    <x v="708"/>
    <x v="0"/>
    <s v="Rhode Island"/>
    <s v="Providence"/>
    <x v="1"/>
    <n v="27"/>
    <n v="45"/>
    <n v="1215"/>
    <n v="473.84999999999997"/>
    <n v="0.38999999999999996"/>
    <x v="1"/>
  </r>
  <r>
    <x v="0"/>
    <n v="1185732"/>
    <x v="708"/>
    <x v="0"/>
    <s v="Rhode Island"/>
    <s v="Providence"/>
    <x v="2"/>
    <n v="17"/>
    <n v="56"/>
    <n v="952"/>
    <n v="447.44000000000005"/>
    <n v="0.47000000000000003"/>
    <x v="1"/>
  </r>
  <r>
    <x v="0"/>
    <n v="1185732"/>
    <x v="708"/>
    <x v="0"/>
    <s v="Rhode Island"/>
    <s v="Providence"/>
    <x v="3"/>
    <n v="20"/>
    <n v="8"/>
    <n v="160"/>
    <n v="75.2"/>
    <n v="0.47000000000000003"/>
    <x v="1"/>
  </r>
  <r>
    <x v="0"/>
    <n v="1185732"/>
    <x v="708"/>
    <x v="0"/>
    <s v="Rhode Island"/>
    <s v="Providence"/>
    <x v="4"/>
    <n v="33"/>
    <n v="25"/>
    <n v="825"/>
    <n v="297"/>
    <n v="0.36"/>
    <x v="1"/>
  </r>
  <r>
    <x v="0"/>
    <n v="1185732"/>
    <x v="708"/>
    <x v="0"/>
    <s v="Rhode Island"/>
    <s v="Providence"/>
    <x v="5"/>
    <n v="25"/>
    <n v="58"/>
    <n v="1450"/>
    <n v="638"/>
    <n v="0.44"/>
    <x v="1"/>
  </r>
  <r>
    <x v="0"/>
    <n v="1185732"/>
    <x v="230"/>
    <x v="0"/>
    <s v="Rhode Island"/>
    <s v="Providence"/>
    <x v="0"/>
    <n v="28"/>
    <n v="132"/>
    <n v="3696"/>
    <n v="1552.32"/>
    <n v="0.42"/>
    <x v="1"/>
  </r>
  <r>
    <x v="0"/>
    <n v="1185732"/>
    <x v="230"/>
    <x v="0"/>
    <s v="Rhode Island"/>
    <s v="Providence"/>
    <x v="1"/>
    <n v="23"/>
    <n v="40"/>
    <n v="920"/>
    <n v="367.99999999999994"/>
    <n v="0.39999999999999997"/>
    <x v="1"/>
  </r>
  <r>
    <x v="0"/>
    <n v="1185732"/>
    <x v="230"/>
    <x v="0"/>
    <s v="Rhode Island"/>
    <s v="Providence"/>
    <x v="2"/>
    <n v="16"/>
    <n v="44"/>
    <n v="704"/>
    <n v="295.68"/>
    <n v="0.42000000000000004"/>
    <x v="1"/>
  </r>
  <r>
    <x v="0"/>
    <n v="1185732"/>
    <x v="230"/>
    <x v="0"/>
    <s v="Rhode Island"/>
    <s v="Providence"/>
    <x v="3"/>
    <n v="21"/>
    <n v="17"/>
    <n v="357"/>
    <n v="160.65"/>
    <n v="0.45"/>
    <x v="1"/>
  </r>
  <r>
    <x v="0"/>
    <n v="1185732"/>
    <x v="230"/>
    <x v="0"/>
    <s v="Rhode Island"/>
    <s v="Providence"/>
    <x v="4"/>
    <n v="33"/>
    <n v="15"/>
    <n v="495"/>
    <n v="158.4"/>
    <n v="0.32"/>
    <x v="1"/>
  </r>
  <r>
    <x v="0"/>
    <n v="1185732"/>
    <x v="230"/>
    <x v="0"/>
    <s v="Rhode Island"/>
    <s v="Providence"/>
    <x v="5"/>
    <n v="26"/>
    <n v="60"/>
    <n v="1560"/>
    <n v="686.4"/>
    <n v="0.44"/>
    <x v="1"/>
  </r>
  <r>
    <x v="0"/>
    <n v="1185732"/>
    <x v="259"/>
    <x v="0"/>
    <s v="Rhode Island"/>
    <s v="Providence"/>
    <x v="0"/>
    <n v="39"/>
    <n v="150"/>
    <n v="5850"/>
    <n v="2398.5"/>
    <n v="0.41"/>
    <x v="1"/>
  </r>
  <r>
    <x v="0"/>
    <n v="1185732"/>
    <x v="259"/>
    <x v="0"/>
    <s v="Rhode Island"/>
    <s v="Providence"/>
    <x v="1"/>
    <n v="32"/>
    <n v="58"/>
    <n v="1856"/>
    <n v="686.72"/>
    <n v="0.37"/>
    <x v="1"/>
  </r>
  <r>
    <x v="0"/>
    <n v="1185732"/>
    <x v="259"/>
    <x v="0"/>
    <s v="Rhode Island"/>
    <s v="Providence"/>
    <x v="2"/>
    <n v="32"/>
    <n v="60"/>
    <n v="1920"/>
    <n v="806.40000000000009"/>
    <n v="0.42000000000000004"/>
    <x v="1"/>
  </r>
  <r>
    <x v="0"/>
    <n v="1185732"/>
    <x v="259"/>
    <x v="0"/>
    <s v="Rhode Island"/>
    <s v="Providence"/>
    <x v="3"/>
    <n v="27"/>
    <n v="51"/>
    <n v="1377"/>
    <n v="633.42000000000007"/>
    <n v="0.46"/>
    <x v="1"/>
  </r>
  <r>
    <x v="0"/>
    <n v="1185732"/>
    <x v="259"/>
    <x v="0"/>
    <s v="Rhode Island"/>
    <s v="Providence"/>
    <x v="4"/>
    <n v="40"/>
    <n v="54"/>
    <n v="2160"/>
    <n v="799.2"/>
    <n v="0.37"/>
    <x v="1"/>
  </r>
  <r>
    <x v="0"/>
    <n v="1185732"/>
    <x v="259"/>
    <x v="0"/>
    <s v="Rhode Island"/>
    <s v="Providence"/>
    <x v="5"/>
    <n v="36"/>
    <n v="93"/>
    <n v="3348"/>
    <n v="1473.1200000000001"/>
    <n v="0.44"/>
    <x v="1"/>
  </r>
  <r>
    <x v="0"/>
    <n v="1185732"/>
    <x v="292"/>
    <x v="0"/>
    <s v="Rhode Island"/>
    <s v="Providence"/>
    <x v="0"/>
    <n v="36"/>
    <n v="176"/>
    <n v="6336"/>
    <n v="2534.3999999999996"/>
    <n v="0.39999999999999997"/>
    <x v="1"/>
  </r>
  <r>
    <x v="0"/>
    <n v="1185732"/>
    <x v="292"/>
    <x v="0"/>
    <s v="Rhode Island"/>
    <s v="Providence"/>
    <x v="1"/>
    <n v="35"/>
    <n v="105"/>
    <n v="3675"/>
    <n v="1433.2499999999998"/>
    <n v="0.38999999999999996"/>
    <x v="1"/>
  </r>
  <r>
    <x v="0"/>
    <n v="1185732"/>
    <x v="292"/>
    <x v="0"/>
    <s v="Rhode Island"/>
    <s v="Providence"/>
    <x v="2"/>
    <n v="32"/>
    <n v="74"/>
    <n v="2368"/>
    <n v="994.56000000000006"/>
    <n v="0.42000000000000004"/>
    <x v="1"/>
  </r>
  <r>
    <x v="0"/>
    <n v="1185732"/>
    <x v="292"/>
    <x v="0"/>
    <s v="Rhode Island"/>
    <s v="Providence"/>
    <x v="3"/>
    <n v="26"/>
    <n v="70"/>
    <n v="1820"/>
    <n v="837.2"/>
    <n v="0.46"/>
    <x v="1"/>
  </r>
  <r>
    <x v="0"/>
    <n v="1185732"/>
    <x v="292"/>
    <x v="0"/>
    <s v="Rhode Island"/>
    <s v="Providence"/>
    <x v="4"/>
    <n v="39"/>
    <n v="66"/>
    <n v="2574"/>
    <n v="900.9"/>
    <n v="0.35"/>
    <x v="1"/>
  </r>
  <r>
    <x v="0"/>
    <n v="1185732"/>
    <x v="292"/>
    <x v="0"/>
    <s v="Rhode Island"/>
    <s v="Providence"/>
    <x v="5"/>
    <n v="43"/>
    <n v="119"/>
    <n v="5117"/>
    <n v="2302.65"/>
    <n v="0.45"/>
    <x v="1"/>
  </r>
  <r>
    <x v="0"/>
    <n v="1185732"/>
    <x v="320"/>
    <x v="0"/>
    <s v="Rhode Island"/>
    <s v="Providence"/>
    <x v="0"/>
    <n v="38"/>
    <n v="173"/>
    <n v="6574"/>
    <n v="2498.12"/>
    <n v="0.38"/>
    <x v="1"/>
  </r>
  <r>
    <x v="0"/>
    <n v="1185732"/>
    <x v="320"/>
    <x v="0"/>
    <s v="Rhode Island"/>
    <s v="Providence"/>
    <x v="1"/>
    <n v="32"/>
    <n v="114"/>
    <n v="3648"/>
    <n v="1349.76"/>
    <n v="0.37"/>
    <x v="1"/>
  </r>
  <r>
    <x v="0"/>
    <n v="1185732"/>
    <x v="320"/>
    <x v="0"/>
    <s v="Rhode Island"/>
    <s v="Providence"/>
    <x v="2"/>
    <n v="27"/>
    <n v="78"/>
    <n v="2106"/>
    <n v="947.7"/>
    <n v="0.45"/>
    <x v="1"/>
  </r>
  <r>
    <x v="0"/>
    <n v="1185732"/>
    <x v="320"/>
    <x v="0"/>
    <s v="Rhode Island"/>
    <s v="Providence"/>
    <x v="3"/>
    <n v="31"/>
    <n v="60"/>
    <n v="1860"/>
    <n v="855.6"/>
    <n v="0.46"/>
    <x v="1"/>
  </r>
  <r>
    <x v="0"/>
    <n v="1185732"/>
    <x v="320"/>
    <x v="0"/>
    <s v="Rhode Island"/>
    <s v="Providence"/>
    <x v="4"/>
    <n v="33"/>
    <n v="68"/>
    <n v="2244"/>
    <n v="762.95999999999992"/>
    <n v="0.33999999999999997"/>
    <x v="1"/>
  </r>
  <r>
    <x v="0"/>
    <n v="1185732"/>
    <x v="320"/>
    <x v="0"/>
    <s v="Rhode Island"/>
    <s v="Providence"/>
    <x v="5"/>
    <n v="38"/>
    <n v="136"/>
    <n v="5168"/>
    <n v="2170.5600000000004"/>
    <n v="0.42000000000000004"/>
    <x v="1"/>
  </r>
  <r>
    <x v="0"/>
    <n v="1185732"/>
    <x v="352"/>
    <x v="0"/>
    <s v="Rhode Island"/>
    <s v="Providence"/>
    <x v="0"/>
    <n v="38"/>
    <n v="182"/>
    <n v="6916"/>
    <n v="2835.56"/>
    <n v="0.41"/>
    <x v="1"/>
  </r>
  <r>
    <x v="0"/>
    <n v="1185732"/>
    <x v="352"/>
    <x v="0"/>
    <s v="Rhode Island"/>
    <s v="Providence"/>
    <x v="1"/>
    <n v="31"/>
    <n v="111"/>
    <n v="3441"/>
    <n v="1307.58"/>
    <n v="0.38"/>
    <x v="1"/>
  </r>
  <r>
    <x v="0"/>
    <n v="1185732"/>
    <x v="352"/>
    <x v="0"/>
    <s v="Rhode Island"/>
    <s v="Providence"/>
    <x v="2"/>
    <n v="30"/>
    <n v="85"/>
    <n v="2550"/>
    <n v="1096.5000000000002"/>
    <n v="0.43000000000000005"/>
    <x v="1"/>
  </r>
  <r>
    <x v="0"/>
    <n v="1185732"/>
    <x v="352"/>
    <x v="0"/>
    <s v="Rhode Island"/>
    <s v="Providence"/>
    <x v="3"/>
    <n v="29"/>
    <n v="47"/>
    <n v="1363"/>
    <n v="586.09"/>
    <n v="0.43000000000000005"/>
    <x v="1"/>
  </r>
  <r>
    <x v="0"/>
    <n v="1185732"/>
    <x v="352"/>
    <x v="0"/>
    <s v="Rhode Island"/>
    <s v="Providence"/>
    <x v="4"/>
    <n v="37"/>
    <n v="40"/>
    <n v="1480"/>
    <n v="532.79999999999995"/>
    <n v="0.36"/>
    <x v="1"/>
  </r>
  <r>
    <x v="0"/>
    <n v="1185732"/>
    <x v="352"/>
    <x v="0"/>
    <s v="Rhode Island"/>
    <s v="Providence"/>
    <x v="5"/>
    <n v="38"/>
    <n v="96"/>
    <n v="3648"/>
    <n v="1714.5600000000002"/>
    <n v="0.47000000000000003"/>
    <x v="1"/>
  </r>
  <r>
    <x v="0"/>
    <n v="1185732"/>
    <x v="382"/>
    <x v="0"/>
    <s v="Rhode Island"/>
    <s v="Providence"/>
    <x v="0"/>
    <n v="39"/>
    <n v="128"/>
    <n v="4992"/>
    <n v="2096.64"/>
    <n v="0.42"/>
    <x v="1"/>
  </r>
  <r>
    <x v="0"/>
    <n v="1185732"/>
    <x v="382"/>
    <x v="0"/>
    <s v="Rhode Island"/>
    <s v="Providence"/>
    <x v="1"/>
    <n v="30"/>
    <n v="79"/>
    <n v="2370"/>
    <n v="876.9"/>
    <n v="0.37"/>
    <x v="1"/>
  </r>
  <r>
    <x v="0"/>
    <n v="1185732"/>
    <x v="382"/>
    <x v="0"/>
    <s v="Rhode Island"/>
    <s v="Providence"/>
    <x v="2"/>
    <n v="29"/>
    <n v="39"/>
    <n v="1131"/>
    <n v="486.33000000000004"/>
    <n v="0.43000000000000005"/>
    <x v="1"/>
  </r>
  <r>
    <x v="0"/>
    <n v="1185732"/>
    <x v="382"/>
    <x v="0"/>
    <s v="Rhode Island"/>
    <s v="Providence"/>
    <x v="3"/>
    <n v="30"/>
    <n v="32"/>
    <n v="960"/>
    <n v="441.6"/>
    <n v="0.46"/>
    <x v="1"/>
  </r>
  <r>
    <x v="0"/>
    <n v="1185732"/>
    <x v="382"/>
    <x v="0"/>
    <s v="Rhode Island"/>
    <s v="Providence"/>
    <x v="4"/>
    <n v="34"/>
    <n v="33"/>
    <n v="1122"/>
    <n v="403.91999999999996"/>
    <n v="0.36"/>
    <x v="1"/>
  </r>
  <r>
    <x v="0"/>
    <n v="1185732"/>
    <x v="382"/>
    <x v="0"/>
    <s v="Rhode Island"/>
    <s v="Providence"/>
    <x v="5"/>
    <n v="41"/>
    <n v="64"/>
    <n v="2624"/>
    <n v="1180.8"/>
    <n v="0.45"/>
    <x v="1"/>
  </r>
  <r>
    <x v="0"/>
    <n v="1185732"/>
    <x v="414"/>
    <x v="0"/>
    <s v="Rhode Island"/>
    <s v="Providence"/>
    <x v="0"/>
    <n v="37"/>
    <n v="113"/>
    <n v="4181"/>
    <n v="1714.2099999999998"/>
    <n v="0.41"/>
    <x v="1"/>
  </r>
  <r>
    <x v="0"/>
    <n v="1185732"/>
    <x v="414"/>
    <x v="0"/>
    <s v="Rhode Island"/>
    <s v="Providence"/>
    <x v="1"/>
    <n v="38"/>
    <n v="68"/>
    <n v="2584"/>
    <n v="981.92"/>
    <n v="0.38"/>
    <x v="1"/>
  </r>
  <r>
    <x v="0"/>
    <n v="1185732"/>
    <x v="414"/>
    <x v="0"/>
    <s v="Rhode Island"/>
    <s v="Providence"/>
    <x v="2"/>
    <n v="40"/>
    <n v="30"/>
    <n v="1200"/>
    <n v="528"/>
    <n v="0.44"/>
    <x v="1"/>
  </r>
  <r>
    <x v="0"/>
    <n v="1185732"/>
    <x v="414"/>
    <x v="0"/>
    <s v="Rhode Island"/>
    <s v="Providence"/>
    <x v="3"/>
    <n v="39"/>
    <n v="23"/>
    <n v="897"/>
    <n v="403.65000000000003"/>
    <n v="0.45"/>
    <x v="1"/>
  </r>
  <r>
    <x v="0"/>
    <n v="1185732"/>
    <x v="414"/>
    <x v="0"/>
    <s v="Rhode Island"/>
    <s v="Providence"/>
    <x v="4"/>
    <n v="40"/>
    <n v="23"/>
    <n v="920"/>
    <n v="303.59999999999997"/>
    <n v="0.32999999999999996"/>
    <x v="1"/>
  </r>
  <r>
    <x v="2"/>
    <n v="1185732"/>
    <x v="414"/>
    <x v="0"/>
    <s v="Rhode Island"/>
    <s v="Providence"/>
    <x v="5"/>
    <n v="47"/>
    <n v="66"/>
    <n v="3102"/>
    <n v="1364.88"/>
    <n v="0.44"/>
    <x v="1"/>
  </r>
  <r>
    <x v="2"/>
    <n v="1185732"/>
    <x v="444"/>
    <x v="0"/>
    <s v="Rhode Island"/>
    <s v="Providence"/>
    <x v="0"/>
    <n v="40"/>
    <n v="105"/>
    <n v="4200"/>
    <n v="1764"/>
    <n v="0.42"/>
    <x v="1"/>
  </r>
  <r>
    <x v="2"/>
    <n v="1185732"/>
    <x v="444"/>
    <x v="0"/>
    <s v="Rhode Island"/>
    <s v="Providence"/>
    <x v="1"/>
    <n v="40"/>
    <n v="74"/>
    <n v="2960"/>
    <n v="1243.2"/>
    <n v="0.42"/>
    <x v="1"/>
  </r>
  <r>
    <x v="2"/>
    <n v="1185732"/>
    <x v="444"/>
    <x v="0"/>
    <s v="Rhode Island"/>
    <s v="Providence"/>
    <x v="2"/>
    <n v="37"/>
    <n v="68"/>
    <n v="2516"/>
    <n v="1132.2"/>
    <n v="0.45"/>
    <x v="1"/>
  </r>
  <r>
    <x v="2"/>
    <n v="1185732"/>
    <x v="444"/>
    <x v="0"/>
    <s v="Rhode Island"/>
    <s v="Providence"/>
    <x v="3"/>
    <n v="36"/>
    <n v="68"/>
    <n v="2448"/>
    <n v="1101.6000000000001"/>
    <n v="0.45"/>
    <x v="1"/>
  </r>
  <r>
    <x v="2"/>
    <n v="1185732"/>
    <x v="444"/>
    <x v="0"/>
    <s v="Rhode Island"/>
    <s v="Providence"/>
    <x v="4"/>
    <n v="43"/>
    <n v="61"/>
    <n v="2623"/>
    <n v="865.58999999999992"/>
    <n v="0.32999999999999996"/>
    <x v="1"/>
  </r>
  <r>
    <x v="2"/>
    <n v="1185732"/>
    <x v="444"/>
    <x v="0"/>
    <s v="Rhode Island"/>
    <s v="Providence"/>
    <x v="5"/>
    <n v="46"/>
    <n v="83"/>
    <n v="3818"/>
    <n v="1679.92"/>
    <n v="0.44"/>
    <x v="1"/>
  </r>
  <r>
    <x v="2"/>
    <n v="1185732"/>
    <x v="473"/>
    <x v="0"/>
    <s v="Rhode Island"/>
    <s v="Providence"/>
    <x v="0"/>
    <n v="48"/>
    <n v="160"/>
    <n v="7680"/>
    <n v="2995.2"/>
    <n v="0.38999999999999996"/>
    <x v="1"/>
  </r>
  <r>
    <x v="2"/>
    <n v="1185732"/>
    <x v="473"/>
    <x v="0"/>
    <s v="Rhode Island"/>
    <s v="Providence"/>
    <x v="1"/>
    <n v="37"/>
    <n v="102"/>
    <n v="3774"/>
    <n v="1396.3799999999999"/>
    <n v="0.37"/>
    <x v="1"/>
  </r>
  <r>
    <x v="2"/>
    <n v="1185732"/>
    <x v="473"/>
    <x v="0"/>
    <s v="Rhode Island"/>
    <s v="Providence"/>
    <x v="2"/>
    <n v="40"/>
    <n v="88"/>
    <n v="3520"/>
    <n v="1654.4"/>
    <n v="0.47000000000000003"/>
    <x v="1"/>
  </r>
  <r>
    <x v="2"/>
    <n v="1185732"/>
    <x v="473"/>
    <x v="0"/>
    <s v="Rhode Island"/>
    <s v="Providence"/>
    <x v="3"/>
    <n v="34"/>
    <n v="77"/>
    <n v="2618"/>
    <n v="1125.7400000000002"/>
    <n v="0.43000000000000005"/>
    <x v="1"/>
  </r>
  <r>
    <x v="2"/>
    <n v="1185732"/>
    <x v="473"/>
    <x v="0"/>
    <s v="Rhode Island"/>
    <s v="Providence"/>
    <x v="4"/>
    <n v="41"/>
    <n v="74"/>
    <n v="3034"/>
    <n v="1122.58"/>
    <n v="0.37"/>
    <x v="1"/>
  </r>
  <r>
    <x v="2"/>
    <n v="1185732"/>
    <x v="473"/>
    <x v="0"/>
    <s v="Rhode Island"/>
    <s v="Providence"/>
    <x v="5"/>
    <n v="51"/>
    <n v="111"/>
    <n v="5661"/>
    <n v="2434.2300000000005"/>
    <n v="0.43000000000000005"/>
    <x v="1"/>
  </r>
  <r>
    <x v="2"/>
    <n v="1185732"/>
    <x v="181"/>
    <x v="0"/>
    <s v="Rhode Island"/>
    <s v="Providence"/>
    <x v="0"/>
    <n v="28"/>
    <n v="140"/>
    <n v="3920"/>
    <n v="1293.5999999999999"/>
    <n v="0.32999999999999996"/>
    <x v="1"/>
  </r>
  <r>
    <x v="2"/>
    <n v="1185732"/>
    <x v="181"/>
    <x v="0"/>
    <s v="Rhode Island"/>
    <s v="Providence"/>
    <x v="1"/>
    <n v="28"/>
    <n v="88"/>
    <n v="2464"/>
    <n v="837.75999999999988"/>
    <n v="0.33999999999999997"/>
    <x v="1"/>
  </r>
  <r>
    <x v="2"/>
    <n v="1185732"/>
    <x v="181"/>
    <x v="0"/>
    <s v="Rhode Island"/>
    <s v="Providence"/>
    <x v="2"/>
    <n v="22"/>
    <n v="75"/>
    <n v="1650"/>
    <n v="478.49999999999994"/>
    <n v="0.28999999999999998"/>
    <x v="1"/>
  </r>
  <r>
    <x v="2"/>
    <n v="1185732"/>
    <x v="181"/>
    <x v="0"/>
    <s v="Rhode Island"/>
    <s v="Providence"/>
    <x v="3"/>
    <n v="25"/>
    <n v="33"/>
    <n v="825"/>
    <n v="255.75"/>
    <n v="0.31"/>
    <x v="1"/>
  </r>
  <r>
    <x v="2"/>
    <n v="1185732"/>
    <x v="181"/>
    <x v="0"/>
    <s v="Rhode Island"/>
    <s v="Providence"/>
    <x v="4"/>
    <n v="39"/>
    <n v="47"/>
    <n v="1833"/>
    <n v="586.56000000000006"/>
    <n v="0.32"/>
    <x v="1"/>
  </r>
  <r>
    <x v="2"/>
    <n v="1185732"/>
    <x v="181"/>
    <x v="0"/>
    <s v="Rhode Island"/>
    <s v="Providence"/>
    <x v="5"/>
    <n v="26"/>
    <n v="83"/>
    <n v="2158"/>
    <n v="733.71999999999991"/>
    <n v="0.33999999999999997"/>
    <x v="1"/>
  </r>
  <r>
    <x v="2"/>
    <n v="1185732"/>
    <x v="210"/>
    <x v="0"/>
    <s v="Rhode Island"/>
    <s v="Providence"/>
    <x v="0"/>
    <n v="26"/>
    <n v="155"/>
    <n v="4030"/>
    <n v="1491.1"/>
    <n v="0.37"/>
    <x v="1"/>
  </r>
  <r>
    <x v="2"/>
    <n v="1185732"/>
    <x v="210"/>
    <x v="0"/>
    <s v="Rhode Island"/>
    <s v="Providence"/>
    <x v="1"/>
    <n v="31"/>
    <n v="53"/>
    <n v="1643"/>
    <n v="575.04999999999995"/>
    <n v="0.35"/>
    <x v="1"/>
  </r>
  <r>
    <x v="2"/>
    <n v="1185732"/>
    <x v="210"/>
    <x v="0"/>
    <s v="Rhode Island"/>
    <s v="Providence"/>
    <x v="2"/>
    <n v="24"/>
    <n v="70"/>
    <n v="1680"/>
    <n v="487.2"/>
    <n v="0.28999999999999998"/>
    <x v="1"/>
  </r>
  <r>
    <x v="2"/>
    <n v="1185732"/>
    <x v="210"/>
    <x v="0"/>
    <s v="Massachusetts"/>
    <s v="Boston"/>
    <x v="3"/>
    <n v="27"/>
    <n v="75"/>
    <n v="2025"/>
    <n v="648"/>
    <n v="0.32"/>
    <x v="1"/>
  </r>
  <r>
    <x v="2"/>
    <n v="1185732"/>
    <x v="210"/>
    <x v="0"/>
    <s v="Massachusetts"/>
    <s v="Boston"/>
    <x v="4"/>
    <n v="36"/>
    <n v="53"/>
    <n v="1908"/>
    <n v="515.16000000000008"/>
    <n v="0.27"/>
    <x v="1"/>
  </r>
  <r>
    <x v="2"/>
    <n v="1185732"/>
    <x v="210"/>
    <x v="0"/>
    <s v="Massachusetts"/>
    <s v="Boston"/>
    <x v="5"/>
    <n v="30"/>
    <n v="80"/>
    <n v="2400"/>
    <n v="768"/>
    <n v="0.32"/>
    <x v="1"/>
  </r>
  <r>
    <x v="2"/>
    <n v="1185732"/>
    <x v="218"/>
    <x v="0"/>
    <s v="Massachusetts"/>
    <s v="Boston"/>
    <x v="0"/>
    <n v="28"/>
    <n v="155"/>
    <n v="4340"/>
    <n v="1475.6"/>
    <n v="0.33999999999999997"/>
    <x v="1"/>
  </r>
  <r>
    <x v="2"/>
    <n v="1185732"/>
    <x v="218"/>
    <x v="0"/>
    <s v="Massachusetts"/>
    <s v="Boston"/>
    <x v="1"/>
    <n v="31"/>
    <n v="61"/>
    <n v="1891"/>
    <n v="642.93999999999994"/>
    <n v="0.33999999999999997"/>
    <x v="1"/>
  </r>
  <r>
    <x v="2"/>
    <n v="1185732"/>
    <x v="218"/>
    <x v="0"/>
    <s v="Massachusetts"/>
    <s v="Boston"/>
    <x v="2"/>
    <n v="23"/>
    <n v="60"/>
    <n v="1380"/>
    <n v="441.6"/>
    <n v="0.32"/>
    <x v="1"/>
  </r>
  <r>
    <x v="2"/>
    <n v="1185732"/>
    <x v="218"/>
    <x v="0"/>
    <s v="Massachusetts"/>
    <s v="Boston"/>
    <x v="3"/>
    <n v="25"/>
    <n v="93"/>
    <n v="2325"/>
    <n v="651.00000000000011"/>
    <n v="0.28000000000000003"/>
    <x v="1"/>
  </r>
  <r>
    <x v="2"/>
    <n v="1185732"/>
    <x v="218"/>
    <x v="0"/>
    <s v="Massachusetts"/>
    <s v="Boston"/>
    <x v="4"/>
    <n v="36"/>
    <n v="31"/>
    <n v="1116"/>
    <n v="334.8"/>
    <n v="0.3"/>
    <x v="1"/>
  </r>
  <r>
    <x v="2"/>
    <n v="1185732"/>
    <x v="218"/>
    <x v="0"/>
    <s v="Massachusetts"/>
    <s v="Boston"/>
    <x v="5"/>
    <n v="31"/>
    <n v="68"/>
    <n v="2108"/>
    <n v="779.96"/>
    <n v="0.37"/>
    <x v="1"/>
  </r>
  <r>
    <x v="2"/>
    <n v="1185732"/>
    <x v="237"/>
    <x v="0"/>
    <s v="Massachusetts"/>
    <s v="Boston"/>
    <x v="0"/>
    <n v="28"/>
    <n v="149"/>
    <n v="4172"/>
    <n v="1376.7599999999998"/>
    <n v="0.32999999999999996"/>
    <x v="1"/>
  </r>
  <r>
    <x v="2"/>
    <n v="1185732"/>
    <x v="237"/>
    <x v="0"/>
    <s v="Massachusetts"/>
    <s v="Boston"/>
    <x v="1"/>
    <n v="28"/>
    <n v="51"/>
    <n v="1428"/>
    <n v="514.07999999999993"/>
    <n v="0.36"/>
    <x v="1"/>
  </r>
  <r>
    <x v="2"/>
    <n v="1185732"/>
    <x v="237"/>
    <x v="0"/>
    <s v="Massachusetts"/>
    <s v="Boston"/>
    <x v="2"/>
    <n v="22"/>
    <n v="51"/>
    <n v="1122"/>
    <n v="347.82"/>
    <n v="0.31"/>
    <x v="1"/>
  </r>
  <r>
    <x v="2"/>
    <n v="1185732"/>
    <x v="237"/>
    <x v="0"/>
    <s v="Massachusetts"/>
    <s v="Boston"/>
    <x v="3"/>
    <n v="23"/>
    <n v="39"/>
    <n v="897"/>
    <n v="251.16000000000003"/>
    <n v="0.28000000000000003"/>
    <x v="1"/>
  </r>
  <r>
    <x v="2"/>
    <n v="1185732"/>
    <x v="237"/>
    <x v="0"/>
    <s v="Massachusetts"/>
    <s v="Boston"/>
    <x v="4"/>
    <n v="33"/>
    <n v="44"/>
    <n v="1452"/>
    <n v="392.04"/>
    <n v="0.27"/>
    <x v="1"/>
  </r>
  <r>
    <x v="2"/>
    <n v="1185732"/>
    <x v="237"/>
    <x v="0"/>
    <s v="Massachusetts"/>
    <s v="Boston"/>
    <x v="5"/>
    <n v="30"/>
    <n v="94"/>
    <n v="2820"/>
    <n v="1015.1999999999999"/>
    <n v="0.36"/>
    <x v="1"/>
  </r>
  <r>
    <x v="2"/>
    <n v="1185732"/>
    <x v="266"/>
    <x v="0"/>
    <s v="Massachusetts"/>
    <s v="Boston"/>
    <x v="0"/>
    <n v="41"/>
    <n v="173"/>
    <n v="7093"/>
    <n v="2553.48"/>
    <n v="0.36"/>
    <x v="1"/>
  </r>
  <r>
    <x v="2"/>
    <n v="1185732"/>
    <x v="266"/>
    <x v="0"/>
    <s v="Massachusetts"/>
    <s v="Boston"/>
    <x v="1"/>
    <n v="34"/>
    <n v="68"/>
    <n v="2312"/>
    <n v="832.31999999999994"/>
    <n v="0.36"/>
    <x v="1"/>
  </r>
  <r>
    <x v="2"/>
    <n v="1185732"/>
    <x v="266"/>
    <x v="0"/>
    <s v="Massachusetts"/>
    <s v="Boston"/>
    <x v="2"/>
    <n v="30"/>
    <n v="68"/>
    <n v="2040"/>
    <n v="632.4"/>
    <n v="0.31"/>
    <x v="1"/>
  </r>
  <r>
    <x v="2"/>
    <n v="1185732"/>
    <x v="266"/>
    <x v="0"/>
    <s v="Massachusetts"/>
    <s v="Boston"/>
    <x v="3"/>
    <n v="32"/>
    <n v="54"/>
    <n v="1728"/>
    <n v="518.4"/>
    <n v="0.3"/>
    <x v="1"/>
  </r>
  <r>
    <x v="2"/>
    <n v="1185732"/>
    <x v="266"/>
    <x v="0"/>
    <s v="Massachusetts"/>
    <s v="Boston"/>
    <x v="4"/>
    <n v="39"/>
    <n v="60"/>
    <n v="2340"/>
    <n v="655.20000000000005"/>
    <n v="0.28000000000000003"/>
    <x v="1"/>
  </r>
  <r>
    <x v="2"/>
    <n v="1185732"/>
    <x v="266"/>
    <x v="0"/>
    <s v="Massachusetts"/>
    <s v="Boston"/>
    <x v="5"/>
    <n v="43"/>
    <n v="104"/>
    <n v="4472"/>
    <n v="1520.4799999999998"/>
    <n v="0.33999999999999997"/>
    <x v="1"/>
  </r>
  <r>
    <x v="2"/>
    <n v="1185732"/>
    <x v="299"/>
    <x v="0"/>
    <s v="Massachusetts"/>
    <s v="Boston"/>
    <x v="0"/>
    <n v="39"/>
    <n v="196"/>
    <n v="7644"/>
    <n v="2675.3999999999996"/>
    <n v="0.35"/>
    <x v="1"/>
  </r>
  <r>
    <x v="2"/>
    <n v="1185732"/>
    <x v="299"/>
    <x v="0"/>
    <s v="Massachusetts"/>
    <s v="Boston"/>
    <x v="1"/>
    <n v="36"/>
    <n v="114"/>
    <n v="4104"/>
    <n v="1313.28"/>
    <n v="0.32"/>
    <x v="1"/>
  </r>
  <r>
    <x v="2"/>
    <n v="1185732"/>
    <x v="299"/>
    <x v="0"/>
    <s v="Massachusetts"/>
    <s v="Boston"/>
    <x v="2"/>
    <n v="36"/>
    <n v="75"/>
    <n v="2700"/>
    <n v="837"/>
    <n v="0.31"/>
    <x v="1"/>
  </r>
  <r>
    <x v="2"/>
    <n v="1185732"/>
    <x v="299"/>
    <x v="0"/>
    <s v="Massachusetts"/>
    <s v="Boston"/>
    <x v="3"/>
    <n v="34"/>
    <n v="72"/>
    <n v="2448"/>
    <n v="685.44"/>
    <n v="0.28000000000000003"/>
    <x v="1"/>
  </r>
  <r>
    <x v="2"/>
    <n v="1185732"/>
    <x v="299"/>
    <x v="0"/>
    <s v="Massachusetts"/>
    <s v="Boston"/>
    <x v="4"/>
    <n v="39"/>
    <n v="74"/>
    <n v="2886"/>
    <n v="923.52"/>
    <n v="0.32"/>
    <x v="1"/>
  </r>
  <r>
    <x v="2"/>
    <n v="1185732"/>
    <x v="299"/>
    <x v="0"/>
    <s v="Massachusetts"/>
    <s v="Boston"/>
    <x v="5"/>
    <n v="47"/>
    <n v="120"/>
    <n v="5640"/>
    <n v="1973.9999999999998"/>
    <n v="0.35"/>
    <x v="1"/>
  </r>
  <r>
    <x v="2"/>
    <n v="1185732"/>
    <x v="327"/>
    <x v="0"/>
    <s v="Massachusetts"/>
    <s v="Boston"/>
    <x v="0"/>
    <n v="37"/>
    <n v="180"/>
    <n v="6660"/>
    <n v="2197.7999999999997"/>
    <n v="0.32999999999999996"/>
    <x v="1"/>
  </r>
  <r>
    <x v="2"/>
    <n v="1185732"/>
    <x v="327"/>
    <x v="0"/>
    <s v="Massachusetts"/>
    <s v="Boston"/>
    <x v="1"/>
    <n v="36"/>
    <n v="105"/>
    <n v="3780"/>
    <n v="1398.6"/>
    <n v="0.37"/>
    <x v="1"/>
  </r>
  <r>
    <x v="2"/>
    <n v="1185732"/>
    <x v="327"/>
    <x v="0"/>
    <s v="Massachusetts"/>
    <s v="Boston"/>
    <x v="2"/>
    <n v="32"/>
    <n v="88"/>
    <n v="2816"/>
    <n v="844.8"/>
    <n v="0.3"/>
    <x v="1"/>
  </r>
  <r>
    <x v="2"/>
    <n v="1185732"/>
    <x v="327"/>
    <x v="0"/>
    <s v="Massachusetts"/>
    <s v="Boston"/>
    <x v="3"/>
    <n v="34"/>
    <n v="77"/>
    <n v="2618"/>
    <n v="837.76"/>
    <n v="0.32"/>
    <x v="1"/>
  </r>
  <r>
    <x v="2"/>
    <n v="1185732"/>
    <x v="327"/>
    <x v="0"/>
    <s v="Massachusetts"/>
    <s v="Boston"/>
    <x v="4"/>
    <n v="41"/>
    <n v="80"/>
    <n v="3280"/>
    <n v="1016.8"/>
    <n v="0.31"/>
    <x v="1"/>
  </r>
  <r>
    <x v="2"/>
    <n v="1185732"/>
    <x v="327"/>
    <x v="0"/>
    <s v="Massachusetts"/>
    <s v="Boston"/>
    <x v="5"/>
    <n v="41"/>
    <n v="132"/>
    <n v="5412"/>
    <n v="1731.8400000000001"/>
    <n v="0.32"/>
    <x v="1"/>
  </r>
  <r>
    <x v="2"/>
    <n v="1185732"/>
    <x v="359"/>
    <x v="0"/>
    <s v="Massachusetts"/>
    <s v="Boston"/>
    <x v="0"/>
    <n v="40"/>
    <n v="196"/>
    <n v="7840"/>
    <n v="2587.1999999999998"/>
    <n v="0.32999999999999996"/>
    <x v="1"/>
  </r>
  <r>
    <x v="2"/>
    <n v="1185732"/>
    <x v="359"/>
    <x v="0"/>
    <s v="Massachusetts"/>
    <s v="Boston"/>
    <x v="1"/>
    <n v="33"/>
    <n v="112"/>
    <n v="3696"/>
    <n v="1182.72"/>
    <n v="0.32"/>
    <x v="1"/>
  </r>
  <r>
    <x v="2"/>
    <n v="1185732"/>
    <x v="359"/>
    <x v="0"/>
    <s v="Massachusetts"/>
    <s v="Boston"/>
    <x v="2"/>
    <n v="29"/>
    <n v="85"/>
    <n v="2465"/>
    <n v="764.15"/>
    <n v="0.31"/>
    <x v="1"/>
  </r>
  <r>
    <x v="2"/>
    <n v="1185732"/>
    <x v="359"/>
    <x v="0"/>
    <s v="Massachusetts"/>
    <s v="Boston"/>
    <x v="3"/>
    <n v="31"/>
    <n v="58"/>
    <n v="1798"/>
    <n v="503.44000000000005"/>
    <n v="0.28000000000000003"/>
    <x v="1"/>
  </r>
  <r>
    <x v="2"/>
    <n v="1185732"/>
    <x v="359"/>
    <x v="0"/>
    <s v="Massachusetts"/>
    <s v="Boston"/>
    <x v="4"/>
    <n v="40"/>
    <n v="51"/>
    <n v="2040"/>
    <n v="550.80000000000007"/>
    <n v="0.27"/>
    <x v="1"/>
  </r>
  <r>
    <x v="2"/>
    <n v="1185732"/>
    <x v="359"/>
    <x v="0"/>
    <s v="Massachusetts"/>
    <s v="Boston"/>
    <x v="5"/>
    <n v="46"/>
    <n v="98"/>
    <n v="4508"/>
    <n v="1577.8"/>
    <n v="0.35"/>
    <x v="1"/>
  </r>
  <r>
    <x v="2"/>
    <n v="1185732"/>
    <x v="389"/>
    <x v="0"/>
    <s v="Massachusetts"/>
    <s v="Boston"/>
    <x v="0"/>
    <n v="36"/>
    <n v="153"/>
    <n v="5508"/>
    <n v="1872.7199999999998"/>
    <n v="0.33999999999999997"/>
    <x v="1"/>
  </r>
  <r>
    <x v="2"/>
    <n v="1185732"/>
    <x v="389"/>
    <x v="0"/>
    <s v="Massachusetts"/>
    <s v="Boston"/>
    <x v="1"/>
    <n v="35"/>
    <n v="88"/>
    <n v="3080"/>
    <n v="1139.5999999999999"/>
    <n v="0.37"/>
    <x v="1"/>
  </r>
  <r>
    <x v="2"/>
    <n v="1185732"/>
    <x v="389"/>
    <x v="0"/>
    <s v="Massachusetts"/>
    <s v="Boston"/>
    <x v="2"/>
    <n v="30"/>
    <n v="47"/>
    <n v="1410"/>
    <n v="423"/>
    <n v="0.3"/>
    <x v="1"/>
  </r>
  <r>
    <x v="2"/>
    <n v="1185732"/>
    <x v="389"/>
    <x v="0"/>
    <s v="Massachusetts"/>
    <s v="Boston"/>
    <x v="3"/>
    <n v="34"/>
    <n v="39"/>
    <n v="1326"/>
    <n v="358.02000000000004"/>
    <n v="0.27"/>
    <x v="1"/>
  </r>
  <r>
    <x v="2"/>
    <n v="1185732"/>
    <x v="389"/>
    <x v="0"/>
    <s v="Massachusetts"/>
    <s v="Boston"/>
    <x v="4"/>
    <n v="39"/>
    <n v="41"/>
    <n v="1599"/>
    <n v="495.69"/>
    <n v="0.31"/>
    <x v="1"/>
  </r>
  <r>
    <x v="2"/>
    <n v="1185732"/>
    <x v="389"/>
    <x v="0"/>
    <s v="Massachusetts"/>
    <s v="Boston"/>
    <x v="5"/>
    <n v="41"/>
    <n v="77"/>
    <n v="3157"/>
    <n v="1041.81"/>
    <n v="0.32999999999999996"/>
    <x v="1"/>
  </r>
  <r>
    <x v="2"/>
    <n v="1185732"/>
    <x v="421"/>
    <x v="0"/>
    <s v="Massachusetts"/>
    <s v="Boston"/>
    <x v="0"/>
    <n v="40"/>
    <n v="132"/>
    <n v="5280"/>
    <n v="1742.3999999999999"/>
    <n v="0.32999999999999996"/>
    <x v="1"/>
  </r>
  <r>
    <x v="2"/>
    <n v="1185732"/>
    <x v="421"/>
    <x v="0"/>
    <s v="Massachusetts"/>
    <s v="Boston"/>
    <x v="1"/>
    <n v="37"/>
    <n v="68"/>
    <n v="2516"/>
    <n v="880.59999999999991"/>
    <n v="0.35"/>
    <x v="1"/>
  </r>
  <r>
    <x v="2"/>
    <n v="1185732"/>
    <x v="421"/>
    <x v="0"/>
    <s v="Massachusetts"/>
    <s v="Boston"/>
    <x v="2"/>
    <n v="41"/>
    <n v="38"/>
    <n v="1558"/>
    <n v="467.4"/>
    <n v="0.3"/>
    <x v="1"/>
  </r>
  <r>
    <x v="2"/>
    <n v="1185732"/>
    <x v="421"/>
    <x v="0"/>
    <s v="Massachusetts"/>
    <s v="Boston"/>
    <x v="3"/>
    <n v="38"/>
    <n v="32"/>
    <n v="1216"/>
    <n v="328.32000000000005"/>
    <n v="0.27"/>
    <x v="1"/>
  </r>
  <r>
    <x v="2"/>
    <n v="1185732"/>
    <x v="421"/>
    <x v="0"/>
    <s v="Massachusetts"/>
    <s v="Boston"/>
    <x v="4"/>
    <n v="51"/>
    <n v="34"/>
    <n v="1734"/>
    <n v="485.52000000000004"/>
    <n v="0.28000000000000003"/>
    <x v="1"/>
  </r>
  <r>
    <x v="5"/>
    <n v="1185732"/>
    <x v="421"/>
    <x v="0"/>
    <s v="Massachusetts"/>
    <s v="Boston"/>
    <x v="5"/>
    <n v="51"/>
    <n v="68"/>
    <n v="3468"/>
    <n v="1213.8"/>
    <n v="0.35"/>
    <x v="1"/>
  </r>
  <r>
    <x v="5"/>
    <n v="1185732"/>
    <x v="451"/>
    <x v="0"/>
    <s v="Massachusetts"/>
    <s v="Boston"/>
    <x v="0"/>
    <n v="49"/>
    <n v="120"/>
    <n v="5880"/>
    <n v="2058"/>
    <n v="0.35"/>
    <x v="1"/>
  </r>
  <r>
    <x v="5"/>
    <n v="1185732"/>
    <x v="451"/>
    <x v="0"/>
    <s v="Massachusetts"/>
    <s v="Boston"/>
    <x v="1"/>
    <n v="40"/>
    <n v="102"/>
    <n v="4080"/>
    <n v="1428"/>
    <n v="0.35"/>
    <x v="1"/>
  </r>
  <r>
    <x v="5"/>
    <n v="1185732"/>
    <x v="451"/>
    <x v="0"/>
    <s v="Massachusetts"/>
    <s v="Boston"/>
    <x v="2"/>
    <n v="44"/>
    <n v="91"/>
    <n v="4004"/>
    <n v="1201.2"/>
    <n v="0.3"/>
    <x v="1"/>
  </r>
  <r>
    <x v="5"/>
    <n v="1185732"/>
    <x v="451"/>
    <x v="0"/>
    <s v="Massachusetts"/>
    <s v="Boston"/>
    <x v="3"/>
    <n v="42"/>
    <n v="83"/>
    <n v="3486"/>
    <n v="1010.9399999999999"/>
    <n v="0.28999999999999998"/>
    <x v="1"/>
  </r>
  <r>
    <x v="5"/>
    <n v="1185732"/>
    <x v="451"/>
    <x v="0"/>
    <s v="Massachusetts"/>
    <s v="Boston"/>
    <x v="4"/>
    <n v="50"/>
    <n v="78"/>
    <n v="3900"/>
    <n v="1248"/>
    <n v="0.32"/>
    <x v="1"/>
  </r>
  <r>
    <x v="5"/>
    <n v="1185732"/>
    <x v="451"/>
    <x v="0"/>
    <s v="Massachusetts"/>
    <s v="Boston"/>
    <x v="5"/>
    <n v="48"/>
    <n v="123"/>
    <n v="5904"/>
    <n v="2066.4"/>
    <n v="0.35"/>
    <x v="1"/>
  </r>
  <r>
    <x v="5"/>
    <n v="1185732"/>
    <x v="480"/>
    <x v="0"/>
    <s v="Massachusetts"/>
    <s v="Boston"/>
    <x v="0"/>
    <n v="51"/>
    <n v="178"/>
    <n v="9078"/>
    <n v="3177.2999999999997"/>
    <n v="0.35"/>
    <x v="1"/>
  </r>
  <r>
    <x v="5"/>
    <n v="1185732"/>
    <x v="480"/>
    <x v="0"/>
    <s v="Massachusetts"/>
    <s v="Boston"/>
    <x v="1"/>
    <n v="37"/>
    <n v="113"/>
    <n v="4181"/>
    <n v="1337.92"/>
    <n v="0.32"/>
    <x v="1"/>
  </r>
  <r>
    <x v="5"/>
    <n v="1185732"/>
    <x v="480"/>
    <x v="0"/>
    <s v="Massachusetts"/>
    <s v="Boston"/>
    <x v="2"/>
    <n v="36"/>
    <n v="112"/>
    <n v="4032"/>
    <n v="1088.6400000000001"/>
    <n v="0.27"/>
    <x v="1"/>
  </r>
  <r>
    <x v="5"/>
    <n v="1185732"/>
    <x v="480"/>
    <x v="0"/>
    <s v="Massachusetts"/>
    <s v="Boston"/>
    <x v="3"/>
    <n v="43"/>
    <n v="105"/>
    <n v="4515"/>
    <n v="1264.2"/>
    <n v="0.28000000000000003"/>
    <x v="1"/>
  </r>
  <r>
    <x v="5"/>
    <n v="1185732"/>
    <x v="480"/>
    <x v="0"/>
    <s v="Massachusetts"/>
    <s v="Boston"/>
    <x v="4"/>
    <n v="52"/>
    <n v="90"/>
    <n v="4680"/>
    <n v="1357.1999999999998"/>
    <n v="0.28999999999999998"/>
    <x v="1"/>
  </r>
  <r>
    <x v="5"/>
    <n v="1185732"/>
    <x v="480"/>
    <x v="0"/>
    <s v="Massachusetts"/>
    <s v="Boston"/>
    <x v="5"/>
    <n v="51"/>
    <n v="128"/>
    <n v="6528"/>
    <n v="2154.2399999999998"/>
    <n v="0.32999999999999996"/>
    <x v="1"/>
  </r>
  <r>
    <x v="5"/>
    <n v="1185732"/>
    <x v="178"/>
    <x v="0"/>
    <s v="Massachusetts"/>
    <s v="Boston"/>
    <x v="0"/>
    <n v="35"/>
    <n v="179"/>
    <n v="6265"/>
    <n v="3257.8"/>
    <n v="0.52"/>
    <x v="1"/>
  </r>
  <r>
    <x v="5"/>
    <n v="1185732"/>
    <x v="178"/>
    <x v="0"/>
    <s v="Massachusetts"/>
    <s v="Boston"/>
    <x v="1"/>
    <n v="36"/>
    <n v="107"/>
    <n v="3852"/>
    <n v="1887.48"/>
    <n v="0.49"/>
    <x v="1"/>
  </r>
  <r>
    <x v="5"/>
    <n v="1185732"/>
    <x v="178"/>
    <x v="0"/>
    <s v="Massachusetts"/>
    <s v="Boston"/>
    <x v="2"/>
    <n v="27"/>
    <n v="101"/>
    <n v="2727"/>
    <n v="1090.8"/>
    <n v="0.39999999999999997"/>
    <x v="1"/>
  </r>
  <r>
    <x v="5"/>
    <n v="1185732"/>
    <x v="178"/>
    <x v="0"/>
    <s v="Massachusetts"/>
    <s v="Boston"/>
    <x v="3"/>
    <n v="29"/>
    <n v="53"/>
    <n v="1537"/>
    <n v="599.42999999999995"/>
    <n v="0.38999999999999996"/>
    <x v="1"/>
  </r>
  <r>
    <x v="5"/>
    <n v="1185732"/>
    <x v="178"/>
    <x v="0"/>
    <s v="Massachusetts"/>
    <s v="Boston"/>
    <x v="4"/>
    <n v="37"/>
    <n v="70"/>
    <n v="2590"/>
    <n v="1061.8999999999999"/>
    <n v="0.41"/>
    <x v="1"/>
  </r>
  <r>
    <x v="5"/>
    <n v="1185732"/>
    <x v="178"/>
    <x v="0"/>
    <s v="Massachusetts"/>
    <s v="Boston"/>
    <x v="5"/>
    <n v="34"/>
    <n v="104"/>
    <n v="3536"/>
    <n v="1520.4799999999998"/>
    <n v="0.42999999999999994"/>
    <x v="1"/>
  </r>
  <r>
    <x v="5"/>
    <n v="1185732"/>
    <x v="207"/>
    <x v="0"/>
    <s v="Massachusetts"/>
    <s v="Boston"/>
    <x v="0"/>
    <n v="33"/>
    <n v="184"/>
    <n v="6072"/>
    <n v="2853.84"/>
    <n v="0.47000000000000003"/>
    <x v="1"/>
  </r>
  <r>
    <x v="5"/>
    <n v="1185732"/>
    <x v="207"/>
    <x v="0"/>
    <s v="Massachusetts"/>
    <s v="Boston"/>
    <x v="1"/>
    <n v="33"/>
    <n v="72"/>
    <n v="2376"/>
    <n v="1116.72"/>
    <n v="0.47000000000000003"/>
    <x v="1"/>
  </r>
  <r>
    <x v="5"/>
    <n v="1185732"/>
    <x v="207"/>
    <x v="0"/>
    <s v="Massachusetts"/>
    <s v="Boston"/>
    <x v="2"/>
    <n v="25"/>
    <n v="85"/>
    <n v="2125"/>
    <n v="849.99999999999989"/>
    <n v="0.39999999999999997"/>
    <x v="1"/>
  </r>
  <r>
    <x v="5"/>
    <n v="1185732"/>
    <x v="207"/>
    <x v="0"/>
    <s v="Vermont"/>
    <s v="Burlington"/>
    <x v="3"/>
    <n v="30"/>
    <n v="48"/>
    <n v="1440"/>
    <n v="547.20000000000005"/>
    <n v="0.38"/>
    <x v="1"/>
  </r>
  <r>
    <x v="5"/>
    <n v="1185732"/>
    <x v="207"/>
    <x v="0"/>
    <s v="Vermont"/>
    <s v="Burlington"/>
    <x v="4"/>
    <n v="36"/>
    <n v="68"/>
    <n v="2448"/>
    <n v="954.71999999999991"/>
    <n v="0.38999999999999996"/>
    <x v="1"/>
  </r>
  <r>
    <x v="5"/>
    <n v="1185732"/>
    <x v="207"/>
    <x v="0"/>
    <s v="Vermont"/>
    <s v="Burlington"/>
    <x v="5"/>
    <n v="35"/>
    <n v="107"/>
    <n v="3745"/>
    <n v="1760.1499999999999"/>
    <n v="0.47"/>
    <x v="1"/>
  </r>
  <r>
    <x v="5"/>
    <n v="1185732"/>
    <x v="215"/>
    <x v="0"/>
    <s v="Vermont"/>
    <s v="Burlington"/>
    <x v="0"/>
    <n v="35"/>
    <n v="185"/>
    <n v="6475"/>
    <n v="3172.75"/>
    <n v="0.49"/>
    <x v="1"/>
  </r>
  <r>
    <x v="5"/>
    <n v="1185732"/>
    <x v="215"/>
    <x v="0"/>
    <s v="Vermont"/>
    <s v="Burlington"/>
    <x v="1"/>
    <n v="36"/>
    <n v="80"/>
    <n v="2880"/>
    <n v="1440"/>
    <n v="0.5"/>
    <x v="1"/>
  </r>
  <r>
    <x v="5"/>
    <n v="1185732"/>
    <x v="215"/>
    <x v="0"/>
    <s v="Vermont"/>
    <s v="Burlington"/>
    <x v="2"/>
    <n v="23"/>
    <n v="85"/>
    <n v="1955"/>
    <n v="742.9"/>
    <n v="0.38"/>
    <x v="1"/>
  </r>
  <r>
    <x v="5"/>
    <n v="1185732"/>
    <x v="215"/>
    <x v="0"/>
    <s v="Vermont"/>
    <s v="Burlington"/>
    <x v="3"/>
    <n v="30"/>
    <n v="39"/>
    <n v="1170"/>
    <n v="467.99999999999994"/>
    <n v="0.39999999999999997"/>
    <x v="1"/>
  </r>
  <r>
    <x v="5"/>
    <n v="1185732"/>
    <x v="215"/>
    <x v="0"/>
    <s v="Vermont"/>
    <s v="Burlington"/>
    <x v="4"/>
    <n v="36"/>
    <n v="56"/>
    <n v="2016"/>
    <n v="786.2399999999999"/>
    <n v="0.38999999999999996"/>
    <x v="1"/>
  </r>
  <r>
    <x v="5"/>
    <n v="1185732"/>
    <x v="215"/>
    <x v="0"/>
    <s v="Vermont"/>
    <s v="Burlington"/>
    <x v="5"/>
    <n v="29"/>
    <n v="96"/>
    <n v="2784"/>
    <n v="1280.6399999999999"/>
    <n v="0.45999999999999996"/>
    <x v="1"/>
  </r>
  <r>
    <x v="5"/>
    <n v="1185732"/>
    <x v="234"/>
    <x v="0"/>
    <s v="Vermont"/>
    <s v="Burlington"/>
    <x v="0"/>
    <n v="30"/>
    <n v="168"/>
    <n v="5040"/>
    <n v="2620.8000000000002"/>
    <n v="0.52"/>
    <x v="1"/>
  </r>
  <r>
    <x v="5"/>
    <n v="1185732"/>
    <x v="234"/>
    <x v="0"/>
    <s v="Vermont"/>
    <s v="Burlington"/>
    <x v="1"/>
    <n v="35"/>
    <n v="68"/>
    <n v="2380"/>
    <n v="1118.6000000000001"/>
    <n v="0.47000000000000003"/>
    <x v="1"/>
  </r>
  <r>
    <x v="5"/>
    <n v="1185732"/>
    <x v="234"/>
    <x v="0"/>
    <s v="Vermont"/>
    <s v="Burlington"/>
    <x v="2"/>
    <n v="25"/>
    <n v="74"/>
    <n v="1850"/>
    <n v="777"/>
    <n v="0.42"/>
    <x v="1"/>
  </r>
  <r>
    <x v="5"/>
    <n v="1185732"/>
    <x v="234"/>
    <x v="0"/>
    <s v="Vermont"/>
    <s v="Burlington"/>
    <x v="3"/>
    <n v="30"/>
    <n v="50"/>
    <n v="1500"/>
    <n v="600"/>
    <n v="0.39999999999999997"/>
    <x v="1"/>
  </r>
  <r>
    <x v="5"/>
    <n v="1185732"/>
    <x v="234"/>
    <x v="0"/>
    <s v="Vermont"/>
    <s v="Burlington"/>
    <x v="4"/>
    <n v="41"/>
    <n v="53"/>
    <n v="2173"/>
    <n v="912.66"/>
    <n v="0.42"/>
    <x v="1"/>
  </r>
  <r>
    <x v="5"/>
    <n v="1185732"/>
    <x v="234"/>
    <x v="0"/>
    <s v="Vermont"/>
    <s v="Burlington"/>
    <x v="5"/>
    <n v="36"/>
    <n v="90"/>
    <n v="3240"/>
    <n v="1425.6"/>
    <n v="0.43999999999999995"/>
    <x v="1"/>
  </r>
  <r>
    <x v="5"/>
    <n v="1185732"/>
    <x v="263"/>
    <x v="0"/>
    <s v="Vermont"/>
    <s v="Burlington"/>
    <x v="0"/>
    <n v="48"/>
    <n v="177"/>
    <n v="8496"/>
    <n v="4332.96"/>
    <n v="0.51"/>
    <x v="1"/>
  </r>
  <r>
    <x v="5"/>
    <n v="1185732"/>
    <x v="263"/>
    <x v="0"/>
    <s v="Vermont"/>
    <s v="Burlington"/>
    <x v="1"/>
    <n v="41"/>
    <n v="94"/>
    <n v="3854"/>
    <n v="1965.54"/>
    <n v="0.51"/>
    <x v="1"/>
  </r>
  <r>
    <x v="5"/>
    <n v="1185732"/>
    <x v="263"/>
    <x v="0"/>
    <s v="Vermont"/>
    <s v="Burlington"/>
    <x v="2"/>
    <n v="37"/>
    <n v="96"/>
    <n v="3552"/>
    <n v="1314.24"/>
    <n v="0.37"/>
    <x v="1"/>
  </r>
  <r>
    <x v="5"/>
    <n v="1185732"/>
    <x v="263"/>
    <x v="0"/>
    <s v="Vermont"/>
    <s v="Burlington"/>
    <x v="3"/>
    <n v="40"/>
    <n v="83"/>
    <n v="3320"/>
    <n v="1328"/>
    <n v="0.39999999999999997"/>
    <x v="1"/>
  </r>
  <r>
    <x v="5"/>
    <n v="1185732"/>
    <x v="263"/>
    <x v="0"/>
    <s v="Vermont"/>
    <s v="Burlington"/>
    <x v="4"/>
    <n v="46"/>
    <n v="91"/>
    <n v="4186"/>
    <n v="1716.26"/>
    <n v="0.41"/>
    <x v="1"/>
  </r>
  <r>
    <x v="5"/>
    <n v="1185732"/>
    <x v="263"/>
    <x v="0"/>
    <s v="Vermont"/>
    <s v="Burlington"/>
    <x v="5"/>
    <n v="47"/>
    <n v="120"/>
    <n v="5640"/>
    <n v="2594.3999999999996"/>
    <n v="0.45999999999999996"/>
    <x v="1"/>
  </r>
  <r>
    <x v="5"/>
    <n v="1185732"/>
    <x v="296"/>
    <x v="0"/>
    <s v="Vermont"/>
    <s v="Burlington"/>
    <x v="0"/>
    <n v="47"/>
    <n v="195"/>
    <n v="9165"/>
    <n v="4490.8500000000004"/>
    <n v="0.49"/>
    <x v="1"/>
  </r>
  <r>
    <x v="5"/>
    <n v="1185732"/>
    <x v="296"/>
    <x v="0"/>
    <s v="Vermont"/>
    <s v="Burlington"/>
    <x v="1"/>
    <n v="44"/>
    <n v="120"/>
    <n v="5280"/>
    <n v="2640"/>
    <n v="0.5"/>
    <x v="1"/>
  </r>
  <r>
    <x v="5"/>
    <n v="1185732"/>
    <x v="296"/>
    <x v="0"/>
    <s v="Vermont"/>
    <s v="Burlington"/>
    <x v="2"/>
    <n v="35"/>
    <n v="104"/>
    <n v="3640"/>
    <n v="1419.6"/>
    <n v="0.38999999999999996"/>
    <x v="1"/>
  </r>
  <r>
    <x v="5"/>
    <n v="1185732"/>
    <x v="296"/>
    <x v="0"/>
    <s v="Vermont"/>
    <s v="Burlington"/>
    <x v="3"/>
    <n v="38"/>
    <n v="102"/>
    <n v="3876"/>
    <n v="1550.3999999999999"/>
    <n v="0.39999999999999997"/>
    <x v="1"/>
  </r>
  <r>
    <x v="5"/>
    <n v="1185732"/>
    <x v="296"/>
    <x v="0"/>
    <s v="Vermont"/>
    <s v="Burlington"/>
    <x v="4"/>
    <n v="44"/>
    <n v="105"/>
    <n v="4620"/>
    <n v="1894.1999999999998"/>
    <n v="0.41"/>
    <x v="1"/>
  </r>
  <r>
    <x v="5"/>
    <n v="1185732"/>
    <x v="296"/>
    <x v="0"/>
    <s v="Vermont"/>
    <s v="Burlington"/>
    <x v="5"/>
    <n v="49"/>
    <n v="158"/>
    <n v="7742"/>
    <n v="3483.8999999999996"/>
    <n v="0.44999999999999996"/>
    <x v="1"/>
  </r>
  <r>
    <x v="5"/>
    <n v="1185732"/>
    <x v="324"/>
    <x v="0"/>
    <s v="Vermont"/>
    <s v="Burlington"/>
    <x v="0"/>
    <n v="45"/>
    <n v="209"/>
    <n v="9405"/>
    <n v="4890.6000000000004"/>
    <n v="0.52"/>
    <x v="1"/>
  </r>
  <r>
    <x v="5"/>
    <n v="1185732"/>
    <x v="324"/>
    <x v="0"/>
    <s v="Vermont"/>
    <s v="Burlington"/>
    <x v="1"/>
    <n v="42"/>
    <n v="145"/>
    <n v="6090"/>
    <n v="3045"/>
    <n v="0.5"/>
    <x v="1"/>
  </r>
  <r>
    <x v="5"/>
    <n v="1185732"/>
    <x v="324"/>
    <x v="0"/>
    <s v="Vermont"/>
    <s v="Burlington"/>
    <x v="2"/>
    <n v="33"/>
    <n v="109"/>
    <n v="3597"/>
    <n v="1330.8899999999999"/>
    <n v="0.37"/>
    <x v="1"/>
  </r>
  <r>
    <x v="5"/>
    <n v="1185732"/>
    <x v="324"/>
    <x v="0"/>
    <s v="Vermont"/>
    <s v="Burlington"/>
    <x v="3"/>
    <n v="36"/>
    <n v="96"/>
    <n v="3456"/>
    <n v="1451.52"/>
    <n v="0.42"/>
    <x v="1"/>
  </r>
  <r>
    <x v="5"/>
    <n v="1185732"/>
    <x v="324"/>
    <x v="0"/>
    <s v="Vermont"/>
    <s v="Burlington"/>
    <x v="4"/>
    <n v="39"/>
    <n v="114"/>
    <n v="4446"/>
    <n v="1689.48"/>
    <n v="0.38"/>
    <x v="1"/>
  </r>
  <r>
    <x v="5"/>
    <n v="1185732"/>
    <x v="324"/>
    <x v="0"/>
    <s v="Vermont"/>
    <s v="Burlington"/>
    <x v="5"/>
    <n v="49"/>
    <n v="175"/>
    <n v="8575"/>
    <n v="4030.2499999999995"/>
    <n v="0.47"/>
    <x v="1"/>
  </r>
  <r>
    <x v="5"/>
    <n v="1185732"/>
    <x v="356"/>
    <x v="0"/>
    <s v="Vermont"/>
    <s v="Burlington"/>
    <x v="0"/>
    <n v="42"/>
    <n v="215"/>
    <n v="9030"/>
    <n v="4605.3"/>
    <n v="0.51"/>
    <x v="1"/>
  </r>
  <r>
    <x v="5"/>
    <n v="1185732"/>
    <x v="356"/>
    <x v="0"/>
    <s v="Vermont"/>
    <s v="Burlington"/>
    <x v="1"/>
    <n v="43"/>
    <n v="149"/>
    <n v="6407"/>
    <n v="3331.6400000000003"/>
    <n v="0.52"/>
    <x v="1"/>
  </r>
  <r>
    <x v="5"/>
    <n v="1185732"/>
    <x v="356"/>
    <x v="0"/>
    <s v="Vermont"/>
    <s v="Burlington"/>
    <x v="2"/>
    <n v="34"/>
    <n v="116"/>
    <n v="3944"/>
    <n v="1538.1599999999999"/>
    <n v="0.38999999999999996"/>
    <x v="1"/>
  </r>
  <r>
    <x v="5"/>
    <n v="1185732"/>
    <x v="356"/>
    <x v="0"/>
    <s v="Vermont"/>
    <s v="Burlington"/>
    <x v="3"/>
    <n v="40"/>
    <n v="85"/>
    <n v="3400"/>
    <n v="1428"/>
    <n v="0.42"/>
    <x v="1"/>
  </r>
  <r>
    <x v="5"/>
    <n v="1185732"/>
    <x v="356"/>
    <x v="0"/>
    <s v="Vermont"/>
    <s v="Burlington"/>
    <x v="4"/>
    <n v="43"/>
    <n v="72"/>
    <n v="3096"/>
    <n v="1207.4399999999998"/>
    <n v="0.38999999999999996"/>
    <x v="1"/>
  </r>
  <r>
    <x v="5"/>
    <n v="1185732"/>
    <x v="356"/>
    <x v="0"/>
    <s v="Vermont"/>
    <s v="Burlington"/>
    <x v="5"/>
    <n v="44"/>
    <n v="136"/>
    <n v="5984"/>
    <n v="2573.1199999999994"/>
    <n v="0.42999999999999994"/>
    <x v="1"/>
  </r>
  <r>
    <x v="5"/>
    <n v="1185732"/>
    <x v="386"/>
    <x v="0"/>
    <s v="Vermont"/>
    <s v="Burlington"/>
    <x v="0"/>
    <n v="44"/>
    <n v="179"/>
    <n v="7876"/>
    <n v="3859.24"/>
    <n v="0.49"/>
    <x v="1"/>
  </r>
  <r>
    <x v="5"/>
    <n v="1185732"/>
    <x v="386"/>
    <x v="0"/>
    <s v="Vermont"/>
    <s v="Burlington"/>
    <x v="1"/>
    <n v="42"/>
    <n v="111"/>
    <n v="4662"/>
    <n v="2377.62"/>
    <n v="0.51"/>
    <x v="1"/>
  </r>
  <r>
    <x v="5"/>
    <n v="1185732"/>
    <x v="386"/>
    <x v="0"/>
    <s v="Vermont"/>
    <s v="Burlington"/>
    <x v="2"/>
    <n v="40"/>
    <n v="72"/>
    <n v="2880"/>
    <n v="1209.5999999999999"/>
    <n v="0.42"/>
    <x v="1"/>
  </r>
  <r>
    <x v="5"/>
    <n v="1185732"/>
    <x v="386"/>
    <x v="0"/>
    <s v="Vermont"/>
    <s v="Burlington"/>
    <x v="3"/>
    <n v="35"/>
    <n v="66"/>
    <n v="2310"/>
    <n v="923.99999999999989"/>
    <n v="0.39999999999999997"/>
    <x v="1"/>
  </r>
  <r>
    <x v="5"/>
    <n v="1185732"/>
    <x v="386"/>
    <x v="0"/>
    <s v="Vermont"/>
    <s v="Burlington"/>
    <x v="4"/>
    <n v="48"/>
    <n v="68"/>
    <n v="3264"/>
    <n v="1207.68"/>
    <n v="0.37"/>
    <x v="1"/>
  </r>
  <r>
    <x v="5"/>
    <n v="1185732"/>
    <x v="386"/>
    <x v="0"/>
    <s v="Vermont"/>
    <s v="Burlington"/>
    <x v="5"/>
    <n v="45"/>
    <n v="93"/>
    <n v="4185"/>
    <n v="1925.1"/>
    <n v="0.45999999999999996"/>
    <x v="1"/>
  </r>
  <r>
    <x v="5"/>
    <n v="1185732"/>
    <x v="418"/>
    <x v="0"/>
    <s v="Vermont"/>
    <s v="Burlington"/>
    <x v="0"/>
    <n v="44"/>
    <n v="157"/>
    <n v="6908"/>
    <n v="3246.76"/>
    <n v="0.47000000000000003"/>
    <x v="1"/>
  </r>
  <r>
    <x v="5"/>
    <n v="1185732"/>
    <x v="418"/>
    <x v="0"/>
    <s v="Vermont"/>
    <s v="Burlington"/>
    <x v="1"/>
    <n v="44"/>
    <n v="99"/>
    <n v="4356"/>
    <n v="2134.44"/>
    <n v="0.49"/>
    <x v="1"/>
  </r>
  <r>
    <x v="5"/>
    <n v="1185732"/>
    <x v="418"/>
    <x v="0"/>
    <s v="Vermont"/>
    <s v="Burlington"/>
    <x v="2"/>
    <n v="40"/>
    <n v="66"/>
    <n v="2640"/>
    <n v="976.8"/>
    <n v="0.37"/>
    <x v="1"/>
  </r>
  <r>
    <x v="5"/>
    <n v="1185732"/>
    <x v="418"/>
    <x v="0"/>
    <s v="Vermont"/>
    <s v="Burlington"/>
    <x v="3"/>
    <n v="46"/>
    <n v="61"/>
    <n v="2806"/>
    <n v="1038.22"/>
    <n v="0.37"/>
    <x v="1"/>
  </r>
  <r>
    <x v="5"/>
    <n v="1185732"/>
    <x v="418"/>
    <x v="0"/>
    <s v="Vermont"/>
    <s v="Burlington"/>
    <x v="4"/>
    <n v="55"/>
    <n v="58"/>
    <n v="3190"/>
    <n v="1180.3"/>
    <n v="0.37"/>
    <x v="1"/>
  </r>
  <r>
    <x v="3"/>
    <n v="1185732"/>
    <x v="418"/>
    <x v="0"/>
    <s v="Vermont"/>
    <s v="Burlington"/>
    <x v="5"/>
    <n v="54"/>
    <n v="90"/>
    <n v="4860"/>
    <n v="2235.6"/>
    <n v="0.45999999999999996"/>
    <x v="1"/>
  </r>
  <r>
    <x v="3"/>
    <n v="1185732"/>
    <x v="448"/>
    <x v="0"/>
    <s v="Vermont"/>
    <s v="Burlington"/>
    <x v="0"/>
    <n v="54"/>
    <n v="140"/>
    <n v="7560"/>
    <n v="3780"/>
    <n v="0.5"/>
    <x v="1"/>
  </r>
  <r>
    <x v="3"/>
    <n v="1185732"/>
    <x v="448"/>
    <x v="0"/>
    <s v="Vermont"/>
    <s v="Burlington"/>
    <x v="1"/>
    <n v="47"/>
    <n v="98"/>
    <n v="4606"/>
    <n v="2256.94"/>
    <n v="0.49"/>
    <x v="1"/>
  </r>
  <r>
    <x v="3"/>
    <n v="1185732"/>
    <x v="448"/>
    <x v="0"/>
    <s v="Vermont"/>
    <s v="Burlington"/>
    <x v="2"/>
    <n v="46"/>
    <n v="102"/>
    <n v="4692"/>
    <n v="1736.04"/>
    <n v="0.37"/>
    <x v="1"/>
  </r>
  <r>
    <x v="5"/>
    <n v="1185732"/>
    <x v="448"/>
    <x v="0"/>
    <s v="Vermont"/>
    <s v="Burlington"/>
    <x v="3"/>
    <n v="42"/>
    <n v="96"/>
    <n v="4032"/>
    <n v="1572.4799999999998"/>
    <n v="0.38999999999999996"/>
    <x v="1"/>
  </r>
  <r>
    <x v="5"/>
    <n v="1185732"/>
    <x v="448"/>
    <x v="0"/>
    <s v="Vermont"/>
    <s v="Burlington"/>
    <x v="4"/>
    <n v="50"/>
    <n v="91"/>
    <n v="4550"/>
    <n v="1774.4999999999998"/>
    <n v="0.38999999999999996"/>
    <x v="1"/>
  </r>
  <r>
    <x v="5"/>
    <n v="1185732"/>
    <x v="448"/>
    <x v="0"/>
    <s v="Vermont"/>
    <s v="Burlington"/>
    <x v="5"/>
    <n v="57"/>
    <n v="128"/>
    <n v="7296"/>
    <n v="3429.12"/>
    <n v="0.47"/>
    <x v="1"/>
  </r>
  <r>
    <x v="5"/>
    <n v="1185732"/>
    <x v="477"/>
    <x v="0"/>
    <s v="Vermont"/>
    <s v="Burlington"/>
    <x v="0"/>
    <n v="48"/>
    <n v="186"/>
    <n v="8928"/>
    <n v="4285.4399999999996"/>
    <n v="0.48"/>
    <x v="1"/>
  </r>
  <r>
    <x v="5"/>
    <n v="1185732"/>
    <x v="477"/>
    <x v="0"/>
    <s v="Vermont"/>
    <s v="Burlington"/>
    <x v="1"/>
    <n v="41"/>
    <n v="132"/>
    <n v="5412"/>
    <n v="2760.12"/>
    <n v="0.51"/>
    <x v="1"/>
  </r>
  <r>
    <x v="5"/>
    <n v="1185732"/>
    <x v="477"/>
    <x v="0"/>
    <s v="Vermont"/>
    <s v="Burlington"/>
    <x v="2"/>
    <n v="44"/>
    <n v="131"/>
    <n v="5764"/>
    <n v="2305.6"/>
    <n v="0.39999999999999997"/>
    <x v="1"/>
  </r>
  <r>
    <x v="5"/>
    <n v="1185732"/>
    <x v="477"/>
    <x v="0"/>
    <s v="Vermont"/>
    <s v="Burlington"/>
    <x v="3"/>
    <n v="44"/>
    <n v="101"/>
    <n v="4444"/>
    <n v="1866.48"/>
    <n v="0.42"/>
    <x v="1"/>
  </r>
  <r>
    <x v="5"/>
    <n v="1185732"/>
    <x v="477"/>
    <x v="0"/>
    <s v="Vermont"/>
    <s v="Burlington"/>
    <x v="4"/>
    <n v="48"/>
    <n v="104"/>
    <n v="4992"/>
    <n v="2096.64"/>
    <n v="0.42"/>
    <x v="1"/>
  </r>
  <r>
    <x v="5"/>
    <n v="1185732"/>
    <x v="477"/>
    <x v="0"/>
    <s v="Vermont"/>
    <s v="Burlington"/>
    <x v="5"/>
    <n v="60"/>
    <n v="145"/>
    <n v="8700"/>
    <n v="4088.9999999999995"/>
    <n v="0.47"/>
    <x v="1"/>
  </r>
  <r>
    <x v="5"/>
    <n v="1185732"/>
    <x v="185"/>
    <x v="0"/>
    <s v="Vermont"/>
    <s v="Burlington"/>
    <x v="0"/>
    <n v="34"/>
    <n v="173"/>
    <n v="5882"/>
    <n v="2529.2600000000002"/>
    <n v="0.43000000000000005"/>
    <x v="1"/>
  </r>
  <r>
    <x v="5"/>
    <n v="1185732"/>
    <x v="185"/>
    <x v="0"/>
    <s v="Vermont"/>
    <s v="Burlington"/>
    <x v="1"/>
    <n v="39"/>
    <n v="111"/>
    <n v="4329"/>
    <n v="1861.4700000000003"/>
    <n v="0.43000000000000005"/>
    <x v="1"/>
  </r>
  <r>
    <x v="5"/>
    <n v="1185732"/>
    <x v="185"/>
    <x v="0"/>
    <s v="Vermont"/>
    <s v="Burlington"/>
    <x v="2"/>
    <n v="28"/>
    <n v="101"/>
    <n v="2828"/>
    <n v="1018.0799999999999"/>
    <n v="0.36"/>
    <x v="1"/>
  </r>
  <r>
    <x v="5"/>
    <n v="1185732"/>
    <x v="185"/>
    <x v="0"/>
    <s v="Vermont"/>
    <s v="Burlington"/>
    <x v="3"/>
    <n v="36"/>
    <n v="60"/>
    <n v="2160"/>
    <n v="691.2"/>
    <n v="0.32"/>
    <x v="1"/>
  </r>
  <r>
    <x v="5"/>
    <n v="1185732"/>
    <x v="185"/>
    <x v="0"/>
    <s v="Vermont"/>
    <s v="Burlington"/>
    <x v="4"/>
    <n v="43"/>
    <n v="74"/>
    <n v="3182"/>
    <n v="1050.06"/>
    <n v="0.32999999999999996"/>
    <x v="1"/>
  </r>
  <r>
    <x v="5"/>
    <n v="1185732"/>
    <x v="185"/>
    <x v="0"/>
    <s v="Vermont"/>
    <s v="Burlington"/>
    <x v="5"/>
    <n v="35"/>
    <n v="101"/>
    <n v="3535"/>
    <n v="1413.9999999999998"/>
    <n v="0.39999999999999997"/>
    <x v="1"/>
  </r>
  <r>
    <x v="5"/>
    <n v="1185732"/>
    <x v="693"/>
    <x v="0"/>
    <s v="Vermont"/>
    <s v="Burlington"/>
    <x v="0"/>
    <n v="34"/>
    <n v="186"/>
    <n v="6324"/>
    <n v="2782.56"/>
    <n v="0.44"/>
    <x v="1"/>
  </r>
  <r>
    <x v="5"/>
    <n v="1185732"/>
    <x v="693"/>
    <x v="0"/>
    <s v="Vermont"/>
    <s v="Burlington"/>
    <x v="1"/>
    <n v="37"/>
    <n v="85"/>
    <n v="3145"/>
    <n v="1352.3500000000001"/>
    <n v="0.43000000000000005"/>
    <x v="1"/>
  </r>
  <r>
    <x v="5"/>
    <n v="1185732"/>
    <x v="693"/>
    <x v="0"/>
    <s v="Vermont"/>
    <s v="Burlington"/>
    <x v="2"/>
    <n v="31"/>
    <n v="96"/>
    <n v="2976"/>
    <n v="1011.8399999999999"/>
    <n v="0.33999999999999997"/>
    <x v="1"/>
  </r>
  <r>
    <x v="5"/>
    <n v="1185732"/>
    <x v="693"/>
    <x v="0"/>
    <s v="New Hampshire"/>
    <s v="Manchester"/>
    <x v="3"/>
    <n v="31"/>
    <n v="68"/>
    <n v="2108"/>
    <n v="716.71999999999991"/>
    <n v="0.33999999999999997"/>
    <x v="1"/>
  </r>
  <r>
    <x v="5"/>
    <n v="1185732"/>
    <x v="693"/>
    <x v="0"/>
    <s v="New Hampshire"/>
    <s v="Manchester"/>
    <x v="4"/>
    <n v="41"/>
    <n v="96"/>
    <n v="3936"/>
    <n v="1298.8799999999999"/>
    <n v="0.32999999999999996"/>
    <x v="1"/>
  </r>
  <r>
    <x v="5"/>
    <n v="1185732"/>
    <x v="693"/>
    <x v="0"/>
    <s v="New Hampshire"/>
    <s v="Manchester"/>
    <x v="5"/>
    <n v="36"/>
    <n v="124"/>
    <n v="4464"/>
    <n v="1785.6"/>
    <n v="0.39999999999999997"/>
    <x v="1"/>
  </r>
  <r>
    <x v="5"/>
    <n v="1185732"/>
    <x v="222"/>
    <x v="0"/>
    <s v="New Hampshire"/>
    <s v="Manchester"/>
    <x v="0"/>
    <n v="39"/>
    <n v="188"/>
    <n v="7332"/>
    <n v="3372.7200000000003"/>
    <n v="0.46"/>
    <x v="1"/>
  </r>
  <r>
    <x v="5"/>
    <n v="1185732"/>
    <x v="222"/>
    <x v="0"/>
    <s v="New Hampshire"/>
    <s v="Manchester"/>
    <x v="1"/>
    <n v="36"/>
    <n v="88"/>
    <n v="3168"/>
    <n v="1457.28"/>
    <n v="0.46"/>
    <x v="1"/>
  </r>
  <r>
    <x v="5"/>
    <n v="1185732"/>
    <x v="222"/>
    <x v="0"/>
    <s v="New Hampshire"/>
    <s v="Manchester"/>
    <x v="2"/>
    <n v="32"/>
    <n v="105"/>
    <n v="3360"/>
    <n v="1142.3999999999999"/>
    <n v="0.33999999999999997"/>
    <x v="1"/>
  </r>
  <r>
    <x v="5"/>
    <n v="1185732"/>
    <x v="222"/>
    <x v="0"/>
    <s v="New Hampshire"/>
    <s v="Manchester"/>
    <x v="3"/>
    <n v="33"/>
    <n v="45"/>
    <n v="1485"/>
    <n v="549.45000000000005"/>
    <n v="0.37"/>
    <x v="1"/>
  </r>
  <r>
    <x v="5"/>
    <n v="1185732"/>
    <x v="222"/>
    <x v="0"/>
    <s v="New Hampshire"/>
    <s v="Manchester"/>
    <x v="4"/>
    <n v="47"/>
    <n v="60"/>
    <n v="2820"/>
    <n v="930.59999999999991"/>
    <n v="0.32999999999999996"/>
    <x v="1"/>
  </r>
  <r>
    <x v="5"/>
    <n v="1185732"/>
    <x v="222"/>
    <x v="0"/>
    <s v="New Hampshire"/>
    <s v="Manchester"/>
    <x v="5"/>
    <n v="36"/>
    <n v="99"/>
    <n v="3564"/>
    <n v="1354.32"/>
    <n v="0.38"/>
    <x v="1"/>
  </r>
  <r>
    <x v="5"/>
    <n v="1185732"/>
    <x v="241"/>
    <x v="0"/>
    <s v="New Hampshire"/>
    <s v="Manchester"/>
    <x v="0"/>
    <n v="33"/>
    <n v="187"/>
    <n v="6171"/>
    <n v="2591.8200000000002"/>
    <n v="0.42000000000000004"/>
    <x v="1"/>
  </r>
  <r>
    <x v="5"/>
    <n v="1185732"/>
    <x v="241"/>
    <x v="0"/>
    <s v="New Hampshire"/>
    <s v="Manchester"/>
    <x v="1"/>
    <n v="38"/>
    <n v="85"/>
    <n v="3230"/>
    <n v="1356.6000000000001"/>
    <n v="0.42000000000000004"/>
    <x v="1"/>
  </r>
  <r>
    <x v="5"/>
    <n v="1185732"/>
    <x v="241"/>
    <x v="0"/>
    <s v="New Hampshire"/>
    <s v="Manchester"/>
    <x v="2"/>
    <n v="26"/>
    <n v="80"/>
    <n v="2080"/>
    <n v="707.19999999999993"/>
    <n v="0.33999999999999997"/>
    <x v="1"/>
  </r>
  <r>
    <x v="5"/>
    <n v="1185732"/>
    <x v="241"/>
    <x v="0"/>
    <s v="New Hampshire"/>
    <s v="Manchester"/>
    <x v="3"/>
    <n v="35"/>
    <n v="53"/>
    <n v="1855"/>
    <n v="593.6"/>
    <n v="0.32"/>
    <x v="1"/>
  </r>
  <r>
    <x v="5"/>
    <n v="1185732"/>
    <x v="241"/>
    <x v="0"/>
    <s v="New Hampshire"/>
    <s v="Manchester"/>
    <x v="4"/>
    <n v="40"/>
    <n v="61"/>
    <n v="2440"/>
    <n v="805.19999999999993"/>
    <n v="0.32999999999999996"/>
    <x v="1"/>
  </r>
  <r>
    <x v="5"/>
    <n v="1185732"/>
    <x v="241"/>
    <x v="0"/>
    <s v="New Hampshire"/>
    <s v="Manchester"/>
    <x v="5"/>
    <n v="33"/>
    <n v="101"/>
    <n v="3333"/>
    <n v="1233.21"/>
    <n v="0.37"/>
    <x v="1"/>
  </r>
  <r>
    <x v="5"/>
    <n v="1185732"/>
    <x v="270"/>
    <x v="0"/>
    <s v="New Hampshire"/>
    <s v="Manchester"/>
    <x v="0"/>
    <n v="47"/>
    <n v="196"/>
    <n v="9212"/>
    <n v="3961.1600000000003"/>
    <n v="0.43000000000000005"/>
    <x v="1"/>
  </r>
  <r>
    <x v="5"/>
    <n v="1185732"/>
    <x v="270"/>
    <x v="0"/>
    <s v="New Hampshire"/>
    <s v="Manchester"/>
    <x v="1"/>
    <n v="40"/>
    <n v="93"/>
    <n v="3720"/>
    <n v="1599.6000000000001"/>
    <n v="0.43000000000000005"/>
    <x v="1"/>
  </r>
  <r>
    <x v="5"/>
    <n v="1185732"/>
    <x v="270"/>
    <x v="0"/>
    <s v="New Hampshire"/>
    <s v="Manchester"/>
    <x v="2"/>
    <n v="42"/>
    <n v="101"/>
    <n v="4242"/>
    <n v="1442.28"/>
    <n v="0.33999999999999997"/>
    <x v="1"/>
  </r>
  <r>
    <x v="5"/>
    <n v="1185732"/>
    <x v="270"/>
    <x v="0"/>
    <s v="New Hampshire"/>
    <s v="Manchester"/>
    <x v="3"/>
    <n v="41"/>
    <n v="91"/>
    <n v="3731"/>
    <n v="1268.54"/>
    <n v="0.33999999999999997"/>
    <x v="1"/>
  </r>
  <r>
    <x v="5"/>
    <n v="1185732"/>
    <x v="270"/>
    <x v="0"/>
    <s v="New Hampshire"/>
    <s v="Manchester"/>
    <x v="4"/>
    <n v="52"/>
    <n v="90"/>
    <n v="4680"/>
    <n v="1497.6000000000001"/>
    <n v="0.32"/>
    <x v="1"/>
  </r>
  <r>
    <x v="5"/>
    <n v="1185732"/>
    <x v="270"/>
    <x v="0"/>
    <s v="New Hampshire"/>
    <s v="Manchester"/>
    <x v="5"/>
    <n v="46"/>
    <n v="140"/>
    <n v="6440"/>
    <n v="2511.6"/>
    <n v="0.38999999999999996"/>
    <x v="1"/>
  </r>
  <r>
    <x v="5"/>
    <n v="1185732"/>
    <x v="303"/>
    <x v="0"/>
    <s v="New Hampshire"/>
    <s v="Manchester"/>
    <x v="0"/>
    <n v="44"/>
    <n v="216"/>
    <n v="9504"/>
    <n v="4371.84"/>
    <n v="0.46"/>
    <x v="1"/>
  </r>
  <r>
    <x v="5"/>
    <n v="1185732"/>
    <x v="303"/>
    <x v="0"/>
    <s v="New Hampshire"/>
    <s v="Manchester"/>
    <x v="1"/>
    <n v="40"/>
    <n v="140"/>
    <n v="5600"/>
    <n v="2632"/>
    <n v="0.47000000000000003"/>
    <x v="1"/>
  </r>
  <r>
    <x v="5"/>
    <n v="1185732"/>
    <x v="303"/>
    <x v="0"/>
    <s v="New Hampshire"/>
    <s v="Manchester"/>
    <x v="2"/>
    <n v="43"/>
    <n v="109"/>
    <n v="4687"/>
    <n v="1687.32"/>
    <n v="0.36"/>
    <x v="1"/>
  </r>
  <r>
    <x v="5"/>
    <n v="1185732"/>
    <x v="303"/>
    <x v="0"/>
    <s v="New Hampshire"/>
    <s v="Manchester"/>
    <x v="3"/>
    <n v="37"/>
    <n v="104"/>
    <n v="3848"/>
    <n v="1308.32"/>
    <n v="0.33999999999999997"/>
    <x v="1"/>
  </r>
  <r>
    <x v="5"/>
    <n v="1185732"/>
    <x v="303"/>
    <x v="0"/>
    <s v="New Hampshire"/>
    <s v="Manchester"/>
    <x v="4"/>
    <n v="47"/>
    <n v="114"/>
    <n v="5358"/>
    <n v="1982.46"/>
    <n v="0.37"/>
    <x v="1"/>
  </r>
  <r>
    <x v="5"/>
    <n v="1185732"/>
    <x v="303"/>
    <x v="0"/>
    <s v="New Hampshire"/>
    <s v="Manchester"/>
    <x v="5"/>
    <n v="50"/>
    <n v="162"/>
    <n v="8100"/>
    <n v="3402"/>
    <n v="0.42"/>
    <x v="1"/>
  </r>
  <r>
    <x v="5"/>
    <n v="1185732"/>
    <x v="331"/>
    <x v="0"/>
    <s v="New Hampshire"/>
    <s v="Manchester"/>
    <x v="0"/>
    <n v="49"/>
    <n v="224"/>
    <n v="10976"/>
    <n v="4609.92"/>
    <n v="0.42000000000000004"/>
    <x v="1"/>
  </r>
  <r>
    <x v="5"/>
    <n v="1185732"/>
    <x v="331"/>
    <x v="0"/>
    <s v="New Hampshire"/>
    <s v="Manchester"/>
    <x v="1"/>
    <n v="47"/>
    <n v="149"/>
    <n v="7003"/>
    <n v="3081.32"/>
    <n v="0.44"/>
    <x v="1"/>
  </r>
  <r>
    <x v="5"/>
    <n v="1185732"/>
    <x v="331"/>
    <x v="0"/>
    <s v="New Hampshire"/>
    <s v="Manchester"/>
    <x v="2"/>
    <n v="37"/>
    <n v="128"/>
    <n v="4736"/>
    <n v="1704.96"/>
    <n v="0.36"/>
    <x v="1"/>
  </r>
  <r>
    <x v="5"/>
    <n v="1185732"/>
    <x v="331"/>
    <x v="0"/>
    <s v="New Hampshire"/>
    <s v="Manchester"/>
    <x v="3"/>
    <n v="39"/>
    <n v="107"/>
    <n v="4173"/>
    <n v="1460.55"/>
    <n v="0.35"/>
    <x v="1"/>
  </r>
  <r>
    <x v="5"/>
    <n v="1185732"/>
    <x v="331"/>
    <x v="0"/>
    <s v="New Hampshire"/>
    <s v="Manchester"/>
    <x v="4"/>
    <n v="47"/>
    <n v="119"/>
    <n v="5593"/>
    <n v="2069.41"/>
    <n v="0.37"/>
    <x v="1"/>
  </r>
  <r>
    <x v="5"/>
    <n v="1185732"/>
    <x v="331"/>
    <x v="0"/>
    <s v="New Hampshire"/>
    <s v="Manchester"/>
    <x v="5"/>
    <n v="47"/>
    <n v="163"/>
    <n v="7661"/>
    <n v="3064.3999999999996"/>
    <n v="0.39999999999999997"/>
    <x v="1"/>
  </r>
  <r>
    <x v="5"/>
    <n v="1185732"/>
    <x v="363"/>
    <x v="0"/>
    <s v="New Hampshire"/>
    <s v="Manchester"/>
    <x v="0"/>
    <n v="48"/>
    <n v="203"/>
    <n v="9744"/>
    <n v="4482.24"/>
    <n v="0.46"/>
    <x v="1"/>
  </r>
  <r>
    <x v="5"/>
    <n v="1185732"/>
    <x v="363"/>
    <x v="0"/>
    <s v="New Hampshire"/>
    <s v="Manchester"/>
    <x v="1"/>
    <n v="39"/>
    <n v="135"/>
    <n v="5265"/>
    <n v="2474.5500000000002"/>
    <n v="0.47000000000000003"/>
    <x v="1"/>
  </r>
  <r>
    <x v="5"/>
    <n v="1185732"/>
    <x v="363"/>
    <x v="0"/>
    <s v="New Hampshire"/>
    <s v="Manchester"/>
    <x v="2"/>
    <n v="39"/>
    <n v="113"/>
    <n v="4407"/>
    <n v="1542.4499999999998"/>
    <n v="0.35"/>
    <x v="1"/>
  </r>
  <r>
    <x v="5"/>
    <n v="1185732"/>
    <x v="363"/>
    <x v="0"/>
    <s v="New Hampshire"/>
    <s v="Manchester"/>
    <x v="3"/>
    <n v="42"/>
    <n v="88"/>
    <n v="3696"/>
    <n v="1182.72"/>
    <n v="0.32"/>
    <x v="1"/>
  </r>
  <r>
    <x v="5"/>
    <n v="1185732"/>
    <x v="363"/>
    <x v="0"/>
    <s v="New Hampshire"/>
    <s v="Manchester"/>
    <x v="4"/>
    <n v="45"/>
    <n v="80"/>
    <n v="3600"/>
    <n v="1187.9999999999998"/>
    <n v="0.32999999999999996"/>
    <x v="1"/>
  </r>
  <r>
    <x v="5"/>
    <n v="1185732"/>
    <x v="363"/>
    <x v="0"/>
    <s v="New Hampshire"/>
    <s v="Manchester"/>
    <x v="5"/>
    <n v="46"/>
    <n v="145"/>
    <n v="6670"/>
    <n v="2467.9"/>
    <n v="0.37"/>
    <x v="1"/>
  </r>
  <r>
    <x v="5"/>
    <n v="1185732"/>
    <x v="393"/>
    <x v="0"/>
    <s v="New Hampshire"/>
    <s v="Manchester"/>
    <x v="0"/>
    <n v="51"/>
    <n v="193"/>
    <n v="9843"/>
    <n v="4330.92"/>
    <n v="0.44"/>
    <x v="1"/>
  </r>
  <r>
    <x v="5"/>
    <n v="1185732"/>
    <x v="393"/>
    <x v="0"/>
    <s v="New Hampshire"/>
    <s v="Manchester"/>
    <x v="1"/>
    <n v="43"/>
    <n v="116"/>
    <n v="4988"/>
    <n v="2094.96"/>
    <n v="0.42000000000000004"/>
    <x v="1"/>
  </r>
  <r>
    <x v="5"/>
    <n v="1185732"/>
    <x v="393"/>
    <x v="0"/>
    <s v="New Hampshire"/>
    <s v="Manchester"/>
    <x v="2"/>
    <n v="43"/>
    <n v="78"/>
    <n v="3354"/>
    <n v="1106.82"/>
    <n v="0.32999999999999996"/>
    <x v="1"/>
  </r>
  <r>
    <x v="5"/>
    <n v="1185732"/>
    <x v="393"/>
    <x v="0"/>
    <s v="New Hampshire"/>
    <s v="Manchester"/>
    <x v="3"/>
    <n v="41"/>
    <n v="74"/>
    <n v="3034"/>
    <n v="1122.58"/>
    <n v="0.37"/>
    <x v="1"/>
  </r>
  <r>
    <x v="5"/>
    <n v="1185732"/>
    <x v="393"/>
    <x v="0"/>
    <s v="New Hampshire"/>
    <s v="Manchester"/>
    <x v="4"/>
    <n v="48"/>
    <n v="70"/>
    <n v="3360"/>
    <n v="1209.5999999999999"/>
    <n v="0.36"/>
    <x v="1"/>
  </r>
  <r>
    <x v="5"/>
    <n v="1185732"/>
    <x v="393"/>
    <x v="0"/>
    <s v="New Hampshire"/>
    <s v="Manchester"/>
    <x v="5"/>
    <n v="53"/>
    <n v="104"/>
    <n v="5512"/>
    <n v="2039.44"/>
    <n v="0.37"/>
    <x v="1"/>
  </r>
  <r>
    <x v="0"/>
    <n v="1185732"/>
    <x v="425"/>
    <x v="0"/>
    <s v="New Hampshire"/>
    <s v="Manchester"/>
    <x v="0"/>
    <n v="52"/>
    <n v="162"/>
    <n v="8424"/>
    <n v="3538.0800000000004"/>
    <n v="0.42000000000000004"/>
    <x v="1"/>
  </r>
  <r>
    <x v="0"/>
    <n v="1185732"/>
    <x v="425"/>
    <x v="0"/>
    <s v="New Hampshire"/>
    <s v="Manchester"/>
    <x v="1"/>
    <n v="44"/>
    <n v="99"/>
    <n v="4356"/>
    <n v="1916.64"/>
    <n v="0.44"/>
    <x v="1"/>
  </r>
  <r>
    <x v="0"/>
    <n v="1185732"/>
    <x v="425"/>
    <x v="0"/>
    <s v="New Hampshire"/>
    <s v="Manchester"/>
    <x v="2"/>
    <n v="52"/>
    <n v="60"/>
    <n v="3120"/>
    <n v="1029.5999999999999"/>
    <n v="0.32999999999999996"/>
    <x v="1"/>
  </r>
  <r>
    <x v="0"/>
    <n v="1185732"/>
    <x v="425"/>
    <x v="0"/>
    <s v="New Hampshire"/>
    <s v="Manchester"/>
    <x v="3"/>
    <n v="44"/>
    <n v="61"/>
    <n v="2684"/>
    <n v="858.88"/>
    <n v="0.32"/>
    <x v="1"/>
  </r>
  <r>
    <x v="0"/>
    <n v="1185732"/>
    <x v="425"/>
    <x v="0"/>
    <s v="New Hampshire"/>
    <s v="Manchester"/>
    <x v="4"/>
    <n v="50"/>
    <n v="58"/>
    <n v="2900"/>
    <n v="928"/>
    <n v="0.32"/>
    <x v="1"/>
  </r>
  <r>
    <x v="0"/>
    <n v="1185732"/>
    <x v="425"/>
    <x v="0"/>
    <s v="New Hampshire"/>
    <s v="Manchester"/>
    <x v="5"/>
    <n v="64"/>
    <n v="90"/>
    <n v="5760"/>
    <n v="2246.3999999999996"/>
    <n v="0.38999999999999996"/>
    <x v="1"/>
  </r>
  <r>
    <x v="0"/>
    <n v="1185732"/>
    <x v="455"/>
    <x v="0"/>
    <s v="New Hampshire"/>
    <s v="Manchester"/>
    <x v="0"/>
    <n v="59"/>
    <n v="149"/>
    <n v="8791"/>
    <n v="3780.1300000000006"/>
    <n v="0.43000000000000005"/>
    <x v="1"/>
  </r>
  <r>
    <x v="0"/>
    <n v="1185732"/>
    <x v="455"/>
    <x v="0"/>
    <s v="New Hampshire"/>
    <s v="Manchester"/>
    <x v="1"/>
    <n v="42"/>
    <n v="114"/>
    <n v="4788"/>
    <n v="2058.84"/>
    <n v="0.43000000000000005"/>
    <x v="1"/>
  </r>
  <r>
    <x v="0"/>
    <n v="1185732"/>
    <x v="455"/>
    <x v="0"/>
    <s v="New Hampshire"/>
    <s v="Manchester"/>
    <x v="2"/>
    <n v="51"/>
    <n v="114"/>
    <n v="5814"/>
    <n v="2034.8999999999999"/>
    <n v="0.35"/>
    <x v="1"/>
  </r>
  <r>
    <x v="0"/>
    <n v="1185732"/>
    <x v="455"/>
    <x v="0"/>
    <s v="New Hampshire"/>
    <s v="Manchester"/>
    <x v="3"/>
    <n v="43"/>
    <n v="114"/>
    <n v="4902"/>
    <n v="1666.6799999999998"/>
    <n v="0.33999999999999997"/>
    <x v="1"/>
  </r>
  <r>
    <x v="0"/>
    <n v="1185732"/>
    <x v="455"/>
    <x v="0"/>
    <s v="New Hampshire"/>
    <s v="Manchester"/>
    <x v="4"/>
    <n v="59"/>
    <n v="96"/>
    <n v="5664"/>
    <n v="1925.7599999999998"/>
    <n v="0.33999999999999997"/>
    <x v="1"/>
  </r>
  <r>
    <x v="0"/>
    <n v="1185732"/>
    <x v="455"/>
    <x v="0"/>
    <s v="New Hampshire"/>
    <s v="Manchester"/>
    <x v="5"/>
    <n v="61"/>
    <n v="120"/>
    <n v="7320"/>
    <n v="3001.2"/>
    <n v="0.41"/>
    <x v="1"/>
  </r>
  <r>
    <x v="0"/>
    <n v="1185732"/>
    <x v="484"/>
    <x v="0"/>
    <s v="New Hampshire"/>
    <s v="Manchester"/>
    <x v="0"/>
    <n v="49"/>
    <n v="200"/>
    <n v="9800"/>
    <n v="4606"/>
    <n v="0.47000000000000003"/>
    <x v="1"/>
  </r>
  <r>
    <x v="0"/>
    <n v="1185732"/>
    <x v="484"/>
    <x v="0"/>
    <s v="New Hampshire"/>
    <s v="Manchester"/>
    <x v="1"/>
    <n v="49"/>
    <n v="128"/>
    <n v="6272"/>
    <n v="2634.2400000000002"/>
    <n v="0.42000000000000004"/>
    <x v="1"/>
  </r>
  <r>
    <x v="0"/>
    <n v="1185732"/>
    <x v="484"/>
    <x v="0"/>
    <s v="New Hampshire"/>
    <s v="Manchester"/>
    <x v="2"/>
    <n v="47"/>
    <n v="128"/>
    <n v="6016"/>
    <n v="2165.7599999999998"/>
    <n v="0.36"/>
    <x v="1"/>
  </r>
  <r>
    <x v="0"/>
    <n v="1185732"/>
    <x v="484"/>
    <x v="0"/>
    <s v="New Hampshire"/>
    <s v="Manchester"/>
    <x v="3"/>
    <n v="49"/>
    <n v="116"/>
    <n v="5684"/>
    <n v="1989.3999999999999"/>
    <n v="0.35"/>
    <x v="1"/>
  </r>
  <r>
    <x v="0"/>
    <n v="1185732"/>
    <x v="484"/>
    <x v="0"/>
    <s v="New Hampshire"/>
    <s v="Manchester"/>
    <x v="4"/>
    <n v="50"/>
    <n v="123"/>
    <n v="6150"/>
    <n v="2275.5"/>
    <n v="0.37"/>
    <x v="1"/>
  </r>
  <r>
    <x v="0"/>
    <n v="1185732"/>
    <x v="484"/>
    <x v="0"/>
    <s v="New Hampshire"/>
    <s v="Manchester"/>
    <x v="5"/>
    <n v="61"/>
    <n v="144"/>
    <n v="8784"/>
    <n v="3513.6"/>
    <n v="0.39999999999999997"/>
    <x v="1"/>
  </r>
  <r>
    <x v="0"/>
    <n v="1185732"/>
    <x v="188"/>
    <x v="0"/>
    <s v="New Hampshire"/>
    <s v="Manchester"/>
    <x v="0"/>
    <n v="36"/>
    <n v="165"/>
    <n v="5940"/>
    <n v="2197.8000000000002"/>
    <n v="0.37000000000000005"/>
    <x v="1"/>
  </r>
  <r>
    <x v="0"/>
    <n v="1185732"/>
    <x v="188"/>
    <x v="0"/>
    <s v="New Hampshire"/>
    <s v="Manchester"/>
    <x v="1"/>
    <n v="36"/>
    <n v="93"/>
    <n v="3348"/>
    <n v="1339.2"/>
    <n v="0.4"/>
    <x v="1"/>
  </r>
  <r>
    <x v="0"/>
    <n v="1185732"/>
    <x v="188"/>
    <x v="0"/>
    <s v="New Hampshire"/>
    <s v="Manchester"/>
    <x v="2"/>
    <n v="35"/>
    <n v="99"/>
    <n v="3465"/>
    <n v="935.55000000000007"/>
    <n v="0.27"/>
    <x v="1"/>
  </r>
  <r>
    <x v="0"/>
    <n v="1185732"/>
    <x v="188"/>
    <x v="0"/>
    <s v="New Hampshire"/>
    <s v="Manchester"/>
    <x v="3"/>
    <n v="33"/>
    <n v="51"/>
    <n v="1683"/>
    <n v="471.24000000000007"/>
    <n v="0.28000000000000003"/>
    <x v="1"/>
  </r>
  <r>
    <x v="0"/>
    <n v="1185732"/>
    <x v="188"/>
    <x v="0"/>
    <s v="New Hampshire"/>
    <s v="Manchester"/>
    <x v="4"/>
    <n v="50"/>
    <n v="64"/>
    <n v="3200"/>
    <n v="896.00000000000011"/>
    <n v="0.28000000000000003"/>
    <x v="1"/>
  </r>
  <r>
    <x v="0"/>
    <n v="1185732"/>
    <x v="188"/>
    <x v="0"/>
    <s v="New Hampshire"/>
    <s v="Manchester"/>
    <x v="5"/>
    <n v="41"/>
    <n v="105"/>
    <n v="4305"/>
    <n v="1377.6000000000001"/>
    <n v="0.32"/>
    <x v="1"/>
  </r>
  <r>
    <x v="0"/>
    <n v="1185732"/>
    <x v="696"/>
    <x v="0"/>
    <s v="New Hampshire"/>
    <s v="Manchester"/>
    <x v="0"/>
    <n v="41"/>
    <n v="184"/>
    <n v="7544"/>
    <n v="2791.28"/>
    <n v="0.37000000000000005"/>
    <x v="1"/>
  </r>
  <r>
    <x v="0"/>
    <n v="1185732"/>
    <x v="696"/>
    <x v="0"/>
    <s v="New Hampshire"/>
    <s v="Manchester"/>
    <x v="1"/>
    <n v="42"/>
    <n v="70"/>
    <n v="2940"/>
    <n v="1234.8000000000002"/>
    <n v="0.42000000000000004"/>
    <x v="1"/>
  </r>
  <r>
    <x v="0"/>
    <n v="1185732"/>
    <x v="696"/>
    <x v="0"/>
    <s v="New Hampshire"/>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J21:K59" firstHeaderRow="1" firstDataRow="1" firstDataCol="1"/>
  <pivotFields count="15">
    <pivotField axis="axisRow" subtotalTop="0" showAll="0">
      <items count="7">
        <item x="5"/>
        <item x="0"/>
        <item x="4"/>
        <item x="2"/>
        <item x="1"/>
        <item x="3"/>
        <item t="default"/>
      </items>
    </pivotField>
    <pivotField subtotalTop="0" showAll="0"/>
    <pivotField numFmtId="14" subtotalTop="0" showAll="0">
      <items count="15">
        <item x="0"/>
        <item x="1"/>
        <item x="2"/>
        <item x="3"/>
        <item x="4"/>
        <item x="5"/>
        <item x="6"/>
        <item x="7"/>
        <item x="8"/>
        <item x="9"/>
        <item x="10"/>
        <item x="11"/>
        <item x="12"/>
        <item x="13"/>
        <item t="default"/>
      </items>
    </pivotField>
    <pivotField axis="axisRow" subtotalTop="0" showAll="0">
      <items count="6">
        <item x="3"/>
        <item x="0"/>
        <item x="1"/>
        <item x="4"/>
        <item x="2"/>
        <item t="default"/>
      </items>
    </pivotField>
    <pivotField subtotalTop="0" showAll="0"/>
    <pivotField subtotalTop="0" showAll="0"/>
    <pivotField subtotalTop="0" showAll="0">
      <items count="7">
        <item x="4"/>
        <item x="1"/>
        <item x="0"/>
        <item x="5"/>
        <item x="3"/>
        <item x="2"/>
        <item t="default"/>
      </items>
    </pivotField>
    <pivotField numFmtId="8" subtotalTop="0" showAll="0"/>
    <pivotField numFmtId="3" subtotalTop="0" showAll="0"/>
    <pivotField dataField="1" numFmtId="6" subtotalTop="0" showAll="0"/>
    <pivotField numFmtId="6" subtotalTop="0" showAll="0"/>
    <pivotField numFmtId="9" subtotalTop="0" showAll="0"/>
    <pivotField subtotalTop="0" showAll="0">
      <items count="4">
        <item x="0"/>
        <item x="2"/>
        <item x="1"/>
        <item t="default"/>
      </items>
    </pivotField>
    <pivotField subtotalTop="0" showAll="0">
      <items count="6">
        <item x="0"/>
        <item x="1"/>
        <item x="2"/>
        <item x="3"/>
        <item x="4"/>
        <item t="default"/>
      </items>
    </pivotField>
    <pivotField subtotalTop="0" dragToRow="0" dragToCol="0" dragToPage="0" showAll="0" defaultSubtotal="0"/>
  </pivotFields>
  <rowFields count="2">
    <field x="3"/>
    <field x="0"/>
  </rowFields>
  <rowItems count="38">
    <i>
      <x/>
    </i>
    <i r="1">
      <x/>
    </i>
    <i r="1">
      <x v="1"/>
    </i>
    <i r="1">
      <x v="2"/>
    </i>
    <i r="1">
      <x v="3"/>
    </i>
    <i r="1">
      <x v="5"/>
    </i>
    <i t="default">
      <x/>
    </i>
    <i>
      <x v="1"/>
    </i>
    <i r="1">
      <x/>
    </i>
    <i r="1">
      <x v="1"/>
    </i>
    <i r="1">
      <x v="2"/>
    </i>
    <i r="1">
      <x v="3"/>
    </i>
    <i r="1">
      <x v="4"/>
    </i>
    <i r="1">
      <x v="5"/>
    </i>
    <i t="default">
      <x v="1"/>
    </i>
    <i>
      <x v="2"/>
    </i>
    <i r="1">
      <x/>
    </i>
    <i r="1">
      <x v="1"/>
    </i>
    <i r="1">
      <x v="2"/>
    </i>
    <i r="1">
      <x v="3"/>
    </i>
    <i r="1">
      <x v="4"/>
    </i>
    <i r="1">
      <x v="5"/>
    </i>
    <i t="default">
      <x v="2"/>
    </i>
    <i>
      <x v="3"/>
    </i>
    <i r="1">
      <x/>
    </i>
    <i r="1">
      <x v="1"/>
    </i>
    <i r="1">
      <x v="3"/>
    </i>
    <i r="1">
      <x v="4"/>
    </i>
    <i r="1">
      <x v="5"/>
    </i>
    <i t="default">
      <x v="3"/>
    </i>
    <i>
      <x v="4"/>
    </i>
    <i r="1">
      <x/>
    </i>
    <i r="1">
      <x v="1"/>
    </i>
    <i r="1">
      <x v="2"/>
    </i>
    <i r="1">
      <x v="3"/>
    </i>
    <i r="1">
      <x v="4"/>
    </i>
    <i r="1">
      <x v="5"/>
    </i>
    <i t="default">
      <x v="4"/>
    </i>
  </rowItems>
  <colItems count="1">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21:O42" firstHeaderRow="1" firstDataRow="1" firstDataCol="1"/>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defaultSubtotal="0">
      <items count="5">
        <item x="0"/>
        <item x="1"/>
        <item x="2"/>
        <item x="3"/>
        <item x="4"/>
      </items>
    </pivotField>
    <pivotField dragToRow="0" dragToCol="0" dragToPage="0" showAll="0" defaultSubtotal="0"/>
  </pivotFields>
  <rowFields count="2">
    <field x="3"/>
    <field x="12"/>
  </rowFields>
  <rowItems count="21">
    <i>
      <x/>
    </i>
    <i r="1">
      <x/>
    </i>
    <i r="1">
      <x v="1"/>
    </i>
    <i r="1">
      <x v="2"/>
    </i>
    <i>
      <x v="1"/>
    </i>
    <i r="1">
      <x/>
    </i>
    <i r="1">
      <x v="1"/>
    </i>
    <i r="1">
      <x v="2"/>
    </i>
    <i>
      <x v="2"/>
    </i>
    <i r="1">
      <x/>
    </i>
    <i r="1">
      <x v="1"/>
    </i>
    <i r="1">
      <x v="2"/>
    </i>
    <i>
      <x v="3"/>
    </i>
    <i r="1">
      <x/>
    </i>
    <i r="1">
      <x v="1"/>
    </i>
    <i r="1">
      <x v="2"/>
    </i>
    <i>
      <x v="4"/>
    </i>
    <i r="1">
      <x/>
    </i>
    <i r="1">
      <x v="1"/>
    </i>
    <i r="1">
      <x v="2"/>
    </i>
    <i t="grand">
      <x/>
    </i>
  </rowItems>
  <colItems count="1">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J14:K18" firstHeaderRow="1" firstDataRow="1" firstDataCol="1"/>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defaultSubtotal="0">
      <items count="5">
        <item x="0"/>
        <item x="1"/>
        <item x="2"/>
        <item x="3"/>
        <item x="4"/>
      </items>
    </pivotField>
    <pivotField dragToRow="0" dragToCol="0" dragToPage="0" showAll="0" defaultSubtotal="0"/>
  </pivotFields>
  <rowFields count="1">
    <field x="12"/>
  </rowFields>
  <rowItems count="4">
    <i>
      <x/>
    </i>
    <i>
      <x v="1"/>
    </i>
    <i>
      <x v="2"/>
    </i>
    <i t="grand">
      <x/>
    </i>
  </rowItems>
  <colItems count="1">
    <i/>
  </colItems>
  <dataFields count="1">
    <dataField name="Sum of Total Sales" fld="9" baseField="0" baseItem="0" numFmtId="7"/>
  </dataFields>
  <chartFormats count="2">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5:B61" firstHeaderRow="1" firstDataRow="1" firstDataCol="1"/>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axis="axisRow" showAll="0">
      <items count="6">
        <item x="3"/>
        <item x="0"/>
        <item x="1"/>
        <item x="4"/>
        <item x="2"/>
        <item t="default"/>
      </items>
    </pivotField>
    <pivotField showAll="0"/>
    <pivotField showAll="0"/>
    <pivotField axis="axisRow"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defaultSubtotal="0">
      <items count="5">
        <item x="0"/>
        <item x="1"/>
        <item x="2"/>
        <item x="3"/>
        <item x="4"/>
      </items>
    </pivotField>
    <pivotField dragToRow="0" dragToCol="0" dragToPage="0" showAll="0" defaultSubtotal="0"/>
  </pivotFields>
  <rowFields count="2">
    <field x="3"/>
    <field x="6"/>
  </rowFields>
  <rowItems count="36">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t="grand">
      <x/>
    </i>
  </rowItems>
  <colItems count="1">
    <i/>
  </colItems>
  <dataFields count="1">
    <dataField name="Sum of Total Sales" fld="9" baseField="0" baseItem="0" numFmtId="164"/>
  </dataFields>
  <chartFormats count="3">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3:B10" firstHeaderRow="1" firstDataRow="1" firstDataCol="1"/>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defaultSubtotal="0">
      <items count="5">
        <item x="0"/>
        <item x="1"/>
        <item x="2"/>
        <item x="3"/>
        <item x="4"/>
      </items>
    </pivotField>
    <pivotField dragToRow="0" dragToCol="0" dragToPage="0" showAll="0" defaultSubtotal="0"/>
  </pivotFields>
  <rowFields count="1">
    <field x="6"/>
  </rowFields>
  <rowItems count="7">
    <i>
      <x/>
    </i>
    <i>
      <x v="1"/>
    </i>
    <i>
      <x v="2"/>
    </i>
    <i>
      <x v="3"/>
    </i>
    <i>
      <x v="4"/>
    </i>
    <i>
      <x v="5"/>
    </i>
    <i t="grand">
      <x/>
    </i>
  </rowItems>
  <colItems count="1">
    <i/>
  </colItems>
  <dataFields count="1">
    <dataField name="Sum of Total Sales" fld="9" baseField="0" baseItem="0" numFmtId="164"/>
  </dataFields>
  <chartFormats count="3">
    <chartFormat chart="10"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0">
  <location ref="A15:B21" firstHeaderRow="1" firstDataRow="1" firstDataCol="1"/>
  <pivotFields count="15">
    <pivotField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defaultSubtotal="0">
      <items count="5">
        <item x="0"/>
        <item x="1"/>
        <item x="2"/>
        <item x="3"/>
        <item x="4"/>
      </items>
    </pivotField>
    <pivotField dragToRow="0" dragToCol="0" dragToPage="0" showAll="0" defaultSubtotal="0"/>
  </pivotFields>
  <rowFields count="1">
    <field x="3"/>
  </rowFields>
  <rowItems count="6">
    <i>
      <x/>
    </i>
    <i>
      <x v="1"/>
    </i>
    <i>
      <x v="2"/>
    </i>
    <i>
      <x v="3"/>
    </i>
    <i>
      <x v="4"/>
    </i>
    <i t="grand">
      <x/>
    </i>
  </rowItems>
  <colItems count="1">
    <i/>
  </colItems>
  <dataFields count="1">
    <dataField name="Sum of Total Sales" fld="9" baseField="0" baseItem="0" numFmtId="164"/>
  </dataFields>
  <chartFormats count="5">
    <chartFormat chart="27" format="0"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3" format="0" series="1">
      <pivotArea type="data" outline="0" fieldPosition="0">
        <references count="1">
          <reference field="4294967294" count="1" selected="0">
            <x v="0"/>
          </reference>
        </references>
      </pivotArea>
    </chartFormat>
    <chartFormat chart="6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F3:G30" firstHeaderRow="1" firstDataRow="1" firstDataCol="1"/>
  <pivotFields count="15">
    <pivotField showAll="0">
      <items count="7">
        <item x="5"/>
        <item x="0"/>
        <item x="4"/>
        <item x="2"/>
        <item x="1"/>
        <item x="3"/>
        <item t="default"/>
      </items>
    </pivotField>
    <pivotField showAll="0"/>
    <pivotField axis="axisRow"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axis="axisRow" showAll="0" defaultSubtotal="0">
      <items count="5">
        <item x="0"/>
        <item x="1"/>
        <item x="2"/>
        <item x="3"/>
        <item x="4"/>
      </items>
    </pivotField>
    <pivotField dragToRow="0" dragToCol="0" dragToPage="0" showAll="0" defaultSubtotal="0"/>
  </pivotFields>
  <rowFields count="2">
    <field x="13"/>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dataFields>
  <chartFormats count="2">
    <chartFormat chart="14"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J3:K10" firstHeaderRow="1" firstDataRow="1" firstDataCol="1"/>
  <pivotFields count="15">
    <pivotField axis="axisRow" showAll="0">
      <items count="7">
        <item x="5"/>
        <item x="0"/>
        <item x="4"/>
        <item x="2"/>
        <item x="1"/>
        <item x="3"/>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defaultSubtotal="0">
      <items count="5">
        <item x="0"/>
        <item x="1"/>
        <item x="2"/>
        <item x="3"/>
        <item x="4"/>
      </items>
    </pivotField>
    <pivotField dragToRow="0" dragToCol="0" dragToPage="0" showAll="0" defaultSubtotal="0"/>
  </pivotFields>
  <rowFields count="1">
    <field x="0"/>
  </rowFields>
  <rowItems count="7">
    <i>
      <x/>
    </i>
    <i>
      <x v="1"/>
    </i>
    <i>
      <x v="2"/>
    </i>
    <i>
      <x v="3"/>
    </i>
    <i>
      <x v="4"/>
    </i>
    <i>
      <x v="5"/>
    </i>
    <i t="grand">
      <x/>
    </i>
  </rowItems>
  <colItems count="1">
    <i/>
  </colItems>
  <dataFields count="1">
    <dataField name="Sum of Total Sales" fld="9" baseField="0" baseItem="0" numFmtId="164"/>
  </dataFields>
  <chartFormats count="2">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9:J27" firstHeaderRow="1" firstDataRow="2" firstDataCol="1"/>
  <pivotFields count="15">
    <pivotField showAll="0"/>
    <pivotField showAll="0"/>
    <pivotField numFmtId="14" showAll="0"/>
    <pivotField showAll="0"/>
    <pivotField showAll="0"/>
    <pivotField showAll="0"/>
    <pivotField axis="axisRow"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axis="axisCol" showAll="0" defaultSubtotal="0">
      <items count="5">
        <item x="0"/>
        <item x="1"/>
        <item x="2"/>
        <item x="3"/>
        <item x="4"/>
      </items>
    </pivotField>
    <pivotField dragToRow="0" dragToCol="0" dragToPage="0" showAll="0" defaultSubtotal="0"/>
  </pivotFields>
  <rowFields count="1">
    <field x="6"/>
  </rowFields>
  <rowItems count="7">
    <i>
      <x/>
    </i>
    <i>
      <x v="1"/>
    </i>
    <i>
      <x v="2"/>
    </i>
    <i>
      <x v="3"/>
    </i>
    <i>
      <x v="4"/>
    </i>
    <i>
      <x v="5"/>
    </i>
    <i t="grand">
      <x/>
    </i>
  </rowItems>
  <colFields count="1">
    <field x="13"/>
  </colFields>
  <colItems count="3">
    <i>
      <x v="1"/>
    </i>
    <i>
      <x v="2"/>
    </i>
    <i t="grand">
      <x/>
    </i>
  </colItems>
  <dataFields count="1">
    <dataField name="Sum of Total Sales" fld="9" showDataAs="percentDiff"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C32" firstHeaderRow="1" firstDataRow="1" firstDataCol="0"/>
  <pivotFields count="15">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7">
        <item x="4"/>
        <item x="1"/>
        <item x="0"/>
        <item x="5"/>
        <item x="3"/>
        <item x="2"/>
        <item t="default"/>
      </items>
    </pivotField>
    <pivotField numFmtId="8" showAll="0"/>
    <pivotField numFmtId="3" showAll="0"/>
    <pivotField numFmtId="6" showAll="0"/>
    <pivotField numFmtId="6" showAll="0"/>
    <pivotField numFmtId="9" showAll="0"/>
    <pivotField showAll="0"/>
    <pivotField multipleItemSelectionAllowed="1" showAll="0" defaultSubtotal="0">
      <items count="5">
        <item h="1" x="0"/>
        <item x="1"/>
        <item x="2"/>
        <item h="1" x="3"/>
        <item h="1" x="4"/>
      </items>
    </pivotField>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3" cacheId="0" dataPosition="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8">
  <location ref="A1:G10" firstHeaderRow="1" firstDataRow="3" firstDataCol="1"/>
  <pivotFields count="15">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axis="axisCol" showAll="0" defaultSubtotal="0">
      <items count="5">
        <item x="0"/>
        <item x="1"/>
        <item x="2"/>
        <item x="3"/>
        <item x="4"/>
      </items>
    </pivotField>
    <pivotField dragToRow="0" dragToCol="0" dragToPage="0" showAll="0" defaultSubtotal="0"/>
  </pivotFields>
  <rowFields count="1">
    <field x="6"/>
  </rowFields>
  <rowItems count="7">
    <i>
      <x/>
    </i>
    <i>
      <x v="1"/>
    </i>
    <i>
      <x v="2"/>
    </i>
    <i>
      <x v="3"/>
    </i>
    <i>
      <x v="4"/>
    </i>
    <i>
      <x v="5"/>
    </i>
    <i t="grand">
      <x/>
    </i>
  </rowItems>
  <colFields count="2">
    <field x="13"/>
    <field x="-2"/>
  </colFields>
  <colItems count="6">
    <i>
      <x v="1"/>
      <x/>
    </i>
    <i r="1" i="1">
      <x v="1"/>
    </i>
    <i r="1" i="2">
      <x v="2"/>
    </i>
    <i>
      <x v="2"/>
      <x/>
    </i>
    <i r="1" i="1">
      <x v="1"/>
    </i>
    <i r="1" i="2">
      <x v="2"/>
    </i>
  </colItems>
  <dataFields count="3">
    <dataField name="Sum of Total Sales" fld="9" baseField="0" baseItem="0" numFmtId="164"/>
    <dataField name="Growth Potential" fld="9" showDataAs="difference" baseField="13" baseItem="1048828" numFmtId="164"/>
    <dataField name="Growth%" fld="9" showDataAs="percentDiff" baseField="13" baseItem="1048828" numFmtId="10"/>
  </dataFields>
  <chartFormats count="18">
    <chartFormat chart="1" format="45" series="1">
      <pivotArea type="data" outline="0" fieldPosition="0">
        <references count="2">
          <reference field="4294967294" count="1" selected="0">
            <x v="0"/>
          </reference>
          <reference field="13" count="1" selected="0">
            <x v="1"/>
          </reference>
        </references>
      </pivotArea>
    </chartFormat>
    <chartFormat chart="1" format="46" series="1">
      <pivotArea type="data" outline="0" fieldPosition="0">
        <references count="2">
          <reference field="4294967294" count="1" selected="0">
            <x v="1"/>
          </reference>
          <reference field="13" count="1" selected="0">
            <x v="1"/>
          </reference>
        </references>
      </pivotArea>
    </chartFormat>
    <chartFormat chart="1" format="47" series="1">
      <pivotArea type="data" outline="0" fieldPosition="0">
        <references count="2">
          <reference field="4294967294" count="1" selected="0">
            <x v="2"/>
          </reference>
          <reference field="13" count="1" selected="0">
            <x v="1"/>
          </reference>
        </references>
      </pivotArea>
    </chartFormat>
    <chartFormat chart="3" format="54" series="1">
      <pivotArea type="data" outline="0" fieldPosition="0">
        <references count="2">
          <reference field="4294967294" count="1" selected="0">
            <x v="0"/>
          </reference>
          <reference field="13" count="1" selected="0">
            <x v="1"/>
          </reference>
        </references>
      </pivotArea>
    </chartFormat>
    <chartFormat chart="3" format="55" series="1">
      <pivotArea type="data" outline="0" fieldPosition="0">
        <references count="2">
          <reference field="4294967294" count="1" selected="0">
            <x v="1"/>
          </reference>
          <reference field="13" count="1" selected="0">
            <x v="1"/>
          </reference>
        </references>
      </pivotArea>
    </chartFormat>
    <chartFormat chart="3" format="56" series="1">
      <pivotArea type="data" outline="0" fieldPosition="0">
        <references count="2">
          <reference field="4294967294" count="1" selected="0">
            <x v="2"/>
          </reference>
          <reference field="13" count="1" selected="0">
            <x v="1"/>
          </reference>
        </references>
      </pivotArea>
    </chartFormat>
    <chartFormat chart="3" format="57" series="1">
      <pivotArea type="data" outline="0" fieldPosition="0">
        <references count="2">
          <reference field="4294967294" count="1" selected="0">
            <x v="0"/>
          </reference>
          <reference field="13" count="1" selected="0">
            <x v="2"/>
          </reference>
        </references>
      </pivotArea>
    </chartFormat>
    <chartFormat chart="3" format="58" series="1">
      <pivotArea type="data" outline="0" fieldPosition="0">
        <references count="2">
          <reference field="4294967294" count="1" selected="0">
            <x v="1"/>
          </reference>
          <reference field="13" count="1" selected="0">
            <x v="2"/>
          </reference>
        </references>
      </pivotArea>
    </chartFormat>
    <chartFormat chart="3" format="59" series="1">
      <pivotArea type="data" outline="0" fieldPosition="0">
        <references count="2">
          <reference field="4294967294" count="1" selected="0">
            <x v="2"/>
          </reference>
          <reference field="13" count="1" selected="0">
            <x v="2"/>
          </reference>
        </references>
      </pivotArea>
    </chartFormat>
    <chartFormat chart="6" format="72" series="1">
      <pivotArea type="data" outline="0" fieldPosition="0">
        <references count="2">
          <reference field="4294967294" count="1" selected="0">
            <x v="0"/>
          </reference>
          <reference field="13" count="1" selected="0">
            <x v="1"/>
          </reference>
        </references>
      </pivotArea>
    </chartFormat>
    <chartFormat chart="6" format="73" series="1">
      <pivotArea type="data" outline="0" fieldPosition="0">
        <references count="2">
          <reference field="4294967294" count="1" selected="0">
            <x v="1"/>
          </reference>
          <reference field="13" count="1" selected="0">
            <x v="1"/>
          </reference>
        </references>
      </pivotArea>
    </chartFormat>
    <chartFormat chart="6" format="74" series="1">
      <pivotArea type="data" outline="0" fieldPosition="0">
        <references count="2">
          <reference field="4294967294" count="1" selected="0">
            <x v="2"/>
          </reference>
          <reference field="13" count="1" selected="0">
            <x v="1"/>
          </reference>
        </references>
      </pivotArea>
    </chartFormat>
    <chartFormat chart="6" format="75" series="1">
      <pivotArea type="data" outline="0" fieldPosition="0">
        <references count="2">
          <reference field="4294967294" count="1" selected="0">
            <x v="0"/>
          </reference>
          <reference field="13" count="1" selected="0">
            <x v="2"/>
          </reference>
        </references>
      </pivotArea>
    </chartFormat>
    <chartFormat chart="6" format="76" series="1">
      <pivotArea type="data" outline="0" fieldPosition="0">
        <references count="2">
          <reference field="4294967294" count="1" selected="0">
            <x v="1"/>
          </reference>
          <reference field="13" count="1" selected="0">
            <x v="2"/>
          </reference>
        </references>
      </pivotArea>
    </chartFormat>
    <chartFormat chart="6" format="77" series="1">
      <pivotArea type="data" outline="0" fieldPosition="0">
        <references count="2">
          <reference field="4294967294" count="1" selected="0">
            <x v="2"/>
          </reference>
          <reference field="13" count="1" selected="0">
            <x v="2"/>
          </reference>
        </references>
      </pivotArea>
    </chartFormat>
    <chartFormat chart="1" format="48" series="1">
      <pivotArea type="data" outline="0" fieldPosition="0">
        <references count="2">
          <reference field="4294967294" count="1" selected="0">
            <x v="0"/>
          </reference>
          <reference field="13" count="1" selected="0">
            <x v="2"/>
          </reference>
        </references>
      </pivotArea>
    </chartFormat>
    <chartFormat chart="1" format="49" series="1">
      <pivotArea type="data" outline="0" fieldPosition="0">
        <references count="2">
          <reference field="4294967294" count="1" selected="0">
            <x v="1"/>
          </reference>
          <reference field="13" count="1" selected="0">
            <x v="2"/>
          </reference>
        </references>
      </pivotArea>
    </chartFormat>
    <chartFormat chart="1" format="50" series="1">
      <pivotArea type="data" outline="0" fieldPosition="0">
        <references count="2">
          <reference field="4294967294" count="1" selected="0">
            <x v="2"/>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tailer" sourceName="Retailer">
  <pivotTables>
    <pivotTable tabId="3" name="PivotTable4"/>
    <pivotTable tabId="3" name="PivotTable1"/>
    <pivotTable tabId="3" name="PivotTable10"/>
    <pivotTable tabId="3" name="PivotTable11"/>
    <pivotTable tabId="3" name="PivotTable12"/>
    <pivotTable tabId="3" name="PivotTable2"/>
    <pivotTable tabId="3" name="PivotTable3"/>
    <pivotTable tabId="3" name="PivotTable5"/>
  </pivotTables>
  <data>
    <tabular pivotCacheId="1">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nvoice_Date" sourceName="Invoice Date">
  <pivotTables>
    <pivotTable tabId="3" name="PivotTable4"/>
    <pivotTable tabId="3" name="PivotTable1"/>
    <pivotTable tabId="3" name="PivotTable10"/>
    <pivotTable tabId="3" name="PivotTable11"/>
    <pivotTable tabId="3" name="PivotTable12"/>
    <pivotTable tabId="3" name="PivotTable2"/>
    <pivotTable tabId="3" name="PivotTable3"/>
    <pivotTable tabId="3" name="PivotTable5"/>
    <pivotTable tabId="9" name="PivotTable13"/>
  </pivotTables>
  <data>
    <tabular pivotCacheId="1">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4"/>
    <pivotTable tabId="3" name="PivotTable1"/>
    <pivotTable tabId="3" name="PivotTable10"/>
    <pivotTable tabId="3" name="PivotTable11"/>
    <pivotTable tabId="3" name="PivotTable12"/>
    <pivotTable tabId="3" name="PivotTable2"/>
    <pivotTable tabId="3" name="PivotTable3"/>
    <pivotTable tabId="3" name="PivotTable5"/>
    <pivotTable tabId="9" name="PivotTable13"/>
  </pivotTables>
  <data>
    <tabular pivotCacheId="1">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ivotTable4"/>
    <pivotTable tabId="3" name="PivotTable1"/>
    <pivotTable tabId="3" name="PivotTable10"/>
    <pivotTable tabId="3" name="PivotTable11"/>
    <pivotTable tabId="3" name="PivotTable12"/>
    <pivotTable tabId="3" name="PivotTable2"/>
    <pivotTable tabId="3" name="PivotTable3"/>
    <pivotTable tabId="3" name="PivotTable5"/>
    <pivotTable tabId="9" name="PivotTable13"/>
  </pivotTables>
  <data>
    <tabular pivotCacheId="1">
      <items count="6">
        <i x="4" s="1"/>
        <i x="1" s="1"/>
        <i x="0" s="1"/>
        <i x="5"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ales_Method" sourceName="Sales Method">
  <pivotTables>
    <pivotTable tabId="3" name="PivotTable4"/>
    <pivotTable tabId="3" name="PivotTable1"/>
    <pivotTable tabId="3" name="PivotTable10"/>
    <pivotTable tabId="3" name="PivotTable11"/>
    <pivotTable tabId="3" name="PivotTable12"/>
    <pivotTable tabId="3" name="PivotTable2"/>
    <pivotTable tabId="3" name="PivotTable3"/>
    <pivotTable tabId="3" name="PivotTable5"/>
    <pivotTable tabId="9" name="PivotTable13"/>
  </pivotTables>
  <data>
    <tabular pivotCacheId="1">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3" name="PivotTable4"/>
    <pivotTable tabId="3" name="PivotTable1"/>
    <pivotTable tabId="3" name="PivotTable10"/>
    <pivotTable tabId="3" name="PivotTable11"/>
    <pivotTable tabId="3" name="PivotTable12"/>
    <pivotTable tabId="3" name="PivotTable2"/>
    <pivotTable tabId="3" name="PivotTable3"/>
    <pivotTable tabId="3" name="PivotTable5"/>
    <pivotTable tabId="9" name="PivotTable13"/>
  </pivotTables>
  <data>
    <tabular pivotCacheId="1">
      <items count="5">
        <i x="1" s="1"/>
        <i x="2" s="1"/>
        <i x="0" s="1" nd="1"/>
        <i x="4"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tailer 1" cache="Slicer_Retailer" caption="Retailer" style="Slicer Style 8" rowHeight="241300"/>
  <slicer name="Months 1" cache="Slicer_Invoice_Date" caption="Months" style="Slicer Style 8" rowHeight="241300"/>
  <slicer name="Region 1" cache="Slicer_Region" caption="Regions" style="Slicer Style 8" rowHeight="241300"/>
  <slicer name="Product 1" cache="Slicer_Product" caption="Product" style="Slicer Style 8" rowHeight="241300"/>
  <slicer name="Sales Method 1" cache="Slicer_Sales_Method" caption="Sales Method" style="Slicer Style 8" rowHeight="241300"/>
  <slicer name="Years 1" cache="Slicer_Years" caption="Years" style="Slicer Style 8" rowHeight="241300"/>
</slicers>
</file>

<file path=xl/tables/table1.xml><?xml version="1.0" encoding="utf-8"?>
<table xmlns="http://schemas.openxmlformats.org/spreadsheetml/2006/main" id="1" name="Table1" displayName="Table1" ref="B5:N9653" totalsRowShown="0" headerRowDxfId="14" dataDxfId="13">
  <autoFilter ref="B5:N9653"/>
  <tableColumns count="13">
    <tableColumn id="1" name="Retailer" dataDxfId="12"/>
    <tableColumn id="2" name="Retailer ID" dataDxfId="11"/>
    <tableColumn id="3" name="Invoice Date" dataDxfId="10"/>
    <tableColumn id="4" name="Region" dataDxfId="9"/>
    <tableColumn id="5" name="State" dataDxfId="8"/>
    <tableColumn id="6" name="City" dataDxfId="7"/>
    <tableColumn id="7" name="Product" dataDxfId="6"/>
    <tableColumn id="8" name="Price per Unit" dataDxfId="5"/>
    <tableColumn id="9" name="Units Sold" dataDxfId="4"/>
    <tableColumn id="10" name="Total Sales" dataDxfId="3"/>
    <tableColumn id="11" name="Operating Profit" dataDxfId="2"/>
    <tableColumn id="12" name="Operating Margin" dataDxfId="1"/>
    <tableColumn id="13" name="Sales Meth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9653"/>
  <sheetViews>
    <sheetView topLeftCell="A9623" workbookViewId="0">
      <selection activeCell="B5" sqref="B5:N9653"/>
    </sheetView>
  </sheetViews>
  <sheetFormatPr defaultColWidth="14.42578125" defaultRowHeight="15" customHeight="1" x14ac:dyDescent="0.25"/>
  <cols>
    <col min="1" max="1" width="2.5703125" customWidth="1"/>
    <col min="2" max="2" width="11.140625" customWidth="1"/>
    <col min="3" max="3" width="12.42578125" customWidth="1"/>
    <col min="4" max="4" width="14.140625" customWidth="1"/>
    <col min="5" max="5" width="13" customWidth="1"/>
    <col min="6" max="6" width="12.140625" customWidth="1"/>
    <col min="7" max="7" width="22.42578125" customWidth="1"/>
    <col min="8" max="8" width="27.140625" customWidth="1"/>
    <col min="9" max="9" width="15.28515625" customWidth="1"/>
    <col min="10" max="10" width="12.140625" customWidth="1"/>
    <col min="11" max="11" width="13.42578125" customWidth="1"/>
    <col min="12" max="12" width="17.42578125" customWidth="1"/>
    <col min="13" max="13" width="18.7109375" customWidth="1"/>
    <col min="14" max="14" width="16.5703125" customWidth="1"/>
  </cols>
  <sheetData>
    <row r="1" spans="2:14" ht="6.75" customHeight="1" x14ac:dyDescent="0.25"/>
    <row r="2" spans="2:14" ht="14.25" customHeight="1" x14ac:dyDescent="0.25">
      <c r="C2" s="35" t="s">
        <v>0</v>
      </c>
      <c r="D2" s="36"/>
      <c r="E2" s="36"/>
      <c r="F2" s="36"/>
      <c r="G2" s="36"/>
    </row>
    <row r="3" spans="2:14" ht="17.25" customHeight="1" x14ac:dyDescent="0.35">
      <c r="B3" s="1"/>
      <c r="C3" s="37"/>
      <c r="D3" s="37"/>
      <c r="E3" s="37"/>
      <c r="F3" s="37"/>
      <c r="G3" s="37"/>
      <c r="H3" s="2"/>
      <c r="I3" s="2"/>
      <c r="J3" s="2"/>
      <c r="K3" s="2"/>
      <c r="L3" s="2"/>
      <c r="M3" s="2"/>
      <c r="N3" s="2"/>
    </row>
    <row r="4" spans="2:14" ht="14.25" customHeight="1" x14ac:dyDescent="0.25"/>
    <row r="5" spans="2:14" ht="14.25" customHeight="1" x14ac:dyDescent="0.25">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25">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25">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25">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25">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25">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25">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25">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25">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25">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25">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25">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25">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25">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25">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25">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25">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25">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25">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25">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25">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25">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25">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25">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25">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25">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25">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25">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25">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25">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25">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25">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25">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25">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25">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25">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25">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25">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25">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25">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25">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25">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25">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25">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25">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25">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25">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25">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25">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25">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25">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25">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25">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25">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25">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25">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25">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25">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25">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25">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25">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25">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25">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25">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25">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25">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25">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25">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25">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25">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25">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25">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25">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25">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25">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25">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25">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25">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25">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25">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25">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25">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25">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25">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25">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25">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25">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25">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25">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25">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25">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25">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25">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25">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25">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25">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25">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25">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25">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25">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25">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25">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25">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25">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25">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25">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25">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25">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25">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25">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25">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25">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25">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25">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25">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25">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25">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25">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25">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25">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25">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25">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25">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25">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25">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25">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25">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25">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25">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25">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25">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25">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25">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25">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25">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25">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25">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25">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25">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25">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25">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25">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25">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25">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25">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25">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25">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25">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25">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25">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25">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25">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25">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25">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25">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25">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25">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25">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25">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25">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25">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25">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25">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25">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25">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25">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25">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25">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25">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25">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25">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25">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25">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25">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25">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25">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25">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25">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25">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25">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25">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25">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25">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25">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25">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25">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25">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25">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25">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25">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25">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25">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25">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25">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25">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25">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25">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25">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25">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25">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25">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25">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25">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25">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25">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25">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25">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25">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25">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25">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25">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25">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25">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25">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25">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25">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25">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25">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25">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25">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25">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25">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25">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25">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25">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25">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25">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25">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25">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25">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25">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25">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25">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25">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25">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25">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25">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25">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25">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25">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25">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25">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25">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25">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25">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25">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25">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25">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25">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25">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25">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25">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25">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25">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25">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25">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25">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25">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25">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25">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25">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25">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25">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25">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25">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25">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25">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25">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25">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25">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25">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25">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25">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25">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25">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25">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25">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25">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25">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25">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25">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25">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25">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25">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25">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25">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25">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25">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25">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25">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25">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25">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25">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25">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25">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25">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25">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25">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25">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25">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25">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25">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25">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25">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25">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25">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25">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25">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25">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25">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25">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25">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25">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25">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25">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25">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25">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25">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25">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25">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25">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25">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25">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25">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25">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25">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25">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25">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25">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25">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25">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25">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25">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25">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25">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25">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25">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25">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25">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25">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25">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25">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25">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25">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25">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25">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25">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25">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25">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25">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25">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25">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25">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25">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25">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25">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25">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25">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25">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25">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25">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25">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25">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25">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25">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25">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25">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25">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25">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25">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25">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25">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25">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25">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25">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25">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25">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25">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25">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25">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25">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25">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25">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25">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25">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25">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25">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25">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25">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25">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25">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25">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25">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25">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25">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25">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25">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25">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25">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25">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25">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25">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25">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25">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25">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25">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25">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25">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25">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25">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25">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25">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25">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25">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25">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25">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25">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25">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25">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25">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25">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25">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25">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25">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25">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25">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25">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25">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25">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25">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25">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25">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25">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25">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25">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25">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25">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25">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25">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25">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25">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25">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25">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25">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25">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25">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25">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25">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25">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25">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25">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25">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25">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25">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25">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25">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25">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25">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25">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25">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25">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25">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25">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25">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25">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25">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25">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25">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25">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25">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25">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25">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25">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25">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25">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25">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25">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25">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25">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25">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25">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25">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25">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25">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25">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25">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25">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25">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25">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25">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25">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25">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25">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25">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25">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25">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25">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25">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25">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25">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25">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25">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25">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25">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25">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25">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25">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25">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25">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25">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25">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25">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25">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25">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25">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25">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25">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25">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25">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25">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25">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25">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25">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25">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25">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25">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25">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25">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25">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25">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25">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25">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25">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25">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25">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25">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25">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25">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25">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25">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25">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25">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25">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25">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25">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25">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25">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25">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25">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25">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25">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25">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25">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25">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25">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25">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25">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25">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25">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25">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25">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25">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25">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25">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25">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25">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25">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25">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25">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25">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25">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25">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25">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25">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25">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25">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25">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25">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25">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25">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25">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25">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25">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25">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25">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25">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25">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25">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25">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25">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25">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25">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25">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25">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25">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25">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25">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25">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25">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25">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25">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25">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25">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25">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25">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25">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25">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25">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25">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25">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25">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25">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25">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25">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25">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25">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25">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25">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25">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25">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25">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25">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25">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25">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25">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25">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25">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25">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25">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25">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25">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25">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25">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25">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25">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25">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25">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25">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25">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25">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25">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25">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25">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25">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25">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25">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25">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25">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25">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25">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25">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25">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25">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25">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25">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25">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25">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25">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25">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25">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25">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25">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25">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25">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25">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25">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25">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25">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25">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25">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25">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25">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25">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25">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25">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25">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25">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25">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25">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25">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25">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25">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25">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25">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25">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25">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25">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25">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25">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25">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25">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25">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25">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25">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25">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25">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25">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25">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25">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25">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25">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25">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25">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25">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25">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25">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25">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25">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25">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25">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25">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25">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25">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25">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25">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25">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25">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25">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25">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25">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25">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25">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25">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25">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25">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25">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25">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25">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25">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25">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25">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25">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25">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25">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25">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25">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25">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25">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25">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25">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25">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25">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25">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25">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25">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25">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25">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25">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25">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25">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25">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25">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25">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25">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25">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25">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25">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25">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25">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25">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25">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25">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25">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25">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25">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25">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25">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25">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25">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25">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25">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25">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25">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25">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25">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25">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25">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25">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25">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25">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25">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25">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25">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25">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25">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25">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25">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25">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25">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25">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25">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25">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25">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25">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25">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25">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25">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25">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25">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25">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25">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25">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25">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25">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25">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25">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25">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25">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25">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25">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25">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25">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25">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25">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25">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25">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25">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25">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25">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25">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25">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25">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25">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25">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25">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25">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25">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25">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25">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25">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25">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25">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25">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25">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25">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25">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25">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25">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25">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25">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25">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25">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25">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25">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25">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25">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25">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25">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25">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25">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25">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25">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25">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25">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25">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25">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25">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25">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25">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25">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25">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25">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25">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25">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25">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25">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25">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25">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25">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25">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25">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25">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25">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25">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25">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25">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25">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25">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25">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25">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25">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25">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25">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25">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25">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25">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25">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25">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25">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25">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25">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25">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25">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25">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25">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25">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25">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25">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25">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25">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25">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25">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25">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25">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25">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25">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25">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25">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25">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25">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25">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25">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25">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25">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25">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25">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25">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25">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25">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25">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25">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25">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25">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25">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25">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25">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25">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25">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25">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25">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25">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25">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25">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25">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25">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25">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25">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25">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25">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25">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25">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25">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25">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25">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25">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25">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25">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25">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25">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25">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25">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25">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25">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25">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25">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25">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25">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25">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25">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25">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25">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25">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25">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25">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25">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25">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25">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25">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25">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25">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25">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25">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25">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25">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25">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25">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25">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25">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25">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25">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25">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25">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25">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25">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25">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25">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25">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25">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25">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25">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25">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25">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25">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25">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25">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25">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25">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25">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25">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25">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25">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25">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25">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25">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25">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25">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25">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25">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25">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25">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25">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25">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25">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25">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25">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25">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25">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25">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25">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25">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25">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25">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25">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25">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25">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25">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25">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25">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25">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25">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25">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25">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25">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25">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25">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25">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25">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25">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25">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25">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25">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25">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25">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25">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25">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25">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25">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25">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25">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25">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25">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25">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25">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25">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25">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25">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25">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25">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25">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25">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25">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25">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25">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25">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25">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25">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25">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25">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25">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25">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25">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25">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25">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25">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25">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25">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25">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25">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25">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25">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25">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25">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25">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25">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25">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25">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25">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25">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25">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25">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25">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25">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25">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25">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25">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25">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25">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25">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25">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25">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25">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25">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25">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25">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25">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25">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25">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25">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25">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25">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25">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25">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25">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25">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25">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25">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25">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25">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25">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25">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25">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25">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25">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25">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25">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25">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25">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25">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25">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25">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25">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25">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25">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25">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25">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25">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25">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25">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25">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25">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25">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25">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25">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25">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25">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25">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25">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25">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25">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25">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25">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25">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25">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25">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25">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25">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25">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25">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25">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25">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25">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25">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25">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25">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25">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25">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25">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25">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25">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25">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25">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25">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25">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25">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25">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25">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25">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25">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25">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25">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25">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25">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25">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25">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25">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25">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25">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25">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25">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25">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25">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25">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25">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25">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25">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25">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25">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25">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25">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25">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25">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25">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25">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25">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25">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25">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25">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25">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25">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25">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25">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25">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25">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25">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25">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25">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25">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25">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25">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25">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25">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25">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25">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25">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25">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25">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25">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25">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25">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25">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25">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25">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25">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25">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25">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25">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25">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25">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25">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25">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25">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25">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25">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25">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25">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25">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25">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25">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25">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25">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25">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25">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25">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25">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25">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25">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25">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25">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25">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25">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25">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25">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25">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25">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25">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25">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25">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25">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25">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25">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25">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25">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25">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25">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25">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25">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25">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25">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25">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25">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25">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25">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25">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25">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25">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25">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25">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25">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25">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25">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25">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25">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25">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25">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25">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25">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25">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25">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25">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25">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25">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25">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25">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25">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25">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25">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25">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25">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25">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25">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25">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25">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25">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25">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25">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25">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25">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25">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25">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25">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25">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25">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25">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25">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25">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25">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25">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25">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25">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25">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25">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25">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25">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25">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25">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25">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25">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25">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25">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25">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25">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25">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25">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25">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25">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25">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25">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25">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25">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25">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25">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25">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25">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25">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25">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25">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25">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25">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25">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25">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25">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25">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25">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25">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25">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25">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25">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25">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25">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25">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25">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25">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25">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25">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25">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25">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25">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25">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25">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25">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25">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25">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25">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25">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25">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25">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25">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25">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25">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25">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25">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25">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25">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25">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25">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25">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25">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25">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25">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25">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25">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25">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25">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25">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25">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25">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25">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25">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25">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25">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25">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25">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25">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25">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25">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25">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25">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25">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25">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25">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25">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25">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25">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25">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25">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25">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25">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25">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25">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25">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25">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25">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25">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25">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25">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25">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25">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25">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25">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25">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25">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25">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25">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25">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25">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25">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25">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25">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25">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25">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25">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25">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25">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25">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25">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25">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25">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25">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25">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25">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25">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25">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25">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25">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25">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25">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25">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25">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25">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25">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25">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25">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25">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25">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25">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25">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25">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25">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25">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25">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25">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25">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25">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25">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25">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25">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25">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25">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25">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25">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25">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25">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25">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25">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25">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25">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25">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25">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25">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25">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25">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25">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25">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25">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25">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25">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25">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25">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25">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25">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25">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25">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25">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25">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25">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25">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25">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25">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25">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25">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25">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25">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25">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25">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25">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25">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25">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25">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25">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25">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25">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25">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25">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25">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25">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25">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25">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25">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25">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25">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25">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25">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25">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25">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25">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25">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25">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25">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25">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25">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25">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25">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25">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25">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25">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25">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25">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25">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25">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25">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25">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25">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25">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25">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25">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25">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25">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25">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25">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25">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25">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25">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25">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25">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25">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25">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25">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25">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25">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25">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25">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25">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25">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25">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25">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25">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25">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25">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25">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25">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25">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25">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25">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25">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25">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25">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25">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25">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25">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25">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25">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25">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25">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25">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25">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25">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25">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25">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25">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25">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25">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25">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25">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25">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25">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25">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25">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25">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25">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25">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25">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25">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25">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25">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25">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25">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25">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25">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25">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25">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25">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25">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25">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25">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25">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25">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25">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25">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25">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25">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25">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25">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25">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25">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25">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25">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25">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25">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25">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25">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25">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25">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25">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25">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25">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25">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25">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25">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25">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25">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25">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25">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25">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25">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25">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25">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25">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25">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25">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25">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25">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25">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25">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25">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25">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25">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25">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25">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25">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25">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25">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25">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25">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25">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25">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25">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25">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25">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25">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25">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25">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25">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25">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25">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25">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25">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25">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25">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25">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25">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25">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25">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25">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25">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25">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25">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25">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25">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25">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25">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25">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25">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25">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25">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25">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25">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25">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25">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25">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25">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25">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25">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25">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25">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25">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25">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25">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25">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25">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25">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25">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25">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25">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25">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25">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25">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25">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25">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25">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25">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25">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25">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25">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25">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25">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25">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25">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25">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25">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25">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25">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25">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25">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25">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25">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25">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25">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25">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25">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25">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25">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25">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25">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25">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25">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25">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25">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25">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25">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25">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25">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25">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25">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25">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25">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25">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25">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25">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25">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25">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25">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25">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25">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25">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25">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25">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25">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25">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25">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25">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25">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25">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25">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25">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25">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25">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25">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25">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25">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25">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25">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25">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25">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25">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25">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25">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25">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25">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25">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25">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25">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25">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25">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25">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25">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25">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25">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25">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25">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25">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25">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25">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25">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25">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25">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25">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25">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25">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25">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25">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25">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25">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25">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25">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25">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25">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25">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25">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25">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25">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25">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25">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25">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25">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25">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25">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25">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25">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25">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25">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25">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25">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25">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25">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25">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25">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25">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25">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25">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25">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25">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25">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25">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25">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25">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25">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25">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25">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25">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25">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25">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25">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25">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25">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25">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25">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25">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25">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25">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25">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25">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25">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25">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25">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25">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25">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25">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25">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25">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25">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25">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25">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25">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25">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25">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25">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25">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25">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25">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25">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25">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25">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25">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25">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25">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25">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25">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25">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25">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25">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25">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25">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25">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25">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25">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25">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25">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25">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25">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25">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25">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25">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25">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25">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25">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25">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25">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25">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25">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25">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25">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25">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25">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25">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25">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25">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25">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25">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25">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25">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25">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25">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25">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25">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25">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25">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25">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25">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25">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25">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25">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25">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25">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25">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25">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25">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25">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25">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25">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25">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25">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25">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25">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25">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25">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25">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25">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25">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25">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25">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25">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25">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25">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25">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25">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25">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25">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25">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25">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25">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25">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25">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25">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25">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25">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25">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25">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25">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25">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25">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25">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25">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25">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25">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25">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25">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25">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25">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25">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25">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25">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25">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25">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25">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25">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25">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25">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25">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25">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25">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25">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25">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25">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25">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25">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25">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25">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25">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25">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25">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25">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25">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25">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25">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25">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25">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25">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25">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25">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25">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25">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25">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25">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25">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25">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25">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25">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25">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25">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25">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25">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25">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25">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25">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25">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25">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25">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25">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25">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25">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25">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25">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25">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25">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25">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25">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25">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25">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25">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25">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25">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25">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25">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25">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25">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25">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25">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25">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25">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25">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25">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25">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25">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25">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25">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25">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25">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25">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25">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25">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25">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25">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25">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25">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25">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25">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25">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25">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25">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25">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25">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25">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25">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25">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25">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25">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25">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25">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25">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25">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25">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25">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25">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25">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25">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25">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25">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25">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25">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25">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25">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25">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25">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25">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25">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25">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25">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25">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25">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25">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25">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25">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25">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25">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25">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25">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25">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25">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25">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25">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25">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25">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25">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25">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25">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25">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25">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25">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25">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25">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25">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25">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25">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25">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25">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25">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25">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25">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25">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25">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25">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25">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25">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25">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25">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25">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25">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25">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25">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25">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25">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25">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25">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25">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25">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25">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25">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25">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25">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25">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25">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25">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25">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25">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25">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25">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25">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25">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25">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25">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25">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25">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25">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25">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25">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25">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25">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25">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25">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25">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25">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25">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25">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25">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25">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25">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25">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25">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25">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25">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25">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25">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25">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25">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25">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25">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25">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25">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25">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25">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25">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25">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25">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25">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25">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25">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25">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25">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25">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25">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25">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25">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25">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25">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25">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25">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25">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25">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25">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25">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25">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25">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25">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25">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25">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25">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25">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25">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25">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25">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25">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25">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25">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25">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25">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25">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25">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25">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25">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25">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25">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25">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25">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25">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25">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25">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25">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25">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25">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25">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25">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25">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25">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25">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25">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25">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25">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25">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25">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25">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25">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25">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25">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25">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25">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25">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25">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25">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25">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25">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25">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25">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25">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25">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25">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25">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25">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25">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25">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25">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25">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25">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25">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25">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25">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25">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25">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25">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25">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25">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25">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25">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25">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25">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25">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25">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25">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25">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25">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25">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25">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25">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25">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25">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25">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25">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25">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25">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25">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25">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25">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25">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25">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25">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25">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25">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25">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25">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25">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25">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25">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25">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25">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25">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25">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25">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25">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25">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25">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25">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25">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25">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25">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25">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25">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25">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25">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25">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25">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25">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25">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25">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25">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25">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25">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25">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25">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25">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25">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25">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25">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25">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25">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25">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25">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25">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25">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25">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25">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25">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25">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25">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25">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25">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25">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25">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25">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25">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25">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25">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25">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25">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25">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25">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25">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25">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25">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25">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25">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25">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25">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25">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25">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25">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25">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25">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25">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25">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25">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25">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25">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25">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25">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25">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25">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25">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25">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25">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25">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25">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25">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25">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25">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25">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25">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25">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25">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25">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25">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25">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25">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25">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25">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25">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25">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25">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25">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25">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25">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25">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25">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25">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25">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25">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25">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25">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25">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25">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25">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25">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25">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25">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25">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25">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25">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25">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25">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25">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25">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25">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25">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25">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25">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25">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25">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25">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25">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25">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25">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25">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25">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25">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25">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25">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25">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25">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25">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25">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25">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25">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25">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25">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25">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25">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25">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25">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25">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25">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25">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25">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25">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25">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25">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25">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25">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25">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25">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25">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25">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25">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25">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25">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25">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25">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25">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25">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25">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25">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25">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25">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25">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25">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25">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25">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25">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25">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25">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25">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25">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25">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25">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25">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25">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25">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25">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25">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25">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25">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25">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25">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25">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25">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25">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25">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25">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25">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25">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25">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25">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25">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25">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25">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25">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25">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25">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25">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25">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25">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25">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25">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25">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25">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25">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25">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25">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25">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25">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25">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25">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25">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25">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25">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25">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25">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25">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25">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25">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25">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25">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25">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25">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25">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25">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25">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25">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25">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25">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25">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25">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25">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25">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25">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25">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25">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25">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25">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25">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25">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25">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25">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25">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25">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25">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25">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25">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25">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25">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25">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25">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25">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25">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25">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25">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25">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25">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25">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25">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25">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25">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25">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25">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25">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25">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25">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25">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25">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25">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25">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25">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25">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25">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25">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25">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25">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25">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25">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25">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25">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25">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25">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25">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25">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25">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25">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25">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25">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25">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25">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25">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25">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25">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25">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25">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25">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25">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25">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25">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25">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25">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25">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25">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25">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25">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25">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25">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25">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25">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25">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25">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25">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25">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25">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25">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25">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25">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25">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25">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25">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25">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25">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25">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25">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25">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25">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25">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25">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25">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25">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25">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25">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25">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25">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25">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25">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25">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25">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25">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25">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25">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25">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25">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25">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25">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25">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25">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25">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25">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25">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25">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25">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25">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25">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25">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25">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25">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25">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25">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25">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25">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25">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25">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25">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25">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25">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25">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25">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25">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25">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25">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25">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25">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25">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25">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25">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25">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25">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25">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25">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25">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25">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25">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25">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25">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25">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25">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25">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25">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25">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25">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25">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25">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25">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25">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25">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25">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25">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25">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25">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25">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25">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25">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25">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25">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25">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25">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25">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25">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25">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25">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25">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25">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25">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25">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25">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25">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25">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25">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25">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25">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25">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25">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25">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25">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25">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25">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25">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25">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25">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25">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25">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25">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25">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25">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25">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25">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25">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25">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25">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25">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25">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25">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25">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25">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25">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25">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25">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25">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25">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25">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25">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25">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25">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25">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25">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25">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25">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25">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25">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25">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25">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25">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25">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25">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25">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25">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25">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25">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25">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25">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25">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25">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25">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25">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25">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25">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25">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25">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25">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25">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25">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25">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25">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25">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25">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25">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25">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25">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25">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25">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25">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25">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25">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25">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25">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25">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25">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25">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25">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25">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25">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25">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25">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25">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25">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25">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25">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25">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25">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25">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25">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25">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25">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25">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25">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25">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25">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25">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25">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25">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25">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25">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25">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25">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25">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25">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25">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25">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25">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25">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25">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25">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25">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25">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25">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25">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25">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25">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25">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25">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25">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25">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25">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25">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25">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25">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25">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25">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25">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25">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25">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25">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25">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25">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25">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25">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25">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25">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25">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25">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25">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25">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25">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25">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25">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25">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25">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25">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25">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25">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25">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25">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25">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25">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25">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25">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25">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25">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25">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25">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25">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25">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25">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25">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25">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25">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25">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25">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25">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25">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25">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25">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25">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25">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25">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25">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25">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25">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25">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25">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25">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25">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25">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25">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25">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25">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25">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25">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25">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25">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25">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25">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25">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25">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25">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25">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25">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25">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25">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25">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25">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25">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25">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25">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25">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25">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25">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25">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25">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25">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25">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25">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25">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25">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25">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25">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25">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25">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25">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25">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25">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25">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25">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25">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25">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25">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25">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25">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25">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25">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25">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25">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25">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25">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25">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25">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25">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25">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25">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25">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25">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25">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25">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25">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25">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25">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25">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25">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25">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25">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25">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25">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25">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25">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25">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25">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25">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25">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25">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25">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25">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25">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25">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25">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25">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25">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25">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25">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25">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25">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25">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25">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25">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25">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25">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25">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25">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25">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25">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25">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25">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25">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25">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25">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25">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25">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25">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25">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25">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25">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25">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25">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25">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25">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25">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25">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25">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25">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25">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25">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25">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25">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25">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25">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25">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25">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25">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25">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25">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25">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25">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25">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25">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25">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25">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25">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25">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25">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25">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25">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25">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25">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25">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25">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25">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25">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25">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25">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25">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25">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25">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25">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25">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25">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25">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25">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25">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25">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25">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25">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25">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25">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25">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25">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25">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25">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25">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25">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25">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25">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25">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25">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25">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25">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25">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25">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25">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25">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25">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25">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25">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25">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25">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25">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25">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25">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25">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25">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25">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25">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25">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25">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25">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25">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25">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25">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25">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25">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25">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25">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25">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25">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25">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25">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25">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25">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25">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25">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25">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25">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25">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25">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25">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25">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25">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25">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25">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25">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25">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25">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25">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25">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25">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25">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25">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25">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25">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25">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25">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25">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25">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25">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25">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25">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25">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25">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25">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25">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25">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25">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25">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25">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25">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25">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25">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25">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25">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25">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25">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25">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25">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25">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25">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25">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25">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25">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25">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25">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25">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25">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25">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25">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25">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25">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25">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25">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25">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25">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25">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25">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25">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25">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25">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25">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25">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25">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25">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25">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25">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25">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25">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25">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25">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25">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25">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25">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25">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25">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25">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25">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25">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25">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25">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25">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25">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25">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25">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25">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25">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25">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25">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25">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25">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25">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25">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25">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25">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25">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25">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25">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25">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25">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25">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25">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25">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25">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25">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25">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25">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25">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25">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25">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25">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25">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25">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25">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25">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25">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25">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25">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25">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25">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25">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25">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25">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25">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25">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25">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25">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25">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25">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25">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25">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25">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25">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25">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25">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25">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25">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25">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25">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25">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25">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25">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25">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25">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25">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25">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25">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25">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25">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25">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25">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25">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25">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25">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25">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25">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25">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25">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25">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25">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25">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25">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25">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25">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25">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25">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25">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25">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25">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25">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25">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25">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25">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25">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25">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25">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25">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25">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25">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25">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25">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25">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25">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25">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25">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25">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25">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25">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25">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25">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25">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25">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25">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25">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25">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25">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25">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25">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25">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25">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25">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25">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25">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25">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25">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25">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25">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25">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25">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25">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25">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25">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25">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25">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25">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25">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25">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25">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25">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25">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25">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25">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25">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25">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25">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25">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25">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25">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25">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25">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25">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25">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25">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25">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25">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25">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25">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25">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25">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25">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25">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25">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25">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25">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25">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25">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25">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25">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25">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25">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25">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25">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25">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25">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25">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25">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25">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25">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25">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25">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25">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25">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25">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25">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25">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25">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25">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25">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25">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25">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25">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25">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25">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25">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25">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25">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25">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25">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25">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25">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25">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25">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25">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25">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25">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25">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25">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25">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25">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25">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25">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25">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25">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25">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25">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25">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25">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25">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25">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25">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25">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25">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25">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25">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25">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25">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25">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25">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25">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25">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25">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25">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25">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25">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25">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25">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25">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25">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25">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25">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25">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25">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25">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25">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25">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25">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25">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25">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25">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25">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25">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25">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25">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25">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25">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25">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25">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25">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25">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25">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25">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25">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25">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25">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25">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25">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25">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25">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25">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25">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25">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25">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25">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25">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25">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25">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25">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25">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25">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25">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25">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25">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25">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25">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25">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25">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25">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25">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25">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25">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25">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25">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25">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25">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25">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25">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25">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25">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25">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25">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25">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25">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25">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25">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25">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25">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25">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25">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25">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25">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25">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25">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25">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25">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25">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25">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25">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25">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25">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25">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25">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25">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25">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25">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25">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25">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25">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25">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25">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25">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25">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25">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25">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25">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25">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25">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25">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25">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25">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25">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25">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25">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25">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25">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25">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25">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25">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25">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25">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25">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25">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25">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25">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25">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25">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25">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25">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25">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25">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25">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25">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25">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25">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25">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25">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25">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25">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25">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25">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25">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25">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25">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25">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25">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25">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25">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25">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25">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25">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25">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25">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25">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25">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25">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25">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25">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25">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25">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25">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25">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25">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25">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25">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25">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25">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25">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25">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25">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25">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25">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25">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25">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25">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25">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25">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25">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25">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25">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25">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25">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25">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25">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25">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25">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25">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25">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25">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25">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25">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25">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25">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25">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25">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25">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25">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25">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25">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25">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25">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25">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25">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25">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25">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25">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25">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25">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25">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25">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25">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25">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25">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25">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25">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25">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25">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25">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25">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25">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25">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25">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25">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25">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25">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25">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25">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25">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25">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25">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25">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25">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25">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25">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25">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25">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25">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25">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25">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25">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25">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25">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25">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25">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25">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25">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25">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25">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25">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25">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25">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25">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25">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25">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25">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25">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25">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25">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25">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25">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25">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25">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25">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25">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25">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25">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25">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25">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25">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25">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25">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25">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25">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25">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25">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25">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25">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25">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25">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25">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25">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25">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25">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25">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25">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25">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25">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25">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25">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25">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25">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25">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25">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25">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25">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25">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25">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25">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25">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25">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25">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25">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25">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25">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25">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25">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25">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25">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25">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25">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25">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25">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25">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25">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25">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25">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25">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25">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25">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25">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25">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25">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25">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25">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25">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25">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25">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25">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25">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25">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25">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25">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25">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25">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25">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25">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25">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25">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25">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25">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25">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25">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25">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25">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25">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25">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25">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25">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25">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25">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25">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25">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25">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25">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25">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25">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25">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25">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25">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25">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25">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25">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25">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25">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25">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25">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25">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25">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25">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25">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25">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25">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25">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25">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25">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25">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25">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25">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25">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25">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25">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25">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25">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25">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25">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25">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25">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25">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25">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25">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25">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25">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25">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25">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25">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25">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25">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25">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25">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25">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25">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25">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25">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25">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25">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25">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25">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25">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25">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25">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25">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25">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25">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25">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25">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25">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25">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25">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25">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25">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25">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25">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25">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25">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25">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25">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25">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25">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25">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25">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25">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25">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25">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25">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25">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25">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25">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25">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25">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25">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25">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25">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25">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25">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25">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25">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25">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25">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25">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25">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25">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25">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25">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25">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25">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25">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25">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25">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25">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25">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25">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25">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25">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25">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25">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25">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25">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25">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25">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25">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25">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25">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25">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25">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25">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25">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25">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25">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25">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25">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25">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25">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25">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25">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25">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25">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25">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25">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25">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25">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25">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25">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25">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25">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25">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25">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25">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25">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25">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25">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25">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25">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25">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25">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25">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25">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25">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25">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25">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25">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25">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25">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25">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25">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25">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25">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25">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25">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25">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25">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25">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25">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25">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25">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25">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25">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25">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25">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25">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25">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25">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25">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25">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25">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25">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25">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25">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25">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25">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25">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25">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25">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25">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25">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25">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25">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25">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25">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25">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25">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25">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25">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25">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25">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25">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25">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25">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25">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25">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25">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25">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25">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25">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25">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25">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25">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25">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25">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25">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25">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25">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25">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25">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25">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25">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25">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25">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25">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25">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25">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25">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25">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25">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25">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25">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25">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25">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25">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25">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25">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25">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25">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25">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25">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25">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25">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25">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25">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25">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25">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25">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25">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25">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25">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25">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25">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25">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25">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25">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25">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25">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25">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25">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25">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25">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25">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25">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25">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25">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25">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25">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25">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25">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25">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25">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25">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25">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25">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25">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25">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25">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25">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25">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25">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25">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25">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25">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25">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25">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25">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25">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25">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25">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25">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25">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25">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25">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25">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25">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25">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25">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25">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25">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25">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25">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25">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25">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25">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25">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25">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25">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25">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25">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25">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25">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25">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25">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25">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25">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25">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25">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25">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25">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25">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25">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25">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25">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25">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25">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25">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25">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25">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25">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25">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25">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25">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25">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25">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25">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25">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25">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25">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25">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25">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25">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25">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25">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25">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25">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25">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25">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25">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25">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25">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25">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25">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25">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25">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25">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25">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25">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25">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25">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25">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25">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25">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25">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25">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25">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25">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25">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25">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25">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25">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25">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25">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25">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25">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25">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25">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25">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25">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25">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25">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25">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25">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25">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25">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25">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25">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25">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25">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25">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25">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25">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25">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25">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25">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25">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25">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25">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25">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25">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25">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25">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25">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25">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25">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25">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25">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25">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25">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25">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25">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25">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25">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25">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25">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25">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25">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25">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25">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25">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25">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25">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25">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25">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25">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25">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25">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25">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25">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25">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25">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25">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25">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25">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25">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25">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25">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25">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25">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25">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25">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25">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25">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25">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25">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25">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25">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25">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25">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25">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25">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25">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25">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25">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25">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25">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25">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25">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25">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25">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25">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25">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25">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25">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25">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25">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25">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25">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25">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25">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25">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25">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25">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25">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25">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25">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25">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25">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25">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25">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25">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25">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25">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25">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25">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25">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25">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25">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25">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25">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25">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25">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25">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25">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25">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25">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25">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25">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25">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25">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25">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25">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25">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25">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25">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25">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25">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25">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25">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25">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25">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25">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25">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25">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25">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25">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25">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25">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25">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25">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25">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25">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25">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25">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25">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25">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25">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25">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25">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25">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25">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25">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25">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25">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25">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25">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25">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25">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25">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25">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25">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25">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25">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25">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25">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25">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25">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25">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25">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25">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25">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25">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25">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25">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25">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25">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25">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25">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25">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25">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25">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25">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25">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25">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25">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25">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25">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25">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25">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25">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25">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25">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25">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25">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25">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25">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25">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25">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25">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25">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25">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25">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25">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25">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25">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25">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25">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25">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25">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25">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25">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25">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25">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25">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25">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25">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25">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25">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25">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25">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25">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25">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25">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25">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25">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25">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25">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25">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25">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25">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25">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25">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25">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25">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25">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25">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25">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25">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25">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25">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25">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25">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25">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25">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25">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25">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25">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25">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25">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25">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25">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25">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25">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25">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25">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25">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25">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25">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25">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25">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25">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25">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25">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25">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25">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25">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25">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25">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25">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25">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25">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25">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25">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25">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25">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25">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25">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25">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25">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25">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25">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25">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25">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25">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25">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25">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25">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25">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25">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25">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25">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25">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25">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25">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25">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25">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25">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25">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25">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25">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25">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25">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25">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25">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25">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25">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25">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25">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25">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25">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25">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25">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25">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25">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25">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25">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25">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25">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25">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25">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25">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25">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25">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25">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25">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25">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25">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25">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25">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25">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25">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25">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25">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25">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25">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25">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25">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25">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25">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25">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25">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25">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25">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25">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25">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25">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25">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25">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25">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25">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25">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25">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25">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25">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25">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25">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25">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25">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25">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25">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25">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25">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25">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25">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25">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25">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25">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25">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25">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25">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25">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25">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25">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25">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25">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25">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25">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25">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25">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25">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25">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25">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25">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25">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25">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25">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25">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25">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25">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25">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25">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25">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25">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25">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25">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25">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25">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25">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25">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25">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25">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25">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25">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25">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25">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25">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25">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25">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25">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25">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25">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25">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25">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25">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25">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25">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25">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25">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25">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25">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25">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25">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25">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25">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25">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25">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25">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25">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25">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25">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25">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25">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25">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25">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25">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25">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25">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25">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25">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25">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25">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25">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25">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25">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25">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25">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25">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25">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25">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25">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25">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25">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25">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25">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25">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25">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25">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25">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25">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25">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25">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25">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25">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25">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25">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25">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25">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25">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25">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25">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25">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25">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25">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25">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25">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25">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25">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25">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25">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25">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25">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25">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25">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25">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25">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25">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25">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25">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25">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25">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25">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25">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25">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25">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25">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25">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25">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25">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25">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25">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25">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25">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25">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25">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25">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25">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25">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25">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25">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25">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25">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25">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25">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25">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25">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25">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25">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25">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25">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25">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25">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25">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25">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25">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25">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25">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25">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25">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25">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25">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25">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25">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25">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25">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25">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25">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25">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25">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25">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25">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25">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25">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25">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25">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25">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25">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25">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25">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25">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25">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25">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25">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25">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25">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25">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25">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25">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25">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25">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25">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25">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25">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25">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25">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25">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25">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25">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25">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25">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25">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25">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25">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25">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25">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25">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25">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25">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25">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25">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25">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25">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25">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25">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25">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25">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25">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25">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25">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25">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25">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25">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25">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25">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25">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25">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25">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25">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25">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25">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25">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25">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25">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25">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25">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25">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25">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25">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25">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25">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25">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25">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25">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25">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25">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25">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25">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25">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25">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25">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25">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25">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25">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25">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25">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25">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25">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25">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25">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25">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25">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25">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25">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25">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25">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25">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25">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25">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25">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25">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25">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25">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25">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25">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25">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25">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25">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25">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25">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25">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25">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25">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25">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25">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25">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25">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25">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25">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25">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25">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25">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25">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25">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25">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25">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25">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25">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25">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25">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25">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25">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25">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25">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25">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25">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25">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25">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25">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25">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25">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25">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25">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25">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25">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25">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25">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25">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25">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25">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25">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25">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25">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25">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25">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25">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25">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25">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25">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25">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25">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25">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25">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25">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25">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25">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25">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25">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25">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25">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25">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25">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25">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25">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25">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25">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25">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25">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25">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25">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25">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25">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25">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25">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25">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25">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25">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25">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25">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25">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25">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25">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25">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25">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25">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25">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25">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25">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25">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25">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25">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25">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25">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25">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25">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25">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25">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25">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25">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25">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25">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25">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25">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25">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25">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25">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25">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25">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25">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25">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25">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25">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25">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25">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25">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25">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25">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25">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25">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25">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25">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25">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25">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25">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25">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25">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25">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25">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25">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25">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25">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25">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25">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25">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25">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25">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25">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25">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25">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25">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25">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25">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25">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25">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25">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25">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25">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25">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25">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25">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25">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25">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25">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25">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25">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25">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25">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25">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25">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25">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25">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25">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25">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25">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25">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25">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25">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25">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25">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25">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25">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25">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25">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25">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25">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25">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25">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25">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25">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25">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25">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25">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25">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25">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25">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25">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25">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25">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25">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25">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25">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25">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25">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25">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25">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25">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25">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25">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25">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25">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25">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25">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25">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25">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25">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25">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25">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25">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25">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25">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25">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25">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25">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25">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25">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25">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25">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25">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25">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25">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25">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25">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25">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25">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25">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25">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25">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25">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25">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25">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25">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25">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25">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25">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25">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25">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25">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25">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25">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25">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25">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25">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25">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25">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25">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25">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25">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25">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25">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25">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25">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25">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25">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25">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25">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25">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25">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25">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25">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25">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25">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25">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25">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25">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25">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25">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25">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25">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25">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25">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25">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25">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25">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25">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25">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25">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25">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25">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25">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25">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25">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25">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25">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25">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25">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25">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25">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25">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25">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25">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25">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25">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25">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25">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25">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25">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25">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25">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25">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25">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25">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25">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25">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25">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25">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25">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25">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25">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25">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25">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25">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25">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25">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25">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25">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25">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25">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25">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25">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25">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25">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25">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25">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25">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25">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25">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25">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25">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25">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25">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25">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25">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25">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25">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25">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25">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25">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25">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25">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25">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25">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25">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25">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25">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25">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25">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25">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25">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25">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25">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25">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25">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25">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25">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25">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25">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25">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25">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25">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25">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25">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25">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25">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25">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25">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25">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25">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25">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25">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25">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25">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25">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25">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25">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25">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25">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25">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25">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25">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25">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25">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25">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25">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25">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25">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25">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25">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25">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25">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25">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25">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25">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25">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25">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25">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25">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25">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25">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25">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25">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25">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25">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25">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25">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25">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25">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25">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25">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25">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25">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25">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25">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25">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25">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25">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25">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25">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25">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25">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25">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25">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25">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25">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25">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25">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25">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25">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25">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25">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25">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25">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25">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25">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25">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25">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25">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25">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25">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25">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25">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25">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25">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25">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25">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25">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25">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25">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25">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25">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25">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25">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25">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25">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25">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25">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25">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25">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25">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25">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25">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25">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25">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25">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25">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25">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25">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25">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25">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25">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25">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25">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25">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25">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25">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25">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25">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25">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25">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25">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25">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25">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25">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25">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25">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25">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25">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25">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25">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25">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25">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25">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25">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25">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25">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25">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25">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25">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25">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25">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25">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25">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25">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25">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25">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25">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25">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25">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25">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25">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25">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25">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25">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25">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25">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25">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25">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25">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25">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25">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25">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25">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25">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25">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25">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25">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25">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25">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25">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25">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25">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25">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25">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25">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25">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25">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25">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25">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25">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25">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25">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25">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25">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25">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25">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25">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25">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25">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25">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25">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25">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25">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25">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25">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25">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25">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25">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25">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25">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25">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25">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25">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25">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25">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25">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25">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25">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25">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25">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25">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25">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25">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25">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25">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25">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25">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25">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25">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25">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25">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25">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25">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25">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25">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25">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25">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25">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25">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25">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25">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25">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25">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25">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25">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25">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25">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25">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25">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25">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25">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25">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25">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25">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25">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25">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25">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25">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25">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25">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25">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25">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25">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25">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25">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25">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25">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25">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25">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25">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25">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25">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25">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25">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25">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25">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25">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25">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25">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25">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25">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25">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25">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25">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25">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25">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25">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25">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25">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25">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25">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25">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25">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25">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25">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25">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25">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25">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25">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25">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25">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25">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25">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25">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25">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25">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25">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25">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25">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25">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25">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25">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25">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25">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25">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25">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25">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25">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25">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25">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25">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25">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25">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25">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25">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25">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25">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25">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25">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25">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25">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25">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25">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25">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25">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25">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25">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25">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25">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25">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25">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25">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25">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25">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25">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25">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25">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25">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25">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25">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25">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25">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25">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25">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25">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25">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25">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25">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25">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25">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25">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25">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25">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25">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25">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25">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25">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25">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25">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25">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25">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25">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25">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25">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25">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25">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25">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25">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25">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25">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25">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25">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25">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25">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25">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25">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25">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25">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25">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25">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25">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25">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25">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25">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25">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25">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25">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25">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25">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25">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25">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25">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25">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25">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25">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25">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25">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25">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25">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25">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25">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25">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25">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25">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25">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25">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25">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25">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25">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25">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25">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25">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25">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25">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25">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25">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25">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25">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25">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25">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25">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25">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25">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25">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25">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25">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25">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25">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25">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25">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25">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25">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25">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25">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25">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25">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25">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25">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25">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25">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25">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25">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25">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25">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25">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25">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25">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25">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25">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25">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25">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25">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25">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25">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25">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25">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25">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25">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25">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25">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25">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25">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25">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25">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25">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25">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25">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25">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25">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25">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25">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25">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25">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25">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25">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25">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25">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25">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25">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25">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25">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25">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25">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25">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25">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25">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25">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25">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25">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25">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25">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25">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25">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25">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25">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25">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25">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25">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25">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25">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25">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25">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25">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25">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25">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25">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25">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25">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25">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25">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25">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25">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25">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25">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25">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25">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25">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25">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25">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25">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25">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25">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25">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25">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25">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25">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25">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25">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25">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25">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25">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25">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25">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25">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25">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25">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25">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25">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25">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25">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25">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25">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25">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25">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25">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25">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25">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25">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25">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25">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25">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25">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25">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25">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25">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25">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25">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25">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25">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25">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25">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25">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25">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25">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25">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25">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25">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25">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25">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25">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25">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25">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25">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25">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25">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25">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25">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25">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25">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25">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25">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25">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25">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25">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25">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25">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25">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25">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25">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25">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25">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25">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25">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25">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25">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25">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25">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25">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25">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25">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25">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25">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25">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25">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25">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25">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25">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25">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25">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25">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25">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25">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25">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25">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25">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25">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25">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25">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25">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25">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25">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25">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25">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25">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25">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25">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25">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25">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25">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25">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25">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25">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25">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25">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25">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25">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25">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25">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25">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25">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25">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25">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25">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25">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25">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25">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25">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25">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25">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25">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25">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25">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25">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25">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25">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25">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25">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25">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25">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25">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25">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25">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25">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25">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25">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25">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25">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25">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25">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25">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25">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25">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25">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25">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25">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25">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25">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25">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25">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25">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25">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25">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25">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25">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25">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25">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25">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25">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25">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25">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25">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25">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25">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25">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25">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25">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25">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25">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25">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25">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25">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25">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25">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25">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25">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25">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25">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25">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25">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25">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25">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25">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25">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25">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25">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25">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25">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25">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25">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25">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25">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25">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25">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25">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25">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25">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25">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25">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25">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25">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25">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25">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25">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25">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25">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25">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25">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25">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25">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25">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25">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25">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25">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25">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25">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25">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25">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25">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25">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25">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25">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25">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25">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25">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25">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25">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25">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25">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25">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25">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25">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25">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25">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25">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25">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25">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25">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25">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25">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25">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25">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25">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25">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25">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25">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25">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25">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25">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25">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25">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25">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25">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25">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25">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25">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25">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25">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25">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25">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25">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25">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25">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25">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25">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25">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25">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25">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25">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25">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25">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25">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25">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25">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25">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25">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25">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25">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25">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25">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25">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25">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25">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25">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25">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25">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25">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25">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25">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25">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25">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25">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25">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25">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25">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25">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25">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25">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25">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25">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25">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25">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25">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25">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25">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25">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25">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25">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25">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25">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25">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25">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25">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25">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25">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25">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25">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25">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25">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25">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25">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25">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25">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25">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25">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25">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25">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25">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25">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25">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25">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25">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25">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25">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25">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25">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25">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25">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25">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25">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25">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25">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25">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25">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25">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25">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25">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25">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25">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25">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25">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25">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25">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25">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25">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25">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25">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25">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25">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25">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25">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25">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25">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25">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25">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25">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25">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25">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25">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25">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25">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25">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25">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25">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25">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25">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25">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25">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25">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25">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25">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25">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25">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25">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25">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25">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25">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25">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25">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25">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25">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25">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25">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25">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25">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25">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25">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25">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25">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25">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25">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25">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25">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25">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25">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25">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25">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25">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25">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25">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25">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25">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25">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25">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25">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25">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25">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25">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25">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25">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25">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25">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25">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25">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25">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25">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25">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25">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25">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25">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25">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25">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25">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25">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25">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25">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25">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25">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25">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25">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25">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25">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25">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25">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25">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25">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25">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25">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25">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25">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25">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25">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25">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25">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25">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25">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25">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25">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25">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25">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25">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25">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25">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25">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25">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25">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25">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25">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25">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25">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25">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25">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25">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25">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25">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25">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25">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25">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25">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25">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25">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25">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25">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25">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25">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25">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25">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25">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25">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25">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25">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25">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25">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25">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25">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25">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25">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25">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25">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25">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25">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25">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25">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25">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25">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25">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25">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25">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25">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25">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25">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25">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25">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25">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25">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25">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25">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25">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25">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25">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25">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25">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25">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25">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25">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25">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25">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25">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25">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25">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25">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25">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25">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25">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25">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25">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25">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25">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25">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25">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25">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25">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25">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25">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25">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25">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25">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25">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25">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25">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25">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25">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25">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25">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25">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25">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25">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25">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25">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25">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25">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25">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25">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25">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25">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25">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25">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25">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25">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25">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25">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25">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25">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25">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25">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25">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25">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25">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25">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25">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25">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25">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25">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25">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25">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25">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25">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25">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25">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25">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25">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25">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25">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25">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25">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25">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25">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25">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25">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25">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25">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25">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25">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25">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25">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25">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25">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25">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25">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25">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25">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25">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25">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25">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25">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25">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25">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25">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25">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25">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25">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25">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25">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25">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25">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25">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25">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25">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25">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25">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25">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25">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25">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25">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25">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25">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25">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25">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25">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25">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25">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25">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25">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25">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25">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25">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25">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25">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25">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25">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25">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25">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25">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25">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25">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25">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25">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25">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25">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25">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25">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25">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25">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25">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25">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25">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25">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25">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25">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25">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25">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25">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25">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25">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25">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25">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25">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25">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25">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25">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25">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25">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25">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25">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25">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25">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25">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25">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25">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25">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25">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25">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25">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25">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25">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25">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25">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25">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25">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25">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25">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25">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25">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25">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25">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25">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25">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25">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25">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25">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25">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25">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25">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25">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25">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25">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25">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25">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25">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25">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25">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25">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25">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25">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25">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25">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25">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25">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25">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25">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25">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25">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25">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25">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25">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25">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25">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25">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25">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25">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25">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25">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25">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25">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25">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25">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25">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25">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25">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25">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25">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25">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25">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25">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25">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25">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25">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25">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25">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25">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25">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25">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25">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25">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25">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25">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25">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25">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25">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25">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25">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25">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25">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25">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25">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25">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25">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25">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25">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25">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25">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25">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25">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25">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25">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25">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25">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25">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25">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25">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25">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25">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25">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25">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25">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25">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25">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25">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25">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25">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25">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25">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25">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25">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25">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25">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25">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25">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25">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25">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25">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25">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25">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25">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25">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25">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25">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25">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25">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25">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25">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25">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25">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25">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25">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25">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25">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25">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25">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25">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25">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25">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25">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25">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25">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25">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25">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25">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25">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25">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25">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25">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25">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25">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25">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25">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25">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25">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25">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25">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25">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25">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25">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25">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25">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25">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25">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25">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25">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25">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25">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25">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25">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25">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25">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25">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25">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25">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25">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25">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25">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25">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25">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25">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25">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25">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25">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25">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25">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25">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25">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25">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25">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25">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25">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25">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25">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25">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25">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25">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25">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25">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25">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25">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25">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25">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25">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25">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25">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25">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25">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25">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25">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25">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25">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25">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25">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25">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25">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25">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25">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25">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25">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25">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25">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25">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25">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25">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25">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25">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25">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25">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25">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25">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25">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25">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25">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25">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25">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25">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25">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25">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25">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25">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25">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25">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25">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25">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25">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25">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25">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25">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25">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25">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25">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25">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25">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25">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25">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25">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25">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25">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25">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25">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25">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25">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25">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25">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25">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25">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25">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25">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25">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25">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25">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25">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25">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25">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25">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25">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25">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25">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25">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25">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25">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25">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25">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25">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25">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25">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25">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25">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25">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25">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25">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25">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25">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25">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25">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25">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25">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25">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25">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25">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25">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25">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25">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25">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25">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25">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25">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25">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25">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25">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25">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25">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25">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25">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25">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25">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25">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25">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25">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25">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25">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25">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25">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25">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25">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25">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25">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25">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25">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25">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25">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25">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25">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25">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25">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25">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25">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25">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25">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25">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25">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25">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25">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25">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25">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25">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25">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25">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25">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25">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25">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25">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25">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25">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25">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25">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25">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25">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25">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25">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25">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25">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25">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25">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25">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25">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25">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25">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25">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25">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25">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25">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25">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25">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25">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25">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25">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25">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25">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25">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25">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25">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25">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25">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25">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25">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25">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25">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25">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25">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25">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25">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25">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25">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25">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25">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25">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25">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25">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25">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25">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25">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25">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25">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25">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25">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25">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25">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25">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25">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25">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25">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25">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25">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25">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25">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25">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25">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25">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25">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25">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25">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25">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25">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25">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25">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25">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25">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25">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25">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25">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25">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25">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25">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25">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25">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25">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25">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25">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25">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25">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25">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25">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25">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25">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25">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25">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25">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25">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25">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25">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25">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25">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25">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25">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25">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25">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25">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25">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25">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25">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25">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25">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25">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25">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25">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25">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25">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25">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25">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25">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25">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25">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25">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25">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25">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25">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25">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25">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25">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25">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25">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25">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25">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25">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25">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25">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25">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25">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25">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25">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25">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25">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25">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25">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25">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25">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25">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25">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25">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25">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25">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25">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25">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25">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25">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25">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25">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25">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25">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25">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25">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25">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25">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25">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25">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25">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25">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25">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25">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25">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25">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25">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25">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25">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25">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25">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25">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25">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25">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25">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25">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25">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25">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25">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25">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25">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25">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25">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25">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25">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25">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25">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25">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25">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25">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25">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25">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25">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25">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25">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25">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25">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25">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25">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25">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25">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25">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25">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25">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25">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25">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25">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25">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25">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25">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25">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25">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25">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25">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25">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25">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25">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25">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25">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25">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25">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25">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25">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25">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25">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25">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25">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25">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25">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25">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25">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25">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25">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25">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25">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25">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25">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25">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25">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25">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25">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25">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25">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25">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25">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25">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25">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25">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25">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25">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25">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25">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25">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25">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25">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25">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25">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25">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25">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25">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25">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25">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25">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25">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25">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25">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25">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25">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25">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25">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25">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25">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25">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25">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25">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25">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25">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25">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25">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25">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25">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25">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25">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25">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25">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25">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25">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25">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25">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25">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25">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25">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25">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25">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25">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25">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25">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25">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25">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25">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25">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25">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25">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25">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25">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25">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25">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25">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25">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25">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25">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25">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25">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25">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25">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25">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25">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25">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25">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25">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25">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25">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25">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25">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25">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25">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25">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25">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25">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25">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25">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25">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25">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25">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25">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25">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25">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25">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25">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25">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25">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25">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25">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25">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25">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25">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25">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25">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25">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25">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25">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25">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25">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25">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25">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25">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25">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25">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25">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25">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25">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25">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25">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25">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25">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25">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25">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25">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25">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25">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25">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25">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25">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25">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25">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25">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25">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25">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25">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25">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25">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25">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25">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25">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25">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25">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25">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25">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25">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25">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25">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25">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25">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25">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25">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25">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25">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25">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25">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25">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25">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25">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25">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25">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25">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25">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25">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25">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25">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25">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25">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25">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25">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25">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25">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25">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25">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25">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25">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25">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25">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25">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25">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25">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25">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25">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25">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25">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25">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25">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25">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25">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25">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25">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25">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25">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25">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25">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25">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25">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25">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25">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25">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25">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25">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25">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25">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25">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25">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25">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25">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25">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25">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25">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25">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25">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25">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25">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25">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25">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25">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25">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25">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25">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25">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25">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25">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25">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25">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25">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25">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25">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25">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25">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25">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25">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25">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25">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25">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25">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25">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25">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25">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25">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25">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25">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25">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25">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25">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25">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25">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25">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25">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25">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25">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25">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25">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25">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25">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25">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25">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25">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25">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25">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25">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25">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25">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25">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25">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25">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25">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25">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25">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25">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25">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25">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25">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25">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25">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25">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25">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25">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25">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25">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25">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25">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25">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25">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25">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25">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25">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25">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25">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25">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25">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25">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25">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25">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25">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25">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25">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25">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25">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25">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25">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25">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25">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25">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25">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25">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25">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25">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25">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25">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25">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25">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25">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25">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25">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25">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25">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25">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25">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25">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25">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25">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25">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25">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25">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25">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25">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25">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25">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25">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25">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25">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25">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25">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25">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25">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25">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25">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25">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25">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25">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25">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25">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25">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25">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25">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25">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25">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25">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25">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25">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25">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25">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25">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25">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25">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25">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25">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25">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25">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25">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25">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25">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25">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25">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25">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25">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25">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25">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25">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25">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25">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25">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25">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25">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25">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25">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25">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25">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25">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25">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25">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25">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25">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25">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25">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25">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25">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25">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25">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25">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25">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25">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25">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25">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25">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25">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25">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25">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25">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25">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25">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25">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25">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25">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25">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25">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25">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25">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25">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25">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25">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25">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25">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25">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25">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25">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25">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25">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25">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25">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25">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25">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25">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25">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25">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25">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25">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25">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25">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25">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25">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25">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25">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25">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25">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25">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25">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25">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25">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25">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25">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25">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25">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25">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25">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25">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25">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25">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25">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25">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25">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25">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25">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25">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25">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25">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25">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25">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25">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25">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25">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25">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25">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25">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25">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25">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25">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25">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25">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25">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25">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25">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25">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25">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25">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25">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25">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25">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25">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25">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25">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25">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25">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25">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25">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25">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25">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25">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25">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25">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25">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25">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25">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25">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25">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25">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25">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25">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25">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25">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25">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25">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25">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25">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25">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25">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25">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25">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25">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25">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25">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25">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25">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25">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25">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25">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25">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25">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25">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25">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25">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25">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25">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25">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25">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25">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25">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25">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25">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25">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25">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25">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25">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25">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25">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25">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25">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25">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25">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25">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25">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25">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25">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25">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25">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25">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25">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25">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25">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25">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25">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25">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25">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25">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25">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25">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25">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25">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25">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25">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25">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25">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25">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25">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25">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25">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25">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25">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25">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25">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25">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25">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25">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25">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25">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25">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25">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25">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25">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25">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25">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25">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25">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25">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25">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25">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25">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25">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25">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25">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25">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25">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25">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25">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25">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25">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25">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25">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25">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25">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25">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25">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25">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25">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25">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25">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25">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25">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25">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25">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25">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25">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25">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25">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25">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25">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25">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25">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25">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25">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25">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25">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25">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25">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25">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25">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25">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25">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25">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25">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25">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25">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25">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25">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25">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25">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25">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25">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25">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25">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25">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25">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25">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25">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25">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25">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25">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25">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25">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25">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25">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25">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25">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25">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25">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25">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25">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25">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25">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25">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25">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25">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25">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25">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25">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25">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25">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25">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25">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25">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25">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25">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25">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25">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25">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25">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25">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25">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25">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25">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25">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25">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25">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25">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25">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25">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25">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25">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25">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25">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25">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25">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25">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25">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25">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25">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25">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25">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25">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25">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25">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25">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25">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25">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25">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25">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25">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25">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25">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25">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25">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25">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25">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25">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25">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25">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25">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25">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25">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25">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25">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25">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25">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25">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25">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25">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25">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25">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25">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25">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25">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25">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25">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25">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25">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25">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25">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25">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25">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25">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25">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25">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25">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25">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25">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25">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25">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25">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25">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25">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25">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25">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25">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25">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25">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25">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25">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25">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25">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25">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25">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25">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25">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25">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25">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25">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25">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25">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25">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25">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25">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25">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25">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25">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25">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25">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25">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25">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25">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25">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25">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25">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25">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25">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25">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25">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25">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25">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25">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25">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25">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25">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25">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25">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25">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25">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25">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25">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25">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25">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25">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25">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25">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25">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25">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25">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25">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25">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25">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25">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25">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25">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25">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25">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25">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25">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25">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25">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25">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25">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25">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25">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25">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25">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25">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25">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25">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25">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25">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25">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25">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25">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25">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25">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25">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25">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25">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25">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25">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25">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25">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25">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25">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25">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25">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25">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25">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25">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25">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25">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25">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25">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25">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25">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25">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25">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25">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25">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25">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25">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25">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25">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25">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25">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25">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25">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25">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25">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25">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25">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25">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25">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25">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25">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25">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25">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25">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25">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25">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25">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25">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25">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25">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25">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25">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25">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25">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25">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25">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25">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25">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25">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25">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25">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25">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25">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25">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25">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25">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25">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25">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25">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25">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25">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25">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25">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25">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25">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25">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25">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25">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25">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25">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25">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25">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25">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25">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25">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25">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25">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25">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25">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25">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25">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25">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25">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25">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25">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25">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25">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25">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25">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25">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25">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25">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25">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25">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25">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25">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25">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25">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25">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25">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25">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25">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25">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25">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25">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25">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25">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25">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25">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25">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25">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25">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25">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25">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25">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25">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25">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25">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25">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25">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25">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25">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25">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25">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25">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25">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25">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25">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25">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25">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25">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25">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25">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25">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25">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25">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25">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25">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25">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25">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25">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25">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25">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25">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25">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25">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25">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25">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25">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25">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25">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25">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25">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25">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25">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25">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25">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25">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25">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25">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25">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25">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25">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25">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25">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25">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25">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25">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25">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25">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25">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25">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25">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25">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25">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25">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25">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25">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25">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25">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25">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25">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25">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25">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25">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25">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25">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25">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25">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25">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25">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25">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25">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25">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25">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25">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25">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25">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25">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25">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25">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25">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25">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25">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25">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25">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25">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25">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25">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25">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25">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25">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25">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25">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25">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25">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25">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25">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25">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25">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25">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25">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25">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25">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25">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25">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25">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25">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25">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25">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25">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25">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25">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25">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25">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25">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25">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25">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25">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25">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25">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25">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25">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25">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25">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25">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25">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25">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25">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25">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25">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25">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25">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25">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25">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25">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25">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25">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25">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25">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25">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25">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25">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25">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25">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25">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25">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25">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25">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25">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25">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25">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25">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25">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25">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25">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25">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25">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25">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25">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25">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25">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25">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25">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25">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25">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25">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25">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25">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25">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25">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25">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25">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25">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25">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25">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25">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25">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25">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25">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25">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25">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25">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25">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25">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25">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25">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25">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25">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25">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25">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25">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25">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25">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25">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25">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25">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25">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25">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25">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25">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25">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25">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25">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25">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25">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25">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25">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25">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25">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25">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25">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25">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25">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25">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25">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25">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25">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25">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25">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25">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25">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25">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25">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25">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25">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25">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25">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25">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25">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25">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25">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25">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25">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25">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25">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25">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25">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25">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25">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25">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25">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25">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25">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25">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25">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25">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25">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25">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25">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25">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25">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25">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25">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25">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25">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25">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25">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25">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25">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25">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25">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25">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25">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25">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25">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25">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25">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25">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25">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25">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25">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25">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25">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25">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25">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25">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25">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25">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25">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25">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25">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25">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25">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25">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25">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25">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25">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25">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25">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25">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25">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25">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25">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25">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25">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25">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25">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25">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25">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25">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25">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25">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25">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25">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25">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25">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25">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25">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25">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25">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25">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25">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25">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25">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25">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25">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25">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25">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25">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25">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25">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25">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25">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25">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25">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25">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25">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25">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25">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25">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25">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25">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25">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25">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25">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25">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25">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25">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25">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25">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25">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25">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25">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25">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25">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25">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25">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25">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25">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25">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25">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25">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25">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25">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25">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25">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25">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25">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25">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25">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25">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25">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25">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25">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25">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25">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25">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25">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25">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25">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25">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25">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25">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25">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25">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25">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25">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25">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25">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25">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25">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25">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25">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25">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25">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25">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25">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25">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25">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25">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25">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25">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25">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25">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25">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25">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25">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25">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25">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25">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25">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25">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25">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25">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25">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25">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25">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25">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25">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25">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25">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25">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25">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25">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25">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25">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25">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25">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25">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25">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25">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25">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25">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25">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25">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25">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25">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25">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25">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25">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25">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25">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25">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25">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25">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25">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25">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25">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25">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25">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25">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25">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25">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25">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25">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25">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25">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25">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25">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25">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25">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25">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25">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25">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25">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25">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25">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25">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25">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25">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25">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25">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25">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25">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25">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25">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25">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25">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25">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25">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25">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25">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25">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25">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25">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25">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25">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25">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25">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25">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25">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25">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25">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25">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25">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25">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25">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25">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25">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25">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25">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25">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25">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25">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25">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25">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25">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25">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25">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25">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25">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25">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25">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25">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25">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25">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25">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25">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25">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25">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25">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25">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25">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25">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25">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25">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25">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25">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25">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25">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25">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25">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25">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25">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25">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25">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25">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25">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25">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25">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25">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25">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25">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25">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25">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25">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25">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25">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25">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25">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25">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25">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25">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25">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25">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25">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25">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25">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25">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25">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25">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25">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25">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25">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25">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25">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25">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25">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25">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25">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25">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25">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25">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25">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25">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25">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25">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25">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25">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25">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25">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25">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25">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25">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25">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25">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25">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25">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25">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25">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25">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25">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25">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25">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25">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25">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25">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25">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25">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25">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25">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25">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25">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25">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25">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25">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25">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25">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25">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25">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25">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25">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25">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25">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25">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25">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25">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25">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25">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25">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25">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25">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25">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25">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25">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25">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25">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25">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25">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25">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25">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25">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25">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25">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25">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25">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25">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25">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25">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25">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25">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25">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25">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25">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25">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25">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25">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25">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25">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25">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25">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25">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25">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25">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25">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25">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25">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25">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25">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25">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25">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25">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25">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25">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25">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25">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25">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25">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25">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25">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25">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25">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25">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25">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25">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25">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25">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25">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25">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25">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25">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25">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25">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25">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25">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25">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25">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25">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25">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25">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25">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25">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25">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25">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25">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25">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25">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25">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25">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25">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25">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25">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25">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25">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25">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25">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25">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25">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25">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25">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25">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25">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25">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25">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25">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25">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25">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25">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25">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25">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25">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25">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25">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25">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25">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25">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25">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25">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25">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25">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25">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25">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25">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25">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25">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25">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25">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25">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25">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25">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25">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25">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25">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25">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25">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25">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25">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25">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25">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25">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25">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25">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25">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25">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25">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25">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25">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25">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25">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25">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25">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25">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25">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25">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25">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25">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25">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25">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25">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25">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25">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25">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25">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25">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25">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25">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25">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25">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25">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25">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25">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25">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25">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25">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25">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25">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25">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25">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25">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25">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25">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25">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25">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25">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25">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25">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25">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25">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25">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25">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25">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25">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25">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25">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25">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25">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25">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25">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25">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25">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25">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25">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25">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25">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25">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25">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25">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25">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25">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25">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25">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25">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25">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25">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25">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25">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25">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25">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25">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25">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25">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25">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25">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25">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25">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25">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25">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25">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25">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25">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25">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25">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25">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25">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25">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25">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25">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25">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25">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25">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25">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25">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25">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25">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25">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25">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25">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25">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25">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25">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25">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25">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25">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25">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25">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25">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25">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25">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25">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25">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25">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25">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25">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25">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25">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25">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25">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25">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25">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25">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25">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25">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25">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25">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25">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25">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25">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25">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25">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25">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25">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25">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25">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25">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25">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25">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25">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25">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25">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25">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25">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25">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25">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25">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25">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25">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25">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25">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25">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25">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25">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25">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25">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25">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25">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25">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25">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25">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25">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25">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25">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25">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25">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25">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25">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25">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25">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25">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25">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25">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25">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25">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25">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25">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25">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25">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25">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25">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25">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25">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25">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25">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25">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25">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25">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25">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25">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25">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25">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25">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25">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25">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25">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25">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25">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25">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25">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25">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25">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25">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25">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25">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25">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25">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25">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25">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25">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25">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25">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25">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25">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25">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25">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25">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25">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25">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25">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25">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25">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25">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25">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25">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25">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25">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25">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25">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25">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25">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25">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25">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25">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25">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25">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25">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25">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25">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25">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25">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25">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25">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25">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25">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25">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25">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25">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25">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25">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25">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25">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25">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25">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25">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25">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25">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25">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25">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25">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25">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25">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25">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25">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25">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25">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25">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25">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25">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25">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25">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25">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25">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25">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25">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25">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25">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25">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25">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25">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25">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25">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25">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25">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25">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25">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25">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25">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25">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25">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25">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25">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25">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25">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25">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25">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25">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25">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25">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25">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25">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25">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25">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25">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25">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25">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25">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25">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25">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25">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25">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25">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25">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25">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25">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25">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25">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25">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25">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25">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25">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25">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25">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25">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25">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25">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25">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25">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25">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25">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25">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25">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25">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25">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25">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25">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25">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25">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25">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25">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25">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25">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25">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25">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25">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25">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25">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25">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25">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25">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25">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25">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25">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25">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25">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25">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25">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25">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25">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25">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25">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25">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25">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25">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25">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25">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25">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25">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25">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25">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25">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25">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25">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25">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25">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25">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25">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25">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25">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25">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25">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25">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25">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25">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25">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25">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25">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25">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25">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25">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25">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25">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25">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25">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25">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25">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25">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25">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25">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25">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25">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25">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25">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25">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25">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25">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25">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25">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25">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25">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25">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25">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25">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25">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25">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25">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25">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25">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25">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25">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25">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25">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25">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25">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25">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25">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25">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25">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25">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25">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25">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25">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25">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25">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25">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25">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25">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25">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25">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25">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25">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25">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25">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25">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25">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25">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25">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25">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25">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25">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25">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25">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25">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25">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25">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25">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25">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25">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25">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25">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25">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25">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25">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25">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25">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25">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25">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25">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25">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25">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25">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25">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25">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25">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25">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25">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25">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25">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25">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25">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25">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25">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25">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25">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25">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25">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25">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25">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25">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25">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25">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25">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25">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25">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25">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25">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25">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25">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25">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25">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25">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25">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25">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25">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25">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25">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25">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25">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25">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25">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25">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25">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25">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25">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25">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25">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25">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25">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25">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25">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25">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25">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25">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25">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25">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25">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25">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25">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25">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25">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25">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25">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25">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25">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25">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25">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25">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25">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25">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25">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25">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25">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25">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25">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25">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25">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25">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25">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25">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25">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25">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25">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25">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25">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25">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25">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25">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25">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25">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25">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25">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25">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25">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25">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25">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25">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25">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25">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25">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25">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25">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25">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25">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25">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25">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25">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25">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25">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25">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25">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25">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25">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25">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25">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25">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25">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25">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25">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25">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25">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25">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25">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25">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25">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25">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25">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25">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25">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25">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25">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25">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25">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25">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25">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25">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25">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25">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25">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25">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25">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25">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25">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25">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25">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25">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25">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25">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25">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25">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25">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25">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25">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25">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25">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25">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25">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25">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25">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25">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25">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25">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25">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25">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25">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25">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25">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25">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25">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25">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25">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25">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25">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25">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25">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25">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25">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25">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25">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25">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25">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25">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25">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25">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25">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25">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25">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25">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25">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25">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25">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25">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25">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25">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25">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25">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25">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25">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25">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25">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25">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25">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25">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25">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25">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25">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25">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25">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25">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25">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25">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25">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25">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25">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25">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25">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25">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25">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25">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25">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25">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25">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25">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25">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25">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25">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25">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25">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25">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25">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25">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25">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25">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25">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25">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25">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25">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25">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25">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25">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25">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25">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25">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25">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25">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25">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25">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25">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25">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25">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25">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25">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25">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25">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25">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25">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25">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25">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25">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25">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25">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25">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25">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25">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25">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25">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25">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25">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25">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25">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25">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25">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25">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25">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25">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25">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25">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25">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25">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25">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25">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25">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25">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25">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25">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25">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25">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25">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25">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25">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25">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25">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25">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25">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25">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25">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25">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25">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25">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25">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25">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25">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25">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25">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25">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25">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25">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25">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25">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25">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25">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25">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25">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25">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25">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25">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25">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25">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25">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25">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25">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25">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25">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25">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25">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25">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25">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25">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25">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25">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25">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25">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25">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25">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25">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25">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25">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25">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25">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25">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25">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25">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25">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25">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25">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25">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25">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25">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25">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25">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25">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25">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25">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25">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25">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25">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25">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25">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25">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25">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25">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25">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25">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25">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25">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25">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25">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25">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25">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25">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25">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25">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25">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25">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25">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25">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25">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25">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25">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25">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25">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25">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25">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25">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25">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25">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25">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25">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25">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25">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25">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25">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25">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25">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25">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25">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25">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25">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25">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25">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25">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25">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25">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25">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25">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25">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25">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25">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25">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25">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25">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25">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25">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25">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25">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25">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25">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25">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25">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25">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25">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25">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25">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25">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25">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25">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25">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25">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25">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25">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25">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25">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25">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25">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25">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25">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25">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25">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25">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25">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25">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25">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25">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25">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25">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25">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25">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1"/>
  <sheetViews>
    <sheetView topLeftCell="P34" zoomScale="96" zoomScaleNormal="96" workbookViewId="0">
      <selection activeCell="J2" sqref="J2"/>
    </sheetView>
  </sheetViews>
  <sheetFormatPr defaultRowHeight="15" x14ac:dyDescent="0.25"/>
  <cols>
    <col min="1" max="1" width="29.85546875" customWidth="1"/>
    <col min="2" max="2" width="17.28515625" customWidth="1"/>
    <col min="3" max="3" width="22.28515625" customWidth="1"/>
    <col min="4" max="4" width="16.5703125" customWidth="1"/>
    <col min="5" max="5" width="9" customWidth="1"/>
    <col min="6" max="6" width="13.28515625" customWidth="1"/>
    <col min="7" max="7" width="17.28515625" customWidth="1"/>
    <col min="8" max="8" width="22.28515625" customWidth="1"/>
    <col min="9" max="9" width="9" customWidth="1"/>
    <col min="10" max="10" width="16.140625" customWidth="1"/>
    <col min="11" max="11" width="17.28515625" customWidth="1"/>
    <col min="12" max="13" width="23.5703125" customWidth="1"/>
    <col min="14" max="14" width="13.28515625" customWidth="1"/>
    <col min="15" max="15" width="17.28515625" customWidth="1"/>
    <col min="16" max="16" width="22.28515625" customWidth="1"/>
    <col min="17" max="17" width="22.140625" customWidth="1"/>
    <col min="18" max="18" width="22.5703125" customWidth="1"/>
    <col min="19" max="19" width="30.85546875" customWidth="1"/>
    <col min="20" max="20" width="31.42578125" customWidth="1"/>
    <col min="21" max="126" width="5.7109375" customWidth="1"/>
    <col min="127" max="2195" width="7.28515625" customWidth="1"/>
    <col min="2196" max="2951" width="8.28515625" customWidth="1"/>
    <col min="2952" max="3522" width="9.28515625" customWidth="1"/>
    <col min="3523" max="3523" width="11.85546875" customWidth="1"/>
    <col min="3524" max="3524" width="9.140625" customWidth="1"/>
    <col min="3525" max="3525" width="5" customWidth="1"/>
    <col min="3526" max="3526" width="11.85546875" customWidth="1"/>
    <col min="3527" max="3527" width="9.140625" customWidth="1"/>
    <col min="3528" max="3528" width="11.85546875" customWidth="1"/>
    <col min="3529" max="3529" width="9.140625" customWidth="1"/>
    <col min="3530" max="3530" width="5" customWidth="1"/>
    <col min="3531" max="3531" width="11.85546875" customWidth="1"/>
    <col min="3532" max="3532" width="9.140625" customWidth="1"/>
    <col min="3533" max="3533" width="11.85546875" customWidth="1"/>
    <col min="3534" max="3534" width="9.140625" customWidth="1"/>
    <col min="3535" max="3535" width="5" customWidth="1"/>
    <col min="3536" max="3536" width="11.85546875" customWidth="1"/>
    <col min="3537" max="3537" width="9.140625" customWidth="1"/>
    <col min="3538" max="3538" width="11.85546875" customWidth="1"/>
    <col min="3539" max="3539" width="9.140625" customWidth="1"/>
    <col min="3540" max="3540" width="11.85546875" customWidth="1"/>
    <col min="3541" max="3541" width="9.140625" customWidth="1"/>
    <col min="3542" max="3542" width="11.85546875" customWidth="1"/>
    <col min="3543" max="3543" width="9.140625" customWidth="1"/>
    <col min="3544" max="3544" width="5" customWidth="1"/>
    <col min="3545" max="3545" width="11.85546875" customWidth="1"/>
    <col min="3546" max="3546" width="9.140625" customWidth="1"/>
    <col min="3547" max="3547" width="5" customWidth="1"/>
    <col min="3548" max="3548" width="11.85546875" customWidth="1"/>
    <col min="3549" max="3549" width="9.140625" customWidth="1"/>
    <col min="3550" max="3550" width="11.85546875" customWidth="1"/>
    <col min="3551" max="3551" width="9.140625" customWidth="1"/>
    <col min="3552" max="3552" width="5" customWidth="1"/>
    <col min="3553" max="3553" width="11.85546875" customWidth="1"/>
    <col min="3554" max="3554" width="9.140625" customWidth="1"/>
    <col min="3555" max="3555" width="5" customWidth="1"/>
    <col min="3556" max="3556" width="11.85546875" customWidth="1"/>
    <col min="3557" max="3557" width="9.140625" customWidth="1"/>
    <col min="3558" max="3558" width="11.85546875" customWidth="1"/>
    <col min="3559" max="3559" width="9.140625" customWidth="1"/>
    <col min="3560" max="3560" width="5" customWidth="1"/>
    <col min="3561" max="3561" width="11.85546875" customWidth="1"/>
    <col min="3562" max="3562" width="9.140625" customWidth="1"/>
    <col min="3563" max="3563" width="5" customWidth="1"/>
    <col min="3564" max="3564" width="11.85546875" customWidth="1"/>
    <col min="3565" max="3565" width="9.140625" customWidth="1"/>
    <col min="3566" max="3566" width="11.85546875" customWidth="1"/>
    <col min="3567" max="3567" width="9.140625" customWidth="1"/>
    <col min="3568" max="3568" width="11.85546875" customWidth="1"/>
    <col min="3569" max="3569" width="9.140625" customWidth="1"/>
    <col min="3570" max="3570" width="11.85546875" customWidth="1"/>
    <col min="3571" max="3571" width="9.140625" customWidth="1"/>
    <col min="3572" max="3572" width="11.85546875" customWidth="1"/>
    <col min="3573" max="3573" width="9.140625" customWidth="1"/>
    <col min="3574" max="3574" width="11.85546875" customWidth="1"/>
    <col min="3575" max="3575" width="9.140625" customWidth="1"/>
    <col min="3576" max="3576" width="11.85546875" customWidth="1"/>
    <col min="3577" max="3577" width="9.140625" customWidth="1"/>
    <col min="3578" max="3578" width="11.85546875" customWidth="1"/>
    <col min="3579" max="3579" width="9.140625" customWidth="1"/>
    <col min="3580" max="3580" width="5" customWidth="1"/>
    <col min="3581" max="3581" width="11.85546875" customWidth="1"/>
    <col min="3582" max="3582" width="9.140625" customWidth="1"/>
    <col min="3583" max="3583" width="11.85546875" customWidth="1"/>
    <col min="3584" max="3584" width="9.140625" customWidth="1"/>
    <col min="3585" max="3585" width="11.85546875" customWidth="1"/>
    <col min="3586" max="3586" width="9.140625" customWidth="1"/>
    <col min="3587" max="3587" width="11.85546875" customWidth="1"/>
    <col min="3588" max="3588" width="9.140625" customWidth="1"/>
    <col min="3589" max="3589" width="11.85546875" customWidth="1"/>
    <col min="3590" max="3590" width="9.140625" customWidth="1"/>
    <col min="3591" max="3591" width="11.85546875" customWidth="1"/>
    <col min="3592" max="3592" width="9.140625" customWidth="1"/>
    <col min="3593" max="3593" width="11.85546875" customWidth="1"/>
    <col min="3594" max="3594" width="9.140625" customWidth="1"/>
    <col min="3595" max="3595" width="5" customWidth="1"/>
    <col min="3596" max="3596" width="11.85546875" customWidth="1"/>
    <col min="3597" max="3597" width="9.140625" customWidth="1"/>
    <col min="3598" max="3598" width="11.85546875" customWidth="1"/>
    <col min="3599" max="3599" width="9.140625" customWidth="1"/>
    <col min="3600" max="3600" width="11.85546875" customWidth="1"/>
    <col min="3601" max="3601" width="9.140625" customWidth="1"/>
    <col min="3602" max="3602" width="11.85546875" customWidth="1"/>
    <col min="3603" max="3603" width="9.140625" customWidth="1"/>
    <col min="3604" max="3604" width="11.85546875" customWidth="1"/>
    <col min="3605" max="3605" width="9.140625" customWidth="1"/>
    <col min="3606" max="3606" width="11.85546875" customWidth="1"/>
    <col min="3607" max="3607" width="9.140625" customWidth="1"/>
    <col min="3608" max="3608" width="11.85546875" customWidth="1"/>
    <col min="3609" max="3609" width="9.140625" customWidth="1"/>
    <col min="3610" max="3610" width="11.85546875" customWidth="1"/>
    <col min="3611" max="3611" width="9.140625" customWidth="1"/>
    <col min="3612" max="3612" width="11.85546875" customWidth="1"/>
    <col min="3613" max="3613" width="9.140625" customWidth="1"/>
    <col min="3614" max="3614" width="11.85546875" customWidth="1"/>
    <col min="3615" max="3615" width="9.140625" customWidth="1"/>
    <col min="3616" max="3616" width="11.85546875" customWidth="1"/>
    <col min="3617" max="3617" width="9.140625" customWidth="1"/>
    <col min="3618" max="3618" width="5" customWidth="1"/>
    <col min="3619" max="3619" width="11.85546875" customWidth="1"/>
    <col min="3620" max="3620" width="9.140625" customWidth="1"/>
    <col min="3621" max="3621" width="11.85546875" customWidth="1"/>
    <col min="3622" max="3622" width="9.140625" customWidth="1"/>
    <col min="3623" max="3623" width="11.85546875" customWidth="1"/>
    <col min="3624" max="3624" width="9.140625" customWidth="1"/>
    <col min="3625" max="3625" width="5" customWidth="1"/>
    <col min="3626" max="3626" width="11.85546875" customWidth="1"/>
    <col min="3627" max="3627" width="9.140625" customWidth="1"/>
    <col min="3628" max="3628" width="11.85546875" customWidth="1"/>
    <col min="3629" max="3629" width="9.140625" customWidth="1"/>
    <col min="3630" max="3630" width="11.85546875" customWidth="1"/>
    <col min="3631" max="3631" width="9.140625" customWidth="1"/>
    <col min="3632" max="3632" width="11.85546875" customWidth="1"/>
    <col min="3633" max="3633" width="9.140625" customWidth="1"/>
    <col min="3634" max="3634" width="11.85546875" customWidth="1"/>
    <col min="3635" max="3635" width="9.140625" customWidth="1"/>
    <col min="3636" max="3636" width="11.85546875" customWidth="1"/>
    <col min="3637" max="3637" width="9.140625" customWidth="1"/>
    <col min="3638" max="3638" width="11.85546875" customWidth="1"/>
    <col min="3639" max="3639" width="9.140625" customWidth="1"/>
    <col min="3640" max="3640" width="11.85546875" customWidth="1"/>
    <col min="3641" max="3641" width="9.140625" customWidth="1"/>
    <col min="3642" max="3642" width="11.85546875" customWidth="1"/>
    <col min="3643" max="3643" width="9.140625" customWidth="1"/>
    <col min="3644" max="3644" width="11.85546875" customWidth="1"/>
    <col min="3645" max="3645" width="9.140625" customWidth="1"/>
    <col min="3646" max="3646" width="11.85546875" customWidth="1"/>
    <col min="3647" max="3647" width="9.140625" customWidth="1"/>
    <col min="3648" max="3648" width="11.85546875" customWidth="1"/>
    <col min="3649" max="3649" width="9.140625" customWidth="1"/>
    <col min="3650" max="3650" width="11.85546875" customWidth="1"/>
    <col min="3651" max="3651" width="9.140625" customWidth="1"/>
    <col min="3652" max="3652" width="11.85546875" customWidth="1"/>
    <col min="3653" max="3653" width="9.140625" customWidth="1"/>
    <col min="3654" max="3654" width="11.85546875" customWidth="1"/>
    <col min="3655" max="3655" width="9.140625" customWidth="1"/>
    <col min="3656" max="3656" width="11.85546875" customWidth="1"/>
    <col min="3657" max="3657" width="9.140625" customWidth="1"/>
    <col min="3658" max="3658" width="11.85546875" customWidth="1"/>
    <col min="3659" max="3659" width="9.140625" customWidth="1"/>
    <col min="3660" max="3660" width="11.85546875" customWidth="1"/>
    <col min="3661" max="3661" width="9.140625" customWidth="1"/>
    <col min="3662" max="3662" width="11.85546875" customWidth="1"/>
    <col min="3663" max="3663" width="9.140625" customWidth="1"/>
    <col min="3664" max="3664" width="5" customWidth="1"/>
    <col min="3665" max="3665" width="11.85546875" customWidth="1"/>
    <col min="3666" max="3666" width="9.140625" customWidth="1"/>
    <col min="3667" max="3667" width="11.85546875" customWidth="1"/>
    <col min="3668" max="3668" width="9.140625" customWidth="1"/>
    <col min="3669" max="3669" width="11.85546875" customWidth="1"/>
    <col min="3670" max="3670" width="9.140625" customWidth="1"/>
    <col min="3671" max="3671" width="11.85546875" customWidth="1"/>
    <col min="3672" max="3672" width="9.140625" customWidth="1"/>
    <col min="3673" max="3673" width="5" customWidth="1"/>
    <col min="3674" max="3674" width="11.85546875" customWidth="1"/>
    <col min="3675" max="3675" width="9.140625" customWidth="1"/>
    <col min="3676" max="3676" width="11.85546875" customWidth="1"/>
    <col min="3677" max="3677" width="9.140625" customWidth="1"/>
    <col min="3678" max="3678" width="11.85546875" customWidth="1"/>
    <col min="3679" max="3679" width="9.140625" customWidth="1"/>
    <col min="3680" max="3680" width="11.85546875" customWidth="1"/>
    <col min="3681" max="3681" width="9.140625" customWidth="1"/>
    <col min="3682" max="3682" width="5" customWidth="1"/>
    <col min="3683" max="3683" width="11.85546875" customWidth="1"/>
    <col min="3684" max="3684" width="9.140625" customWidth="1"/>
    <col min="3685" max="3685" width="11.85546875" customWidth="1"/>
    <col min="3686" max="3686" width="9.140625" customWidth="1"/>
    <col min="3687" max="3687" width="11.85546875" customWidth="1"/>
    <col min="3688" max="3688" width="9.140625" customWidth="1"/>
    <col min="3689" max="3689" width="11.85546875" customWidth="1"/>
    <col min="3690" max="3690" width="9.140625" customWidth="1"/>
    <col min="3691" max="3691" width="11.85546875" customWidth="1"/>
    <col min="3692" max="3692" width="9.140625" customWidth="1"/>
    <col min="3693" max="3693" width="11.85546875" customWidth="1"/>
    <col min="3694" max="3694" width="9.140625" customWidth="1"/>
    <col min="3695" max="3695" width="11.85546875" customWidth="1"/>
    <col min="3696" max="3696" width="9.140625" customWidth="1"/>
    <col min="3697" max="3697" width="11.85546875" customWidth="1"/>
    <col min="3698" max="3698" width="9.140625" customWidth="1"/>
    <col min="3699" max="3699" width="11.85546875" customWidth="1"/>
    <col min="3700" max="3700" width="9.140625" customWidth="1"/>
    <col min="3701" max="3701" width="11.85546875" customWidth="1"/>
    <col min="3702" max="3702" width="9.140625" customWidth="1"/>
    <col min="3703" max="3703" width="11.85546875" customWidth="1"/>
    <col min="3704" max="3704" width="9.140625" customWidth="1"/>
    <col min="3705" max="3705" width="11.85546875" customWidth="1"/>
    <col min="3706" max="3706" width="9.140625" customWidth="1"/>
    <col min="3707" max="3707" width="5" customWidth="1"/>
    <col min="3708" max="3708" width="11.85546875" customWidth="1"/>
    <col min="3709" max="3709" width="9.140625" customWidth="1"/>
    <col min="3710" max="3710" width="11.85546875" customWidth="1"/>
    <col min="3711" max="3711" width="9.140625" customWidth="1"/>
    <col min="3712" max="3712" width="11.85546875" customWidth="1"/>
    <col min="3713" max="3713" width="9.140625" customWidth="1"/>
    <col min="3714" max="3714" width="11.85546875" customWidth="1"/>
    <col min="3715" max="3715" width="9.140625" customWidth="1"/>
    <col min="3716" max="3716" width="11.85546875" customWidth="1"/>
    <col min="3717" max="3717" width="9.140625" customWidth="1"/>
    <col min="3718" max="3718" width="11.85546875" customWidth="1"/>
    <col min="3719" max="3719" width="9.140625" customWidth="1"/>
    <col min="3720" max="3720" width="5" customWidth="1"/>
    <col min="3721" max="3721" width="11.85546875" customWidth="1"/>
    <col min="3722" max="3722" width="9.140625" customWidth="1"/>
    <col min="3723" max="3723" width="11.85546875" customWidth="1"/>
    <col min="3724" max="3724" width="9.140625" customWidth="1"/>
    <col min="3725" max="3725" width="11.85546875" customWidth="1"/>
    <col min="3726" max="3726" width="9.140625" customWidth="1"/>
    <col min="3727" max="3727" width="11.85546875" customWidth="1"/>
    <col min="3728" max="3728" width="9.140625" customWidth="1"/>
    <col min="3729" max="3729" width="5" customWidth="1"/>
    <col min="3730" max="3730" width="11.85546875" customWidth="1"/>
    <col min="3731" max="3731" width="9.140625" customWidth="1"/>
    <col min="3732" max="3732" width="11.85546875" customWidth="1"/>
    <col min="3733" max="3733" width="9.140625" customWidth="1"/>
    <col min="3734" max="3734" width="11.85546875" customWidth="1"/>
    <col min="3735" max="3735" width="9.140625" customWidth="1"/>
    <col min="3736" max="3736" width="11.85546875" customWidth="1"/>
    <col min="3737" max="3737" width="9.140625" customWidth="1"/>
    <col min="3738" max="3738" width="11.85546875" customWidth="1"/>
    <col min="3739" max="3739" width="9.140625" customWidth="1"/>
    <col min="3740" max="3740" width="11.85546875" customWidth="1"/>
    <col min="3741" max="3741" width="9.140625" customWidth="1"/>
    <col min="3742" max="3742" width="11.85546875" customWidth="1"/>
    <col min="3743" max="3743" width="9.140625" customWidth="1"/>
    <col min="3744" max="3744" width="11.85546875" customWidth="1"/>
    <col min="3745" max="3745" width="9.140625" customWidth="1"/>
    <col min="3746" max="3746" width="11.85546875" customWidth="1"/>
    <col min="3747" max="3747" width="9.140625" customWidth="1"/>
    <col min="3748" max="3748" width="11.85546875" customWidth="1"/>
    <col min="3749" max="3749" width="9.140625" customWidth="1"/>
    <col min="3750" max="3750" width="11.85546875" customWidth="1"/>
    <col min="3751" max="3751" width="9.140625" customWidth="1"/>
    <col min="3752" max="3752" width="11.85546875" customWidth="1"/>
    <col min="3753" max="3753" width="9.140625" customWidth="1"/>
    <col min="3754" max="3754" width="5" customWidth="1"/>
    <col min="3755" max="3755" width="11.85546875" customWidth="1"/>
    <col min="3756" max="3756" width="9.140625" customWidth="1"/>
    <col min="3757" max="3757" width="5" customWidth="1"/>
    <col min="3758" max="3758" width="11.85546875" customWidth="1"/>
    <col min="3759" max="3759" width="9.140625" customWidth="1"/>
    <col min="3760" max="3760" width="11.85546875" customWidth="1"/>
    <col min="3761" max="3761" width="9.140625" customWidth="1"/>
    <col min="3762" max="3762" width="11.85546875" customWidth="1"/>
    <col min="3763" max="3763" width="9.140625" customWidth="1"/>
    <col min="3764" max="3764" width="11.85546875" customWidth="1"/>
    <col min="3765" max="3765" width="9.140625" customWidth="1"/>
    <col min="3766" max="3766" width="11.85546875" customWidth="1"/>
    <col min="3767" max="3767" width="9.140625" customWidth="1"/>
    <col min="3768" max="3768" width="11.85546875" customWidth="1"/>
    <col min="3769" max="3769" width="9.140625" customWidth="1"/>
    <col min="3770" max="3770" width="11.85546875" customWidth="1"/>
    <col min="3771" max="3771" width="9.140625" customWidth="1"/>
    <col min="3772" max="3772" width="11.85546875" customWidth="1"/>
    <col min="3773" max="3773" width="9.140625" customWidth="1"/>
    <col min="3774" max="3774" width="11.85546875" customWidth="1"/>
    <col min="3775" max="3775" width="9.140625" customWidth="1"/>
    <col min="3776" max="3776" width="11.85546875" customWidth="1"/>
    <col min="3777" max="3777" width="9.140625" customWidth="1"/>
    <col min="3778" max="3778" width="5" customWidth="1"/>
    <col min="3779" max="3779" width="11.85546875" customWidth="1"/>
    <col min="3780" max="3780" width="9.140625" customWidth="1"/>
    <col min="3781" max="3781" width="11.85546875" customWidth="1"/>
    <col min="3782" max="3782" width="9.140625" customWidth="1"/>
    <col min="3783" max="3783" width="11.85546875" customWidth="1"/>
    <col min="3784" max="3784" width="9.140625" customWidth="1"/>
    <col min="3785" max="3785" width="11.85546875" customWidth="1"/>
    <col min="3786" max="3786" width="9.140625" customWidth="1"/>
    <col min="3787" max="3787" width="11.85546875" customWidth="1"/>
    <col min="3788" max="3788" width="9.140625" customWidth="1"/>
    <col min="3789" max="3789" width="11.85546875" customWidth="1"/>
    <col min="3790" max="3790" width="9.140625" customWidth="1"/>
    <col min="3791" max="3791" width="11.85546875" customWidth="1"/>
    <col min="3792" max="3792" width="9.140625" customWidth="1"/>
    <col min="3793" max="3793" width="5" customWidth="1"/>
    <col min="3794" max="3794" width="11.85546875" customWidth="1"/>
    <col min="3795" max="3795" width="9.140625" customWidth="1"/>
    <col min="3796" max="3796" width="11.85546875" customWidth="1"/>
    <col min="3797" max="3797" width="9.140625" customWidth="1"/>
    <col min="3798" max="3798" width="11.85546875" customWidth="1"/>
    <col min="3799" max="3799" width="9.140625" customWidth="1"/>
    <col min="3800" max="3800" width="11.85546875" customWidth="1"/>
    <col min="3801" max="3801" width="9.140625" customWidth="1"/>
    <col min="3802" max="3802" width="11.85546875" customWidth="1"/>
    <col min="3803" max="3803" width="9.140625" customWidth="1"/>
    <col min="3804" max="3804" width="11.85546875" customWidth="1"/>
    <col min="3805" max="3805" width="9.140625" customWidth="1"/>
    <col min="3806" max="3806" width="11.85546875" customWidth="1"/>
    <col min="3807" max="3807" width="9.140625" customWidth="1"/>
    <col min="3808" max="3808" width="11.85546875" customWidth="1"/>
    <col min="3809" max="3809" width="9.140625" customWidth="1"/>
    <col min="3810" max="3810" width="11.85546875" customWidth="1"/>
    <col min="3811" max="3811" width="9.140625" customWidth="1"/>
    <col min="3812" max="3812" width="11.85546875" customWidth="1"/>
    <col min="3813" max="3813" width="9.140625" customWidth="1"/>
    <col min="3814" max="3814" width="5" customWidth="1"/>
    <col min="3815" max="3815" width="11.85546875" customWidth="1"/>
    <col min="3816" max="3816" width="9.140625" customWidth="1"/>
    <col min="3817" max="3817" width="11.85546875" customWidth="1"/>
    <col min="3818" max="3818" width="9.140625" customWidth="1"/>
    <col min="3819" max="3819" width="11.85546875" customWidth="1"/>
    <col min="3820" max="3820" width="9.140625" customWidth="1"/>
    <col min="3821" max="3821" width="11.85546875" customWidth="1"/>
    <col min="3822" max="3822" width="9.140625" customWidth="1"/>
    <col min="3823" max="3823" width="11.85546875" customWidth="1"/>
    <col min="3824" max="3824" width="9.140625" customWidth="1"/>
    <col min="3825" max="3825" width="11.85546875" customWidth="1"/>
    <col min="3826" max="3826" width="9.140625" customWidth="1"/>
    <col min="3827" max="3827" width="11.85546875" customWidth="1"/>
    <col min="3828" max="3828" width="9.140625" customWidth="1"/>
    <col min="3829" max="3829" width="11.85546875" customWidth="1"/>
    <col min="3830" max="3830" width="9.140625" customWidth="1"/>
    <col min="3831" max="3831" width="5" customWidth="1"/>
    <col min="3832" max="3832" width="11.85546875" customWidth="1"/>
    <col min="3833" max="3833" width="9.140625" customWidth="1"/>
    <col min="3834" max="3834" width="5" customWidth="1"/>
    <col min="3835" max="3835" width="11.85546875" customWidth="1"/>
    <col min="3836" max="3836" width="9.140625" customWidth="1"/>
    <col min="3837" max="3837" width="11.85546875" customWidth="1"/>
    <col min="3838" max="3838" width="9.140625" customWidth="1"/>
    <col min="3839" max="3839" width="11.85546875" customWidth="1"/>
    <col min="3840" max="3840" width="9.140625" customWidth="1"/>
    <col min="3841" max="3841" width="11.85546875" customWidth="1"/>
    <col min="3842" max="3842" width="9.140625" customWidth="1"/>
    <col min="3843" max="3843" width="5" customWidth="1"/>
    <col min="3844" max="3844" width="11.85546875" customWidth="1"/>
    <col min="3845" max="3845" width="9.140625" customWidth="1"/>
    <col min="3846" max="3846" width="11.85546875" customWidth="1"/>
    <col min="3847" max="3847" width="9.140625" customWidth="1"/>
    <col min="3848" max="3848" width="5" customWidth="1"/>
    <col min="3849" max="3849" width="11.85546875" customWidth="1"/>
    <col min="3850" max="3850" width="9.140625" customWidth="1"/>
    <col min="3851" max="3851" width="11.85546875" customWidth="1"/>
    <col min="3852" max="3852" width="9.140625" customWidth="1"/>
    <col min="3853" max="3853" width="11.85546875" customWidth="1"/>
    <col min="3854" max="3854" width="9.140625" customWidth="1"/>
    <col min="3855" max="3855" width="5" customWidth="1"/>
    <col min="3856" max="3856" width="11.85546875" customWidth="1"/>
    <col min="3857" max="3857" width="9.140625" customWidth="1"/>
    <col min="3858" max="3858" width="11.85546875" customWidth="1"/>
    <col min="3859" max="3859" width="9.140625" customWidth="1"/>
    <col min="3860" max="3860" width="11.85546875" customWidth="1"/>
    <col min="3861" max="3861" width="9.140625" customWidth="1"/>
    <col min="3862" max="3862" width="11.85546875" customWidth="1"/>
    <col min="3863" max="3863" width="9.140625" customWidth="1"/>
    <col min="3864" max="3864" width="11.85546875" customWidth="1"/>
    <col min="3865" max="3865" width="9.140625" customWidth="1"/>
    <col min="3866" max="3866" width="11.85546875" customWidth="1"/>
    <col min="3867" max="3867" width="9.140625" customWidth="1"/>
    <col min="3868" max="3868" width="11.85546875" customWidth="1"/>
    <col min="3869" max="3869" width="9.140625" customWidth="1"/>
    <col min="3870" max="3870" width="11.85546875" customWidth="1"/>
    <col min="3871" max="3871" width="9.140625" customWidth="1"/>
    <col min="3872" max="3872" width="11.85546875" customWidth="1"/>
    <col min="3873" max="3873" width="9.140625" customWidth="1"/>
    <col min="3874" max="3874" width="11.85546875" customWidth="1"/>
    <col min="3875" max="3875" width="9.140625" customWidth="1"/>
    <col min="3876" max="3876" width="11.85546875" customWidth="1"/>
    <col min="3877" max="3877" width="9.140625" customWidth="1"/>
    <col min="3878" max="3878" width="11.85546875" customWidth="1"/>
    <col min="3879" max="3879" width="9.140625" customWidth="1"/>
    <col min="3880" max="3880" width="5" customWidth="1"/>
    <col min="3881" max="3881" width="11.85546875" customWidth="1"/>
    <col min="3882" max="3882" width="9.140625" customWidth="1"/>
    <col min="3883" max="3883" width="11.85546875" customWidth="1"/>
    <col min="3884" max="3884" width="9.140625" customWidth="1"/>
    <col min="3885" max="3885" width="11.85546875" customWidth="1"/>
    <col min="3886" max="3886" width="9.140625" customWidth="1"/>
    <col min="3887" max="3887" width="11.85546875" customWidth="1"/>
    <col min="3888" max="3888" width="9.140625" customWidth="1"/>
    <col min="3889" max="3889" width="11.85546875" customWidth="1"/>
    <col min="3890" max="3890" width="9.140625" customWidth="1"/>
    <col min="3891" max="3891" width="5" customWidth="1"/>
    <col min="3892" max="3892" width="11.85546875" customWidth="1"/>
    <col min="3893" max="3893" width="9.140625" customWidth="1"/>
    <col min="3894" max="3894" width="11.85546875" customWidth="1"/>
    <col min="3895" max="3895" width="9.140625" customWidth="1"/>
    <col min="3896" max="3896" width="11.85546875" customWidth="1"/>
    <col min="3897" max="3897" width="9.140625" customWidth="1"/>
    <col min="3898" max="3898" width="11.85546875" customWidth="1"/>
    <col min="3899" max="3899" width="9.140625" customWidth="1"/>
    <col min="3900" max="3900" width="11.85546875" customWidth="1"/>
    <col min="3901" max="3901" width="9.140625" customWidth="1"/>
    <col min="3902" max="3902" width="11.85546875" customWidth="1"/>
    <col min="3903" max="3903" width="9.140625" customWidth="1"/>
    <col min="3904" max="3904" width="11.85546875" customWidth="1"/>
    <col min="3905" max="3905" width="9.140625" customWidth="1"/>
    <col min="3906" max="3906" width="11.85546875" customWidth="1"/>
    <col min="3907" max="3907" width="9.140625" customWidth="1"/>
    <col min="3908" max="3908" width="11.85546875" customWidth="1"/>
    <col min="3909" max="3909" width="9.140625" customWidth="1"/>
    <col min="3910" max="3910" width="5" customWidth="1"/>
    <col min="3911" max="3911" width="11.85546875" customWidth="1"/>
    <col min="3912" max="3912" width="9.140625" customWidth="1"/>
    <col min="3913" max="3913" width="11.85546875" customWidth="1"/>
    <col min="3914" max="3914" width="9.140625" customWidth="1"/>
    <col min="3915" max="3915" width="11.85546875" customWidth="1"/>
    <col min="3916" max="3916" width="9.140625" customWidth="1"/>
    <col min="3917" max="3917" width="11.85546875" customWidth="1"/>
    <col min="3918" max="3918" width="9.140625" customWidth="1"/>
    <col min="3919" max="3919" width="11.85546875" customWidth="1"/>
    <col min="3920" max="3920" width="9.140625" customWidth="1"/>
    <col min="3921" max="3921" width="11.85546875" customWidth="1"/>
    <col min="3922" max="3922" width="9.140625" customWidth="1"/>
    <col min="3923" max="3923" width="5" customWidth="1"/>
    <col min="3924" max="3924" width="11.85546875" customWidth="1"/>
    <col min="3925" max="3925" width="9.140625" customWidth="1"/>
    <col min="3926" max="3926" width="5" customWidth="1"/>
    <col min="3927" max="3927" width="11.85546875" customWidth="1"/>
    <col min="3928" max="3928" width="9.140625" customWidth="1"/>
    <col min="3929" max="3929" width="11.85546875" customWidth="1"/>
    <col min="3930" max="3930" width="9.140625" customWidth="1"/>
    <col min="3931" max="3931" width="11.85546875" customWidth="1"/>
    <col min="3932" max="3932" width="9.140625" customWidth="1"/>
    <col min="3933" max="3933" width="11.85546875" customWidth="1"/>
    <col min="3934" max="3934" width="9.140625" customWidth="1"/>
    <col min="3935" max="3935" width="11.85546875" customWidth="1"/>
    <col min="3936" max="3936" width="9.140625" customWidth="1"/>
    <col min="3937" max="3937" width="11.85546875" customWidth="1"/>
    <col min="3938" max="3938" width="9.140625" customWidth="1"/>
    <col min="3939" max="3939" width="11.85546875" customWidth="1"/>
    <col min="3940" max="3940" width="9.140625" customWidth="1"/>
    <col min="3941" max="3941" width="11.85546875" customWidth="1"/>
    <col min="3942" max="3942" width="9.140625" customWidth="1"/>
    <col min="3943" max="3943" width="5" customWidth="1"/>
    <col min="3944" max="3944" width="11.85546875" customWidth="1"/>
    <col min="3945" max="3945" width="9.140625" customWidth="1"/>
    <col min="3946" max="3946" width="11.85546875" customWidth="1"/>
    <col min="3947" max="3947" width="9.140625" customWidth="1"/>
    <col min="3948" max="3948" width="5" customWidth="1"/>
    <col min="3949" max="3949" width="11.85546875" customWidth="1"/>
    <col min="3950" max="3950" width="9.140625" customWidth="1"/>
    <col min="3951" max="3951" width="11.85546875" customWidth="1"/>
    <col min="3952" max="3952" width="9.140625" customWidth="1"/>
    <col min="3953" max="3953" width="11.85546875" customWidth="1"/>
    <col min="3954" max="3954" width="9.140625" customWidth="1"/>
    <col min="3955" max="3955" width="11.85546875" customWidth="1"/>
    <col min="3956" max="3956" width="9.140625" customWidth="1"/>
    <col min="3957" max="3957" width="11.85546875" customWidth="1"/>
    <col min="3958" max="3958" width="9.140625" customWidth="1"/>
    <col min="3959" max="3959" width="11.85546875" customWidth="1"/>
    <col min="3960" max="3960" width="9.140625" customWidth="1"/>
    <col min="3961" max="3961" width="11.85546875" customWidth="1"/>
    <col min="3962" max="3962" width="9.140625" customWidth="1"/>
    <col min="3963" max="3963" width="11.85546875" customWidth="1"/>
    <col min="3964" max="3964" width="9.140625" customWidth="1"/>
    <col min="3965" max="3965" width="11.85546875" customWidth="1"/>
    <col min="3966" max="3966" width="9.140625" customWidth="1"/>
    <col min="3967" max="3967" width="11.85546875" customWidth="1"/>
    <col min="3968" max="3968" width="9.140625" customWidth="1"/>
    <col min="3969" max="3969" width="5" customWidth="1"/>
    <col min="3970" max="3970" width="11.85546875" customWidth="1"/>
    <col min="3971" max="3971" width="9.140625" customWidth="1"/>
    <col min="3972" max="3972" width="11.85546875" customWidth="1"/>
    <col min="3973" max="3973" width="9.140625" customWidth="1"/>
    <col min="3974" max="3974" width="11.85546875" customWidth="1"/>
    <col min="3975" max="3975" width="9.140625" customWidth="1"/>
    <col min="3976" max="3976" width="11.85546875" customWidth="1"/>
    <col min="3977" max="3977" width="9.140625" customWidth="1"/>
    <col min="3978" max="3978" width="11.85546875" customWidth="1"/>
    <col min="3979" max="3979" width="9.140625" customWidth="1"/>
    <col min="3980" max="3980" width="11.85546875" customWidth="1"/>
    <col min="3981" max="3981" width="9.140625" customWidth="1"/>
    <col min="3982" max="3982" width="11.85546875" customWidth="1"/>
    <col min="3983" max="3983" width="9.140625" customWidth="1"/>
    <col min="3984" max="3984" width="11.85546875" customWidth="1"/>
    <col min="3985" max="3985" width="9.140625" customWidth="1"/>
    <col min="3986" max="3986" width="11.85546875" customWidth="1"/>
    <col min="3987" max="3987" width="9.140625" customWidth="1"/>
    <col min="3988" max="3988" width="11.85546875" customWidth="1"/>
    <col min="3989" max="3989" width="9.140625" customWidth="1"/>
    <col min="3990" max="3990" width="5" customWidth="1"/>
    <col min="3991" max="3991" width="11.85546875" customWidth="1"/>
    <col min="3992" max="3992" width="9.140625" customWidth="1"/>
    <col min="3993" max="3993" width="5" customWidth="1"/>
    <col min="3994" max="3994" width="11.85546875" customWidth="1"/>
    <col min="3995" max="3995" width="9.140625" customWidth="1"/>
    <col min="3996" max="3996" width="11.85546875" customWidth="1"/>
    <col min="3997" max="3997" width="9.140625" customWidth="1"/>
    <col min="3998" max="3998" width="11.85546875" customWidth="1"/>
    <col min="3999" max="3999" width="9.140625" customWidth="1"/>
    <col min="4000" max="4000" width="11.85546875" customWidth="1"/>
    <col min="4001" max="4001" width="9.140625" customWidth="1"/>
    <col min="4002" max="4002" width="11.85546875" customWidth="1"/>
    <col min="4003" max="4003" width="9.140625" customWidth="1"/>
    <col min="4004" max="4004" width="11.85546875" customWidth="1"/>
    <col min="4005" max="4005" width="9.140625" customWidth="1"/>
    <col min="4006" max="4006" width="11.85546875" customWidth="1"/>
    <col min="4007" max="4007" width="9.140625" customWidth="1"/>
    <col min="4008" max="4008" width="11.85546875" customWidth="1"/>
    <col min="4009" max="4009" width="9.140625" customWidth="1"/>
    <col min="4010" max="4010" width="11.85546875" customWidth="1"/>
    <col min="4011" max="4011" width="9.140625" customWidth="1"/>
    <col min="4012" max="4012" width="11.85546875" customWidth="1"/>
    <col min="4013" max="4013" width="9.140625" customWidth="1"/>
    <col min="4014" max="4014" width="11.85546875" customWidth="1"/>
    <col min="4015" max="4015" width="9.140625" customWidth="1"/>
    <col min="4016" max="4016" width="11.85546875" customWidth="1"/>
    <col min="4017" max="4017" width="9.140625" customWidth="1"/>
    <col min="4018" max="4018" width="11.85546875" customWidth="1"/>
    <col min="4019" max="4019" width="9.140625" customWidth="1"/>
    <col min="4020" max="4020" width="5" customWidth="1"/>
    <col min="4021" max="4021" width="11.85546875" customWidth="1"/>
    <col min="4022" max="4022" width="9.140625" customWidth="1"/>
    <col min="4023" max="4023" width="5" customWidth="1"/>
    <col min="4024" max="4024" width="11.85546875" customWidth="1"/>
    <col min="4025" max="4025" width="9.140625" customWidth="1"/>
    <col min="4026" max="4026" width="11.85546875" customWidth="1"/>
    <col min="4027" max="4027" width="9.140625" customWidth="1"/>
    <col min="4028" max="4028" width="11.85546875" customWidth="1"/>
    <col min="4029" max="4029" width="9.140625" customWidth="1"/>
    <col min="4030" max="4030" width="11.85546875" customWidth="1"/>
    <col min="4031" max="4031" width="9.140625" customWidth="1"/>
    <col min="4032" max="4032" width="11.85546875" customWidth="1"/>
    <col min="4033" max="4033" width="9.140625" customWidth="1"/>
    <col min="4034" max="4034" width="11.85546875" customWidth="1"/>
    <col min="4035" max="4035" width="9.140625" customWidth="1"/>
    <col min="4036" max="4036" width="11.85546875" customWidth="1"/>
    <col min="4037" max="4037" width="9.140625" customWidth="1"/>
    <col min="4038" max="4038" width="11.85546875" customWidth="1"/>
    <col min="4039" max="4039" width="9.140625" customWidth="1"/>
    <col min="4040" max="4040" width="11.85546875" customWidth="1"/>
    <col min="4041" max="4041" width="9.140625" customWidth="1"/>
    <col min="4042" max="4042" width="11.85546875" customWidth="1"/>
    <col min="4043" max="4043" width="9.140625" customWidth="1"/>
    <col min="4044" max="4044" width="11.85546875" customWidth="1"/>
    <col min="4045" max="4045" width="9.140625" customWidth="1"/>
    <col min="4046" max="4046" width="5" customWidth="1"/>
    <col min="4047" max="4047" width="11.85546875" customWidth="1"/>
    <col min="4048" max="4048" width="9.140625" customWidth="1"/>
    <col min="4049" max="4049" width="11.85546875" customWidth="1"/>
    <col min="4050" max="4050" width="9.140625" customWidth="1"/>
    <col min="4051" max="4051" width="11.85546875" customWidth="1"/>
    <col min="4052" max="4052" width="9.140625" customWidth="1"/>
    <col min="4053" max="4053" width="11.85546875" customWidth="1"/>
    <col min="4054" max="4054" width="9.140625" customWidth="1"/>
    <col min="4055" max="4055" width="11.85546875" customWidth="1"/>
    <col min="4056" max="4056" width="9.140625" customWidth="1"/>
    <col min="4057" max="4057" width="5" customWidth="1"/>
    <col min="4058" max="4058" width="11.85546875" customWidth="1"/>
    <col min="4059" max="4059" width="9.140625" customWidth="1"/>
    <col min="4060" max="4060" width="11.85546875" customWidth="1"/>
    <col min="4061" max="4061" width="9.140625" customWidth="1"/>
    <col min="4062" max="4062" width="5" customWidth="1"/>
    <col min="4063" max="4063" width="11.85546875" customWidth="1"/>
    <col min="4064" max="4064" width="9.140625" customWidth="1"/>
    <col min="4065" max="4065" width="11.85546875" customWidth="1"/>
    <col min="4066" max="4066" width="9.140625" customWidth="1"/>
    <col min="4067" max="4067" width="11.85546875" customWidth="1"/>
    <col min="4068" max="4068" width="9.140625" customWidth="1"/>
    <col min="4069" max="4069" width="11.85546875" customWidth="1"/>
    <col min="4070" max="4070" width="9.140625" customWidth="1"/>
    <col min="4071" max="4071" width="11.85546875" customWidth="1"/>
    <col min="4072" max="4072" width="9.140625" customWidth="1"/>
    <col min="4073" max="4073" width="11.85546875" customWidth="1"/>
    <col min="4074" max="4074" width="9.140625" customWidth="1"/>
    <col min="4075" max="4075" width="11.85546875" customWidth="1"/>
    <col min="4076" max="4076" width="9.140625" customWidth="1"/>
    <col min="4077" max="4077" width="5" customWidth="1"/>
    <col min="4078" max="4078" width="11.85546875" customWidth="1"/>
    <col min="4079" max="4079" width="9.140625" customWidth="1"/>
    <col min="4080" max="4080" width="11.85546875" customWidth="1"/>
    <col min="4081" max="4081" width="9.140625" customWidth="1"/>
    <col min="4082" max="4082" width="11.85546875" customWidth="1"/>
    <col min="4083" max="4083" width="9.140625" customWidth="1"/>
    <col min="4084" max="4084" width="11.85546875" customWidth="1"/>
    <col min="4085" max="4085" width="9.140625" customWidth="1"/>
    <col min="4086" max="4086" width="11.85546875" customWidth="1"/>
    <col min="4087" max="4087" width="9.140625" customWidth="1"/>
    <col min="4088" max="4088" width="11.85546875" customWidth="1"/>
    <col min="4089" max="4089" width="9.140625" customWidth="1"/>
    <col min="4090" max="4090" width="11.85546875" customWidth="1"/>
    <col min="4091" max="4091" width="9.140625" customWidth="1"/>
    <col min="4092" max="4092" width="11.85546875" customWidth="1"/>
    <col min="4093" max="4093" width="9.140625" customWidth="1"/>
    <col min="4094" max="4094" width="11.85546875" customWidth="1"/>
    <col min="4095" max="4095" width="9.140625" customWidth="1"/>
    <col min="4096" max="4096" width="11.85546875" customWidth="1"/>
    <col min="4097" max="4097" width="9.140625" customWidth="1"/>
    <col min="4098" max="4098" width="5" customWidth="1"/>
    <col min="4099" max="4099" width="11.85546875" customWidth="1"/>
    <col min="4100" max="4100" width="9.140625" customWidth="1"/>
    <col min="4101" max="4101" width="11.85546875" customWidth="1"/>
    <col min="4102" max="4102" width="9.140625" customWidth="1"/>
    <col min="4103" max="4103" width="11.85546875" customWidth="1"/>
    <col min="4104" max="4104" width="9.140625" customWidth="1"/>
    <col min="4105" max="4105" width="11.85546875" customWidth="1"/>
    <col min="4106" max="4106" width="9.140625" customWidth="1"/>
    <col min="4107" max="4107" width="11.85546875" customWidth="1"/>
    <col min="4108" max="4108" width="9.140625" customWidth="1"/>
    <col min="4109" max="4109" width="11.85546875" customWidth="1"/>
    <col min="4110" max="4110" width="9.140625" customWidth="1"/>
    <col min="4111" max="4111" width="11.85546875" customWidth="1"/>
    <col min="4112" max="4112" width="9.140625" customWidth="1"/>
    <col min="4113" max="4113" width="11.85546875" customWidth="1"/>
    <col min="4114" max="4114" width="9.140625" customWidth="1"/>
    <col min="4115" max="4115" width="11.85546875" customWidth="1"/>
    <col min="4116" max="4116" width="9.140625" customWidth="1"/>
    <col min="4117" max="4117" width="11.85546875" customWidth="1"/>
    <col min="4118" max="4118" width="9.140625" customWidth="1"/>
    <col min="4119" max="4119" width="11.85546875" customWidth="1"/>
    <col min="4120" max="4120" width="9.140625" customWidth="1"/>
    <col min="4121" max="4121" width="11.85546875" customWidth="1"/>
    <col min="4122" max="4122" width="9.140625" customWidth="1"/>
    <col min="4123" max="4123" width="11.85546875" customWidth="1"/>
    <col min="4124" max="4124" width="9.140625" customWidth="1"/>
    <col min="4125" max="4125" width="5" customWidth="1"/>
    <col min="4126" max="4126" width="11.85546875" customWidth="1"/>
    <col min="4127" max="4127" width="9.140625" customWidth="1"/>
    <col min="4128" max="4128" width="5" customWidth="1"/>
    <col min="4129" max="4129" width="11.85546875" customWidth="1"/>
    <col min="4130" max="4130" width="9.140625" customWidth="1"/>
    <col min="4131" max="4131" width="11.85546875" customWidth="1"/>
    <col min="4132" max="4132" width="9.140625" customWidth="1"/>
    <col min="4133" max="4133" width="11.85546875" customWidth="1"/>
    <col min="4134" max="4134" width="9.140625" customWidth="1"/>
    <col min="4135" max="4135" width="11.85546875" customWidth="1"/>
    <col min="4136" max="4136" width="9.140625" customWidth="1"/>
    <col min="4137" max="4137" width="5" customWidth="1"/>
    <col min="4138" max="4138" width="11.85546875" customWidth="1"/>
    <col min="4139" max="4139" width="9.140625" customWidth="1"/>
    <col min="4140" max="4140" width="11.85546875" customWidth="1"/>
    <col min="4141" max="4141" width="9.140625" customWidth="1"/>
    <col min="4142" max="4142" width="5" customWidth="1"/>
    <col min="4143" max="4143" width="11.85546875" customWidth="1"/>
    <col min="4144" max="4144" width="9.140625" customWidth="1"/>
    <col min="4145" max="4145" width="11.85546875" customWidth="1"/>
    <col min="4146" max="4146" width="9.140625" customWidth="1"/>
    <col min="4147" max="4147" width="11.85546875" customWidth="1"/>
    <col min="4148" max="4148" width="9.140625" customWidth="1"/>
    <col min="4149" max="4149" width="5" customWidth="1"/>
    <col min="4150" max="4150" width="11.85546875" customWidth="1"/>
    <col min="4151" max="4151" width="9.140625" customWidth="1"/>
    <col min="4152" max="4152" width="11.85546875" customWidth="1"/>
    <col min="4153" max="4153" width="9.140625" customWidth="1"/>
    <col min="4154" max="4154" width="5" customWidth="1"/>
    <col min="4155" max="4155" width="11.85546875" customWidth="1"/>
    <col min="4156" max="4156" width="9.140625" customWidth="1"/>
    <col min="4157" max="4157" width="11.85546875" customWidth="1"/>
    <col min="4158" max="4158" width="9.140625" customWidth="1"/>
    <col min="4159" max="4159" width="5" customWidth="1"/>
    <col min="4160" max="4160" width="11.85546875" customWidth="1"/>
    <col min="4161" max="4161" width="9.140625" customWidth="1"/>
    <col min="4162" max="4162" width="11.85546875" customWidth="1"/>
    <col min="4163" max="4163" width="9.140625" customWidth="1"/>
    <col min="4164" max="4164" width="11.85546875" customWidth="1"/>
    <col min="4165" max="4165" width="9.140625" customWidth="1"/>
    <col min="4166" max="4166" width="11.85546875" customWidth="1"/>
    <col min="4167" max="4167" width="9.140625" customWidth="1"/>
    <col min="4168" max="4168" width="11.85546875" customWidth="1"/>
    <col min="4169" max="4169" width="9.140625" customWidth="1"/>
    <col min="4170" max="4170" width="11.85546875" customWidth="1"/>
    <col min="4171" max="4171" width="9.140625" customWidth="1"/>
    <col min="4172" max="4172" width="5" customWidth="1"/>
    <col min="4173" max="4173" width="11.85546875" customWidth="1"/>
    <col min="4174" max="4174" width="9.140625" customWidth="1"/>
    <col min="4175" max="4175" width="11.85546875" customWidth="1"/>
    <col min="4176" max="4176" width="9.140625" customWidth="1"/>
    <col min="4177" max="4177" width="5" customWidth="1"/>
    <col min="4178" max="4178" width="11.85546875" customWidth="1"/>
    <col min="4179" max="4179" width="9.140625" customWidth="1"/>
    <col min="4180" max="4180" width="11.85546875" customWidth="1"/>
    <col min="4181" max="4181" width="9.140625" customWidth="1"/>
    <col min="4182" max="4182" width="11.85546875" customWidth="1"/>
    <col min="4183" max="4183" width="9.140625" customWidth="1"/>
    <col min="4184" max="4184" width="11.85546875" customWidth="1"/>
    <col min="4185" max="4185" width="9.140625" customWidth="1"/>
    <col min="4186" max="4186" width="11.85546875" customWidth="1"/>
    <col min="4187" max="4187" width="9.140625" customWidth="1"/>
    <col min="4188" max="4188" width="11.85546875" customWidth="1"/>
    <col min="4189" max="4189" width="9.140625" customWidth="1"/>
    <col min="4190" max="4190" width="11.85546875" customWidth="1"/>
    <col min="4191" max="4191" width="9.140625" customWidth="1"/>
    <col min="4192" max="4192" width="11.85546875" customWidth="1"/>
    <col min="4193" max="4193" width="9.140625" customWidth="1"/>
    <col min="4194" max="4194" width="11.85546875" customWidth="1"/>
    <col min="4195" max="4195" width="9.140625" customWidth="1"/>
    <col min="4196" max="4196" width="11.85546875" customWidth="1"/>
    <col min="4197" max="4197" width="9.140625" customWidth="1"/>
    <col min="4198" max="4198" width="5" customWidth="1"/>
    <col min="4199" max="4199" width="11.85546875" customWidth="1"/>
    <col min="4200" max="4200" width="9.140625" customWidth="1"/>
    <col min="4201" max="4201" width="11.85546875" customWidth="1"/>
    <col min="4202" max="4202" width="9.140625" customWidth="1"/>
    <col min="4203" max="4203" width="5" customWidth="1"/>
    <col min="4204" max="4204" width="11.85546875" customWidth="1"/>
    <col min="4205" max="4205" width="9.140625" customWidth="1"/>
    <col min="4206" max="4206" width="11.85546875" customWidth="1"/>
    <col min="4207" max="4207" width="9.140625" customWidth="1"/>
    <col min="4208" max="4208" width="11.85546875" customWidth="1"/>
    <col min="4209" max="4209" width="9.140625" customWidth="1"/>
    <col min="4210" max="4210" width="5" customWidth="1"/>
    <col min="4211" max="4211" width="11.85546875" customWidth="1"/>
    <col min="4212" max="4212" width="9.140625" customWidth="1"/>
    <col min="4213" max="4213" width="11.85546875" customWidth="1"/>
    <col min="4214" max="4214" width="9.140625" customWidth="1"/>
    <col min="4215" max="4215" width="11.85546875" customWidth="1"/>
    <col min="4216" max="4216" width="9.140625" customWidth="1"/>
    <col min="4217" max="4217" width="11.85546875" customWidth="1"/>
    <col min="4218" max="4218" width="9.140625" customWidth="1"/>
    <col min="4219" max="4219" width="5" customWidth="1"/>
    <col min="4220" max="4220" width="11.85546875" customWidth="1"/>
    <col min="4221" max="4221" width="9.140625" customWidth="1"/>
    <col min="4222" max="4222" width="11.85546875" customWidth="1"/>
    <col min="4223" max="4223" width="9.140625" customWidth="1"/>
    <col min="4224" max="4224" width="11.85546875" customWidth="1"/>
    <col min="4225" max="4225" width="9.140625" customWidth="1"/>
    <col min="4226" max="4226" width="11.85546875" customWidth="1"/>
    <col min="4227" max="4227" width="9.140625" customWidth="1"/>
    <col min="4228" max="4228" width="11.85546875" customWidth="1"/>
    <col min="4229" max="4229" width="9.140625" customWidth="1"/>
    <col min="4230" max="4230" width="11.85546875" customWidth="1"/>
    <col min="4231" max="4231" width="9.140625" customWidth="1"/>
    <col min="4232" max="4232" width="11.85546875" customWidth="1"/>
    <col min="4233" max="4233" width="9.140625" customWidth="1"/>
    <col min="4234" max="4234" width="11.85546875" customWidth="1"/>
    <col min="4235" max="4235" width="9.140625" customWidth="1"/>
    <col min="4236" max="4236" width="11.85546875" customWidth="1"/>
    <col min="4237" max="4237" width="9.140625" customWidth="1"/>
    <col min="4238" max="4238" width="11.85546875" customWidth="1"/>
    <col min="4239" max="4239" width="9.140625" customWidth="1"/>
    <col min="4240" max="4240" width="11.85546875" customWidth="1"/>
    <col min="4241" max="4241" width="9.140625" customWidth="1"/>
    <col min="4242" max="4242" width="11.85546875" customWidth="1"/>
    <col min="4243" max="4243" width="9.140625" customWidth="1"/>
    <col min="4244" max="4244" width="11.85546875" customWidth="1"/>
    <col min="4245" max="4245" width="9.140625" customWidth="1"/>
    <col min="4246" max="4246" width="11.85546875" customWidth="1"/>
    <col min="4247" max="4247" width="9.140625" customWidth="1"/>
    <col min="4248" max="4248" width="11.85546875" customWidth="1"/>
    <col min="4249" max="4249" width="9.140625" customWidth="1"/>
    <col min="4250" max="4250" width="11.85546875" customWidth="1"/>
    <col min="4251" max="4251" width="9.140625" customWidth="1"/>
    <col min="4252" max="4252" width="11.85546875" customWidth="1"/>
    <col min="4253" max="4253" width="9.140625" customWidth="1"/>
    <col min="4254" max="4254" width="11.85546875" customWidth="1"/>
    <col min="4255" max="4255" width="9.140625" customWidth="1"/>
    <col min="4256" max="4256" width="11.85546875" customWidth="1"/>
    <col min="4257" max="4257" width="9.140625" customWidth="1"/>
    <col min="4258" max="4258" width="5" customWidth="1"/>
    <col min="4259" max="4259" width="11.85546875" customWidth="1"/>
    <col min="4260" max="4260" width="9.140625" customWidth="1"/>
    <col min="4261" max="4261" width="11.85546875" customWidth="1"/>
    <col min="4262" max="4262" width="9.140625" customWidth="1"/>
    <col min="4263" max="4263" width="11.85546875" customWidth="1"/>
    <col min="4264" max="4264" width="9.140625" customWidth="1"/>
    <col min="4265" max="4265" width="5" customWidth="1"/>
    <col min="4266" max="4266" width="11.85546875" customWidth="1"/>
    <col min="4267" max="4267" width="9.140625" customWidth="1"/>
    <col min="4268" max="4268" width="11.85546875" customWidth="1"/>
    <col min="4269" max="4269" width="9.140625" customWidth="1"/>
    <col min="4270" max="4270" width="11.85546875" customWidth="1"/>
    <col min="4271" max="4271" width="9.140625" customWidth="1"/>
    <col min="4272" max="4272" width="11.85546875" customWidth="1"/>
    <col min="4273" max="4273" width="9.140625" customWidth="1"/>
    <col min="4274" max="4274" width="11.85546875" customWidth="1"/>
    <col min="4275" max="4275" width="9.140625" customWidth="1"/>
    <col min="4276" max="4276" width="5" customWidth="1"/>
    <col min="4277" max="4277" width="11.85546875" customWidth="1"/>
    <col min="4278" max="4278" width="9.140625" customWidth="1"/>
    <col min="4279" max="4279" width="11.85546875" customWidth="1"/>
    <col min="4280" max="4280" width="9.140625" customWidth="1"/>
    <col min="4281" max="4281" width="11.85546875" customWidth="1"/>
    <col min="4282" max="4282" width="9.140625" customWidth="1"/>
    <col min="4283" max="4283" width="11.85546875" customWidth="1"/>
    <col min="4284" max="4284" width="9.140625" customWidth="1"/>
    <col min="4285" max="4285" width="11.85546875" customWidth="1"/>
    <col min="4286" max="4286" width="9.140625" customWidth="1"/>
    <col min="4287" max="4287" width="11.85546875" customWidth="1"/>
    <col min="4288" max="4288" width="9.140625" customWidth="1"/>
    <col min="4289" max="4289" width="11.85546875" customWidth="1"/>
    <col min="4290" max="4290" width="9.140625" customWidth="1"/>
    <col min="4291" max="4291" width="11.85546875" customWidth="1"/>
    <col min="4292" max="4292" width="9.140625" customWidth="1"/>
    <col min="4293" max="4293" width="11.85546875" customWidth="1"/>
    <col min="4294" max="4294" width="9.140625" customWidth="1"/>
    <col min="4295" max="4295" width="5" customWidth="1"/>
    <col min="4296" max="4296" width="11.85546875" customWidth="1"/>
    <col min="4297" max="4297" width="9.140625" customWidth="1"/>
    <col min="4298" max="4298" width="11.85546875" customWidth="1"/>
    <col min="4299" max="4299" width="9.140625" customWidth="1"/>
    <col min="4300" max="4300" width="5" customWidth="1"/>
    <col min="4301" max="4301" width="11.85546875" customWidth="1"/>
    <col min="4302" max="4302" width="9.140625" customWidth="1"/>
    <col min="4303" max="4303" width="11.85546875" customWidth="1"/>
    <col min="4304" max="4304" width="9.140625" customWidth="1"/>
    <col min="4305" max="4305" width="5" customWidth="1"/>
    <col min="4306" max="4306" width="11.85546875" customWidth="1"/>
    <col min="4307" max="4307" width="9.140625" customWidth="1"/>
    <col min="4308" max="4308" width="11.85546875" customWidth="1"/>
    <col min="4309" max="4309" width="9.140625" customWidth="1"/>
    <col min="4310" max="4310" width="5" customWidth="1"/>
    <col min="4311" max="4311" width="11.85546875" customWidth="1"/>
    <col min="4312" max="4312" width="9.140625" customWidth="1"/>
    <col min="4313" max="4313" width="11.85546875" customWidth="1"/>
    <col min="4314" max="4314" width="9.140625" customWidth="1"/>
    <col min="4315" max="4315" width="11.85546875" customWidth="1"/>
    <col min="4316" max="4316" width="9.140625" customWidth="1"/>
    <col min="4317" max="4317" width="11.85546875" customWidth="1"/>
    <col min="4318" max="4318" width="9.140625" customWidth="1"/>
    <col min="4319" max="4319" width="11.85546875" customWidth="1"/>
    <col min="4320" max="4320" width="9.140625" customWidth="1"/>
    <col min="4321" max="4321" width="11.85546875" customWidth="1"/>
    <col min="4322" max="4322" width="9.140625" customWidth="1"/>
    <col min="4323" max="4323" width="11.85546875" customWidth="1"/>
    <col min="4324" max="4324" width="9.140625" customWidth="1"/>
    <col min="4325" max="4325" width="11.85546875" customWidth="1"/>
    <col min="4326" max="4326" width="9.140625" customWidth="1"/>
    <col min="4327" max="4327" width="11.85546875" customWidth="1"/>
    <col min="4328" max="4328" width="9.140625" customWidth="1"/>
    <col min="4329" max="4329" width="11.85546875" customWidth="1"/>
    <col min="4330" max="4330" width="9.140625" customWidth="1"/>
    <col min="4331" max="4331" width="11.85546875" customWidth="1"/>
    <col min="4332" max="4332" width="9.140625" customWidth="1"/>
    <col min="4333" max="4333" width="11.85546875" customWidth="1"/>
    <col min="4334" max="4334" width="9.140625" customWidth="1"/>
    <col min="4335" max="4335" width="11.85546875" customWidth="1"/>
    <col min="4336" max="4336" width="9.140625" customWidth="1"/>
    <col min="4337" max="4337" width="11.85546875" customWidth="1"/>
    <col min="4338" max="4338" width="9.140625" customWidth="1"/>
    <col min="4339" max="4339" width="11.85546875" customWidth="1"/>
    <col min="4340" max="4340" width="9.140625" customWidth="1"/>
    <col min="4341" max="4341" width="11.85546875" customWidth="1"/>
    <col min="4342" max="4342" width="9.140625" customWidth="1"/>
    <col min="4343" max="4343" width="11.85546875" customWidth="1"/>
    <col min="4344" max="4344" width="9.140625" customWidth="1"/>
    <col min="4345" max="4345" width="11.85546875" customWidth="1"/>
    <col min="4346" max="4346" width="9.140625" customWidth="1"/>
    <col min="4347" max="4347" width="11.85546875" customWidth="1"/>
    <col min="4348" max="4348" width="9.140625" customWidth="1"/>
    <col min="4349" max="4349" width="11.85546875" customWidth="1"/>
    <col min="4350" max="4350" width="9.140625" customWidth="1"/>
    <col min="4351" max="4351" width="11.85546875" customWidth="1"/>
    <col min="4352" max="4352" width="9.140625" customWidth="1"/>
    <col min="4353" max="4353" width="11.85546875" customWidth="1"/>
    <col min="4354" max="4354" width="9.140625" customWidth="1"/>
    <col min="4355" max="4355" width="11.85546875" customWidth="1"/>
    <col min="4356" max="4356" width="9.140625" customWidth="1"/>
    <col min="4357" max="4357" width="11.85546875" customWidth="1"/>
    <col min="4358" max="4358" width="9.140625" customWidth="1"/>
    <col min="4359" max="4359" width="5" customWidth="1"/>
    <col min="4360" max="4360" width="11.85546875" customWidth="1"/>
    <col min="4361" max="4361" width="9.140625" customWidth="1"/>
    <col min="4362" max="4362" width="11.85546875" customWidth="1"/>
    <col min="4363" max="4363" width="9.140625" customWidth="1"/>
    <col min="4364" max="4364" width="11.85546875" customWidth="1"/>
    <col min="4365" max="4365" width="9.140625" customWidth="1"/>
    <col min="4366" max="4366" width="5" customWidth="1"/>
    <col min="4367" max="4367" width="11.85546875" customWidth="1"/>
    <col min="4368" max="4368" width="9.140625" customWidth="1"/>
    <col min="4369" max="4369" width="11.85546875" customWidth="1"/>
    <col min="4370" max="4370" width="9.140625" customWidth="1"/>
    <col min="4371" max="4371" width="11.85546875" customWidth="1"/>
    <col min="4372" max="4372" width="9.140625" customWidth="1"/>
    <col min="4373" max="4373" width="11.85546875" customWidth="1"/>
    <col min="4374" max="4374" width="9.140625" customWidth="1"/>
    <col min="4375" max="4375" width="11.85546875" customWidth="1"/>
    <col min="4376" max="4376" width="9.140625" customWidth="1"/>
    <col min="4377" max="4377" width="11.85546875" customWidth="1"/>
    <col min="4378" max="4378" width="9.140625" customWidth="1"/>
    <col min="4379" max="4379" width="5" customWidth="1"/>
    <col min="4380" max="4380" width="11.85546875" customWidth="1"/>
    <col min="4381" max="4381" width="9.140625" customWidth="1"/>
    <col min="4382" max="4382" width="11.85546875" customWidth="1"/>
    <col min="4383" max="4383" width="9.140625" customWidth="1"/>
    <col min="4384" max="4384" width="5" customWidth="1"/>
    <col min="4385" max="4385" width="11.85546875" customWidth="1"/>
    <col min="4386" max="4386" width="9.140625" customWidth="1"/>
    <col min="4387" max="4387" width="11.85546875" customWidth="1"/>
    <col min="4388" max="4388" width="9.140625" customWidth="1"/>
    <col min="4389" max="4389" width="11.85546875" customWidth="1"/>
    <col min="4390" max="4390" width="9.140625" customWidth="1"/>
    <col min="4391" max="4391" width="11.85546875" customWidth="1"/>
    <col min="4392" max="4392" width="9.140625" customWidth="1"/>
    <col min="4393" max="4393" width="11.85546875" customWidth="1"/>
    <col min="4394" max="4394" width="9.140625" customWidth="1"/>
    <col min="4395" max="4395" width="11.85546875" customWidth="1"/>
    <col min="4396" max="4396" width="9.140625" customWidth="1"/>
    <col min="4397" max="4397" width="11.85546875" customWidth="1"/>
    <col min="4398" max="4398" width="9.140625" customWidth="1"/>
    <col min="4399" max="4399" width="11.85546875" customWidth="1"/>
    <col min="4400" max="4400" width="9.140625" customWidth="1"/>
    <col min="4401" max="4401" width="11.85546875" customWidth="1"/>
    <col min="4402" max="4402" width="9.140625" customWidth="1"/>
    <col min="4403" max="4403" width="11.85546875" customWidth="1"/>
    <col min="4404" max="4404" width="9.140625" customWidth="1"/>
    <col min="4405" max="4405" width="11.85546875" customWidth="1"/>
    <col min="4406" max="4406" width="9.140625" customWidth="1"/>
    <col min="4407" max="4407" width="5" customWidth="1"/>
    <col min="4408" max="4408" width="11.85546875" customWidth="1"/>
    <col min="4409" max="4409" width="9.140625" customWidth="1"/>
    <col min="4410" max="4410" width="11.85546875" customWidth="1"/>
    <col min="4411" max="4411" width="9.140625" customWidth="1"/>
    <col min="4412" max="4412" width="11.85546875" customWidth="1"/>
    <col min="4413" max="4413" width="9.140625" customWidth="1"/>
    <col min="4414" max="4414" width="11.85546875" customWidth="1"/>
    <col min="4415" max="4415" width="9.140625" customWidth="1"/>
    <col min="4416" max="4416" width="11.85546875" customWidth="1"/>
    <col min="4417" max="4417" width="9.140625" customWidth="1"/>
    <col min="4418" max="4418" width="11.85546875" customWidth="1"/>
    <col min="4419" max="4419" width="9.140625" customWidth="1"/>
    <col min="4420" max="4420" width="11.85546875" customWidth="1"/>
    <col min="4421" max="4421" width="9.140625" customWidth="1"/>
    <col min="4422" max="4422" width="5" customWidth="1"/>
    <col min="4423" max="4423" width="11.85546875" customWidth="1"/>
    <col min="4424" max="4424" width="9.140625" customWidth="1"/>
    <col min="4425" max="4425" width="11.85546875" customWidth="1"/>
    <col min="4426" max="4426" width="9.140625" customWidth="1"/>
    <col min="4427" max="4427" width="5" customWidth="1"/>
    <col min="4428" max="4428" width="11.85546875" customWidth="1"/>
    <col min="4429" max="4429" width="9.140625" customWidth="1"/>
    <col min="4430" max="4430" width="11.85546875" customWidth="1"/>
    <col min="4431" max="4431" width="9.140625" customWidth="1"/>
    <col min="4432" max="4432" width="11.85546875" customWidth="1"/>
    <col min="4433" max="4433" width="9.140625" customWidth="1"/>
    <col min="4434" max="4434" width="11.85546875" customWidth="1"/>
    <col min="4435" max="4435" width="9.140625" customWidth="1"/>
    <col min="4436" max="4436" width="11.85546875" customWidth="1"/>
    <col min="4437" max="4437" width="9.140625" customWidth="1"/>
    <col min="4438" max="4438" width="11.85546875" customWidth="1"/>
    <col min="4439" max="4439" width="9.140625" customWidth="1"/>
    <col min="4440" max="4440" width="11.85546875" customWidth="1"/>
    <col min="4441" max="4441" width="9.140625" customWidth="1"/>
    <col min="4442" max="4442" width="11.85546875" customWidth="1"/>
    <col min="4443" max="4443" width="9.140625" customWidth="1"/>
    <col min="4444" max="4444" width="11.85546875" customWidth="1"/>
    <col min="4445" max="4445" width="9.140625" customWidth="1"/>
    <col min="4446" max="4446" width="5" customWidth="1"/>
    <col min="4447" max="4447" width="11.85546875" customWidth="1"/>
    <col min="4448" max="4448" width="9.140625" customWidth="1"/>
    <col min="4449" max="4449" width="5" customWidth="1"/>
    <col min="4450" max="4450" width="11.85546875" customWidth="1"/>
    <col min="4451" max="4451" width="9.140625" customWidth="1"/>
    <col min="4452" max="4452" width="11.85546875" customWidth="1"/>
    <col min="4453" max="4453" width="9.140625" customWidth="1"/>
    <col min="4454" max="4454" width="11.85546875" customWidth="1"/>
    <col min="4455" max="4455" width="9.140625" customWidth="1"/>
    <col min="4456" max="4456" width="11.85546875" customWidth="1"/>
    <col min="4457" max="4457" width="9.140625" customWidth="1"/>
    <col min="4458" max="4458" width="11.85546875" customWidth="1"/>
    <col min="4459" max="4459" width="9.140625" customWidth="1"/>
    <col min="4460" max="4460" width="11.85546875" customWidth="1"/>
    <col min="4461" max="4461" width="9.140625" customWidth="1"/>
    <col min="4462" max="4462" width="11.85546875" customWidth="1"/>
    <col min="4463" max="4463" width="9.140625" customWidth="1"/>
    <col min="4464" max="4464" width="11.85546875" customWidth="1"/>
    <col min="4465" max="4465" width="9.140625" customWidth="1"/>
    <col min="4466" max="4466" width="11.85546875" customWidth="1"/>
    <col min="4467" max="4467" width="9.140625" customWidth="1"/>
    <col min="4468" max="4468" width="11.85546875" customWidth="1"/>
    <col min="4469" max="4469" width="9.140625" customWidth="1"/>
    <col min="4470" max="4470" width="11.85546875" customWidth="1"/>
    <col min="4471" max="4471" width="9.140625" customWidth="1"/>
    <col min="4472" max="4472" width="11.85546875" customWidth="1"/>
    <col min="4473" max="4473" width="9.140625" customWidth="1"/>
    <col min="4474" max="4474" width="5" customWidth="1"/>
    <col min="4475" max="4475" width="11.85546875" customWidth="1"/>
    <col min="4476" max="4476" width="9.140625" customWidth="1"/>
    <col min="4477" max="4477" width="11.85546875" customWidth="1"/>
    <col min="4478" max="4478" width="9.140625" customWidth="1"/>
    <col min="4479" max="4479" width="11.85546875" customWidth="1"/>
    <col min="4480" max="4480" width="9.140625" customWidth="1"/>
    <col min="4481" max="4481" width="11.85546875" customWidth="1"/>
    <col min="4482" max="4482" width="9.140625" customWidth="1"/>
    <col min="4483" max="4483" width="11.85546875" customWidth="1"/>
    <col min="4484" max="4484" width="9.140625" customWidth="1"/>
    <col min="4485" max="4485" width="11.85546875" customWidth="1"/>
    <col min="4486" max="4486" width="9.140625" customWidth="1"/>
    <col min="4487" max="4487" width="11.85546875" customWidth="1"/>
    <col min="4488" max="4488" width="9.140625" customWidth="1"/>
    <col min="4489" max="4489" width="11.85546875" customWidth="1"/>
    <col min="4490" max="4490" width="9.140625" customWidth="1"/>
    <col min="4491" max="4491" width="11.85546875" customWidth="1"/>
    <col min="4492" max="4492" width="9.140625" customWidth="1"/>
    <col min="4493" max="4493" width="5" customWidth="1"/>
    <col min="4494" max="4494" width="11.85546875" customWidth="1"/>
    <col min="4495" max="4495" width="9.140625" customWidth="1"/>
    <col min="4496" max="4496" width="5" customWidth="1"/>
    <col min="4497" max="4497" width="11.85546875" customWidth="1"/>
    <col min="4498" max="4498" width="9.140625" customWidth="1"/>
    <col min="4499" max="4499" width="11.85546875" customWidth="1"/>
    <col min="4500" max="4500" width="9.140625" customWidth="1"/>
    <col min="4501" max="4501" width="11.85546875" customWidth="1"/>
    <col min="4502" max="4502" width="9.140625" customWidth="1"/>
    <col min="4503" max="4503" width="11.85546875" customWidth="1"/>
    <col min="4504" max="4504" width="9.140625" customWidth="1"/>
    <col min="4505" max="4505" width="11.85546875" customWidth="1"/>
    <col min="4506" max="4506" width="9.140625" customWidth="1"/>
    <col min="4507" max="4507" width="11.85546875" customWidth="1"/>
    <col min="4508" max="4508" width="9.140625" customWidth="1"/>
    <col min="4509" max="4509" width="11.85546875" customWidth="1"/>
    <col min="4510" max="4510" width="9.140625" customWidth="1"/>
    <col min="4511" max="4511" width="11.85546875" customWidth="1"/>
    <col min="4512" max="4512" width="9.140625" customWidth="1"/>
    <col min="4513" max="4513" width="11.85546875" customWidth="1"/>
    <col min="4514" max="4514" width="9.140625" customWidth="1"/>
    <col min="4515" max="4515" width="5" customWidth="1"/>
    <col min="4516" max="4516" width="11.85546875" customWidth="1"/>
    <col min="4517" max="4517" width="9.140625" customWidth="1"/>
    <col min="4518" max="4518" width="11.85546875" customWidth="1"/>
    <col min="4519" max="4519" width="9.140625" customWidth="1"/>
    <col min="4520" max="4520" width="11.85546875" customWidth="1"/>
    <col min="4521" max="4521" width="9.140625" customWidth="1"/>
    <col min="4522" max="4522" width="11.85546875" customWidth="1"/>
    <col min="4523" max="4523" width="9.140625" customWidth="1"/>
    <col min="4524" max="4524" width="11.85546875" customWidth="1"/>
    <col min="4525" max="4525" width="9.140625" customWidth="1"/>
    <col min="4526" max="4526" width="11.85546875" customWidth="1"/>
    <col min="4527" max="4527" width="9.140625" customWidth="1"/>
    <col min="4528" max="4528" width="5" customWidth="1"/>
    <col min="4529" max="4529" width="11.85546875" customWidth="1"/>
    <col min="4530" max="4530" width="9.140625" customWidth="1"/>
    <col min="4531" max="4531" width="11.85546875" customWidth="1"/>
    <col min="4532" max="4532" width="9.140625" customWidth="1"/>
    <col min="4533" max="4533" width="5" customWidth="1"/>
    <col min="4534" max="4534" width="11.85546875" customWidth="1"/>
    <col min="4535" max="4535" width="9.140625" customWidth="1"/>
    <col min="4536" max="4536" width="11.85546875" customWidth="1"/>
    <col min="4537" max="4537" width="9.140625" customWidth="1"/>
    <col min="4538" max="4538" width="11.85546875" customWidth="1"/>
    <col min="4539" max="4539" width="9.140625" customWidth="1"/>
    <col min="4540" max="4540" width="11.85546875" customWidth="1"/>
    <col min="4541" max="4541" width="9.140625" customWidth="1"/>
    <col min="4542" max="4542" width="11.85546875" customWidth="1"/>
    <col min="4543" max="4543" width="9.140625" customWidth="1"/>
    <col min="4544" max="4544" width="11.85546875" customWidth="1"/>
    <col min="4545" max="4545" width="9.140625" customWidth="1"/>
    <col min="4546" max="4546" width="11.85546875" customWidth="1"/>
    <col min="4547" max="4547" width="9.140625" customWidth="1"/>
    <col min="4548" max="4548" width="11.85546875" customWidth="1"/>
    <col min="4549" max="4549" width="9.140625" customWidth="1"/>
    <col min="4550" max="4550" width="5" customWidth="1"/>
    <col min="4551" max="4551" width="11.85546875" customWidth="1"/>
    <col min="4552" max="4552" width="9.140625" customWidth="1"/>
    <col min="4553" max="4553" width="11.85546875" customWidth="1"/>
    <col min="4554" max="4554" width="9.140625" customWidth="1"/>
    <col min="4555" max="4555" width="11.85546875" customWidth="1"/>
    <col min="4556" max="4556" width="9.140625" customWidth="1"/>
    <col min="4557" max="4557" width="5" customWidth="1"/>
    <col min="4558" max="4558" width="11.85546875" customWidth="1"/>
    <col min="4559" max="4559" width="9.140625" customWidth="1"/>
    <col min="4560" max="4560" width="5" customWidth="1"/>
    <col min="4561" max="4561" width="11.85546875" customWidth="1"/>
    <col min="4562" max="4562" width="9.140625" customWidth="1"/>
    <col min="4563" max="4563" width="11.85546875" customWidth="1"/>
    <col min="4564" max="4564" width="9.140625" customWidth="1"/>
    <col min="4565" max="4565" width="11.85546875" customWidth="1"/>
    <col min="4566" max="4566" width="9.140625" customWidth="1"/>
    <col min="4567" max="4567" width="11.85546875" customWidth="1"/>
    <col min="4568" max="4568" width="9.140625" customWidth="1"/>
    <col min="4569" max="4569" width="5" customWidth="1"/>
    <col min="4570" max="4570" width="11.85546875" customWidth="1"/>
    <col min="4571" max="4571" width="9.140625" customWidth="1"/>
    <col min="4572" max="4572" width="11.85546875" customWidth="1"/>
    <col min="4573" max="4573" width="9.140625" customWidth="1"/>
    <col min="4574" max="4574" width="5" customWidth="1"/>
    <col min="4575" max="4575" width="11.85546875" customWidth="1"/>
    <col min="4576" max="4576" width="9.140625" customWidth="1"/>
    <col min="4577" max="4577" width="11.85546875" customWidth="1"/>
    <col min="4578" max="4578" width="9.140625" customWidth="1"/>
    <col min="4579" max="4579" width="11.85546875" customWidth="1"/>
    <col min="4580" max="4580" width="9.140625" customWidth="1"/>
    <col min="4581" max="4581" width="11.85546875" customWidth="1"/>
    <col min="4582" max="4582" width="9.140625" customWidth="1"/>
    <col min="4583" max="4583" width="11.85546875" customWidth="1"/>
    <col min="4584" max="4584" width="9.140625" customWidth="1"/>
    <col min="4585" max="4585" width="11.85546875" customWidth="1"/>
    <col min="4586" max="4586" width="9.140625" customWidth="1"/>
    <col min="4587" max="4587" width="11.85546875" customWidth="1"/>
    <col min="4588" max="4588" width="9.140625" customWidth="1"/>
    <col min="4589" max="4589" width="11.85546875" customWidth="1"/>
    <col min="4590" max="4590" width="9.140625" customWidth="1"/>
    <col min="4591" max="4591" width="11.85546875" customWidth="1"/>
    <col min="4592" max="4592" width="9.140625" customWidth="1"/>
    <col min="4593" max="4593" width="11.85546875" customWidth="1"/>
    <col min="4594" max="4594" width="9.140625" customWidth="1"/>
    <col min="4595" max="4595" width="5" customWidth="1"/>
    <col min="4596" max="4596" width="11.85546875" customWidth="1"/>
    <col min="4597" max="4597" width="9.140625" customWidth="1"/>
    <col min="4598" max="4598" width="5" customWidth="1"/>
    <col min="4599" max="4599" width="11.85546875" customWidth="1"/>
    <col min="4600" max="4600" width="9.140625" customWidth="1"/>
    <col min="4601" max="4601" width="5" customWidth="1"/>
    <col min="4602" max="4602" width="11.85546875" customWidth="1"/>
    <col min="4603" max="4603" width="9.140625" customWidth="1"/>
    <col min="4604" max="4604" width="11.85546875" customWidth="1"/>
    <col min="4605" max="4605" width="9.140625" customWidth="1"/>
    <col min="4606" max="4606" width="11.85546875" customWidth="1"/>
    <col min="4607" max="4607" width="9.140625" customWidth="1"/>
    <col min="4608" max="4608" width="11.85546875" customWidth="1"/>
    <col min="4609" max="4609" width="9.140625" customWidth="1"/>
    <col min="4610" max="4610" width="11.85546875" customWidth="1"/>
    <col min="4611" max="4611" width="9.140625" customWidth="1"/>
    <col min="4612" max="4612" width="11.85546875" customWidth="1"/>
    <col min="4613" max="4613" width="9.140625" customWidth="1"/>
    <col min="4614" max="4614" width="11.85546875" customWidth="1"/>
    <col min="4615" max="4615" width="9.140625" customWidth="1"/>
    <col min="4616" max="4616" width="5" customWidth="1"/>
    <col min="4617" max="4617" width="11.85546875" customWidth="1"/>
    <col min="4618" max="4618" width="9.140625" customWidth="1"/>
    <col min="4619" max="4619" width="11.85546875" customWidth="1"/>
    <col min="4620" max="4620" width="9.140625" customWidth="1"/>
    <col min="4621" max="4621" width="5" customWidth="1"/>
    <col min="4622" max="4622" width="11.85546875" customWidth="1"/>
    <col min="4623" max="4623" width="9.140625" customWidth="1"/>
    <col min="4624" max="4624" width="11.85546875" customWidth="1"/>
    <col min="4625" max="4625" width="9.140625" customWidth="1"/>
    <col min="4626" max="4626" width="11.85546875" customWidth="1"/>
    <col min="4627" max="4627" width="9.140625" customWidth="1"/>
    <col min="4628" max="4628" width="11.85546875" customWidth="1"/>
    <col min="4629" max="4629" width="9.140625" customWidth="1"/>
    <col min="4630" max="4630" width="11.85546875" customWidth="1"/>
    <col min="4631" max="4631" width="9.140625" customWidth="1"/>
    <col min="4632" max="4632" width="11.85546875" customWidth="1"/>
    <col min="4633" max="4633" width="9.140625" customWidth="1"/>
    <col min="4634" max="4634" width="5" customWidth="1"/>
    <col min="4635" max="4635" width="11.85546875" customWidth="1"/>
    <col min="4636" max="4636" width="9.140625" customWidth="1"/>
    <col min="4637" max="4637" width="11.85546875" customWidth="1"/>
    <col min="4638" max="4638" width="9.140625" customWidth="1"/>
    <col min="4639" max="4639" width="11.85546875" customWidth="1"/>
    <col min="4640" max="4640" width="9.140625" customWidth="1"/>
    <col min="4641" max="4641" width="11.85546875" customWidth="1"/>
    <col min="4642" max="4642" width="9.140625" customWidth="1"/>
    <col min="4643" max="4643" width="11.85546875" customWidth="1"/>
    <col min="4644" max="4644" width="9.140625" customWidth="1"/>
    <col min="4645" max="4645" width="11.85546875" customWidth="1"/>
    <col min="4646" max="4646" width="9.140625" customWidth="1"/>
    <col min="4647" max="4647" width="11.85546875" customWidth="1"/>
    <col min="4648" max="4648" width="9.140625" customWidth="1"/>
    <col min="4649" max="4649" width="11.85546875" customWidth="1"/>
    <col min="4650" max="4650" width="9.140625" customWidth="1"/>
    <col min="4651" max="4651" width="5" customWidth="1"/>
    <col min="4652" max="4652" width="11.85546875" customWidth="1"/>
    <col min="4653" max="4653" width="9.140625" customWidth="1"/>
    <col min="4654" max="4654" width="11.85546875" customWidth="1"/>
    <col min="4655" max="4655" width="9.140625" customWidth="1"/>
    <col min="4656" max="4656" width="5" customWidth="1"/>
    <col min="4657" max="4657" width="11.85546875" customWidth="1"/>
    <col min="4658" max="4658" width="9.140625" customWidth="1"/>
    <col min="4659" max="4659" width="11.85546875" customWidth="1"/>
    <col min="4660" max="4660" width="9.140625" customWidth="1"/>
    <col min="4661" max="4661" width="11.85546875" customWidth="1"/>
    <col min="4662" max="4662" width="9.140625" customWidth="1"/>
    <col min="4663" max="4663" width="5" customWidth="1"/>
    <col min="4664" max="4664" width="11.85546875" customWidth="1"/>
    <col min="4665" max="4665" width="9.140625" customWidth="1"/>
    <col min="4666" max="4666" width="5" customWidth="1"/>
    <col min="4667" max="4667" width="11.85546875" customWidth="1"/>
    <col min="4668" max="4668" width="9.140625" customWidth="1"/>
    <col min="4669" max="4669" width="11.85546875" customWidth="1"/>
    <col min="4670" max="4670" width="9.140625" customWidth="1"/>
    <col min="4671" max="4671" width="5" customWidth="1"/>
    <col min="4672" max="4672" width="11.85546875" customWidth="1"/>
    <col min="4673" max="4673" width="10.140625" customWidth="1"/>
    <col min="4674" max="4674" width="12.85546875" customWidth="1"/>
    <col min="4675" max="4675" width="10.140625" customWidth="1"/>
    <col min="4676" max="4676" width="12.85546875" customWidth="1"/>
    <col min="4677" max="4677" width="10.140625" customWidth="1"/>
    <col min="4678" max="4678" width="12.85546875" customWidth="1"/>
    <col min="4679" max="4679" width="10.140625" customWidth="1"/>
    <col min="4680" max="4680" width="12.85546875" customWidth="1"/>
    <col min="4681" max="4681" width="10.140625" customWidth="1"/>
    <col min="4682" max="4682" width="12.85546875" customWidth="1"/>
    <col min="4683" max="4683" width="10.140625" customWidth="1"/>
    <col min="4684" max="4684" width="5" customWidth="1"/>
    <col min="4685" max="4685" width="12.85546875" customWidth="1"/>
    <col min="4686" max="4686" width="10.140625" customWidth="1"/>
    <col min="4687" max="4687" width="12.85546875" customWidth="1"/>
    <col min="4688" max="4688" width="10.140625" customWidth="1"/>
    <col min="4689" max="4689" width="12.85546875" customWidth="1"/>
    <col min="4690" max="4690" width="10.140625" customWidth="1"/>
    <col min="4691" max="4691" width="12.85546875" customWidth="1"/>
    <col min="4692" max="4692" width="10.140625" customWidth="1"/>
    <col min="4693" max="4693" width="12.85546875" customWidth="1"/>
    <col min="4694" max="4694" width="10.140625" customWidth="1"/>
    <col min="4695" max="4695" width="12.85546875" customWidth="1"/>
    <col min="4696" max="4696" width="10.140625" customWidth="1"/>
    <col min="4697" max="4697" width="12.85546875" customWidth="1"/>
    <col min="4698" max="4698" width="10.140625" customWidth="1"/>
    <col min="4699" max="4699" width="12.85546875" customWidth="1"/>
    <col min="4700" max="4700" width="10.140625" customWidth="1"/>
    <col min="4701" max="4701" width="12.85546875" customWidth="1"/>
    <col min="4702" max="4702" width="10.140625" customWidth="1"/>
    <col min="4703" max="4703" width="12.85546875" customWidth="1"/>
    <col min="4704" max="4704" width="10.140625" customWidth="1"/>
    <col min="4705" max="4705" width="12.85546875" customWidth="1"/>
    <col min="4706" max="4706" width="10.140625" customWidth="1"/>
    <col min="4707" max="4707" width="12.85546875" customWidth="1"/>
    <col min="4708" max="4708" width="10.140625" customWidth="1"/>
    <col min="4709" max="4709" width="12.85546875" customWidth="1"/>
    <col min="4710" max="4710" width="10.140625" customWidth="1"/>
    <col min="4711" max="4711" width="12.85546875" customWidth="1"/>
    <col min="4712" max="4712" width="10.140625" customWidth="1"/>
    <col min="4713" max="4713" width="12.85546875" customWidth="1"/>
    <col min="4714" max="4714" width="10.140625" customWidth="1"/>
    <col min="4715" max="4715" width="12.85546875" customWidth="1"/>
    <col min="4716" max="4716" width="10.140625" customWidth="1"/>
    <col min="4717" max="4717" width="12.85546875" customWidth="1"/>
    <col min="4718" max="4718" width="10.140625" customWidth="1"/>
    <col min="4719" max="4719" width="12.85546875" customWidth="1"/>
    <col min="4720" max="4720" width="10.140625" customWidth="1"/>
    <col min="4721" max="4721" width="12.85546875" customWidth="1"/>
    <col min="4722" max="4722" width="10.140625" customWidth="1"/>
    <col min="4723" max="4723" width="5" customWidth="1"/>
    <col min="4724" max="4724" width="12.85546875" customWidth="1"/>
    <col min="4725" max="4725" width="10.140625" customWidth="1"/>
    <col min="4726" max="4726" width="5" customWidth="1"/>
    <col min="4727" max="4727" width="12.85546875" customWidth="1"/>
    <col min="4728" max="4728" width="10.140625" customWidth="1"/>
    <col min="4729" max="4729" width="12.85546875" customWidth="1"/>
    <col min="4730" max="4730" width="10.140625" customWidth="1"/>
    <col min="4731" max="4731" width="12.85546875" customWidth="1"/>
    <col min="4732" max="4732" width="10.140625" customWidth="1"/>
    <col min="4733" max="4733" width="5" customWidth="1"/>
    <col min="4734" max="4734" width="12.85546875" customWidth="1"/>
    <col min="4735" max="4735" width="10.140625" customWidth="1"/>
    <col min="4736" max="4736" width="5" customWidth="1"/>
    <col min="4737" max="4737" width="12.85546875" customWidth="1"/>
    <col min="4738" max="4738" width="10.140625" customWidth="1"/>
    <col min="4739" max="4739" width="5" customWidth="1"/>
    <col min="4740" max="4740" width="12.85546875" customWidth="1"/>
    <col min="4741" max="4741" width="10.140625" customWidth="1"/>
    <col min="4742" max="4742" width="12.85546875" customWidth="1"/>
    <col min="4743" max="4743" width="10.140625" customWidth="1"/>
    <col min="4744" max="4744" width="12.85546875" customWidth="1"/>
    <col min="4745" max="4745" width="10.140625" customWidth="1"/>
    <col min="4746" max="4746" width="12.85546875" customWidth="1"/>
    <col min="4747" max="4747" width="10.140625" customWidth="1"/>
    <col min="4748" max="4748" width="12.85546875" customWidth="1"/>
    <col min="4749" max="4749" width="10.140625" customWidth="1"/>
    <col min="4750" max="4750" width="12.85546875" customWidth="1"/>
    <col min="4751" max="4751" width="10.140625" customWidth="1"/>
    <col min="4752" max="4752" width="12.85546875" customWidth="1"/>
    <col min="4753" max="4753" width="10.140625" customWidth="1"/>
    <col min="4754" max="4754" width="12.85546875" customWidth="1"/>
    <col min="4755" max="4755" width="10.140625" customWidth="1"/>
    <col min="4756" max="4756" width="12.85546875" customWidth="1"/>
    <col min="4757" max="4757" width="10.140625" customWidth="1"/>
    <col min="4758" max="4758" width="12.85546875" customWidth="1"/>
    <col min="4759" max="4759" width="10.140625" customWidth="1"/>
    <col min="4760" max="4760" width="5" customWidth="1"/>
    <col min="4761" max="4761" width="12.85546875" customWidth="1"/>
    <col min="4762" max="4762" width="10.140625" customWidth="1"/>
    <col min="4763" max="4763" width="12.85546875" customWidth="1"/>
    <col min="4764" max="4764" width="10.140625" customWidth="1"/>
    <col min="4765" max="4765" width="12.85546875" customWidth="1"/>
    <col min="4766" max="4766" width="10.140625" customWidth="1"/>
    <col min="4767" max="4767" width="12.85546875" customWidth="1"/>
    <col min="4768" max="4768" width="10.140625" customWidth="1"/>
    <col min="4769" max="4769" width="12.85546875" customWidth="1"/>
    <col min="4770" max="4770" width="10.140625" customWidth="1"/>
    <col min="4771" max="4771" width="5" customWidth="1"/>
    <col min="4772" max="4772" width="12.85546875" customWidth="1"/>
    <col min="4773" max="4773" width="10.140625" customWidth="1"/>
    <col min="4774" max="4774" width="12.85546875" customWidth="1"/>
    <col min="4775" max="4775" width="10.140625" customWidth="1"/>
    <col min="4776" max="4776" width="5" customWidth="1"/>
    <col min="4777" max="4777" width="12.85546875" customWidth="1"/>
    <col min="4778" max="4778" width="10.140625" customWidth="1"/>
    <col min="4779" max="4779" width="12.85546875" customWidth="1"/>
    <col min="4780" max="4780" width="10.140625" customWidth="1"/>
    <col min="4781" max="4781" width="5" customWidth="1"/>
    <col min="4782" max="4782" width="12.85546875" customWidth="1"/>
    <col min="4783" max="4783" width="10.140625" customWidth="1"/>
    <col min="4784" max="4784" width="12.85546875" customWidth="1"/>
    <col min="4785" max="4785" width="10.140625" customWidth="1"/>
    <col min="4786" max="4786" width="5" customWidth="1"/>
    <col min="4787" max="4787" width="12.85546875" customWidth="1"/>
    <col min="4788" max="4788" width="10.140625" customWidth="1"/>
    <col min="4789" max="4789" width="5" customWidth="1"/>
    <col min="4790" max="4790" width="12.85546875" customWidth="1"/>
    <col min="4791" max="4791" width="10.140625" customWidth="1"/>
    <col min="4792" max="4792" width="12.85546875" customWidth="1"/>
    <col min="4793" max="4793" width="10.140625" customWidth="1"/>
    <col min="4794" max="4794" width="12.85546875" customWidth="1"/>
    <col min="4795" max="4795" width="10.140625" customWidth="1"/>
    <col min="4796" max="4796" width="5" customWidth="1"/>
    <col min="4797" max="4797" width="12.85546875" customWidth="1"/>
    <col min="4798" max="4798" width="10.140625" customWidth="1"/>
    <col min="4799" max="4799" width="12.85546875" customWidth="1"/>
    <col min="4800" max="4800" width="10.140625" customWidth="1"/>
    <col min="4801" max="4801" width="12.85546875" customWidth="1"/>
    <col min="4802" max="4802" width="10.140625" customWidth="1"/>
    <col min="4803" max="4803" width="12.85546875" customWidth="1"/>
    <col min="4804" max="4804" width="10.140625" customWidth="1"/>
    <col min="4805" max="4805" width="5" customWidth="1"/>
    <col min="4806" max="4806" width="12.85546875" customWidth="1"/>
    <col min="4807" max="4807" width="10.140625" customWidth="1"/>
    <col min="4808" max="4808" width="12.85546875" customWidth="1"/>
    <col min="4809" max="4809" width="10.140625" customWidth="1"/>
    <col min="4810" max="4810" width="12.85546875" customWidth="1"/>
    <col min="4811" max="4811" width="10.140625" customWidth="1"/>
    <col min="4812" max="4812" width="12.85546875" customWidth="1"/>
    <col min="4813" max="4813" width="10.140625" customWidth="1"/>
    <col min="4814" max="4814" width="12.85546875" customWidth="1"/>
    <col min="4815" max="4815" width="10.140625" customWidth="1"/>
    <col min="4816" max="4816" width="12.85546875" customWidth="1"/>
    <col min="4817" max="4817" width="10.140625" customWidth="1"/>
    <col min="4818" max="4818" width="12.85546875" customWidth="1"/>
    <col min="4819" max="4819" width="10.140625" customWidth="1"/>
    <col min="4820" max="4820" width="12.85546875" customWidth="1"/>
    <col min="4821" max="4821" width="10.140625" customWidth="1"/>
    <col min="4822" max="4822" width="12.85546875" customWidth="1"/>
    <col min="4823" max="4823" width="10.140625" customWidth="1"/>
    <col min="4824" max="4824" width="12.85546875" customWidth="1"/>
    <col min="4825" max="4825" width="10.140625" customWidth="1"/>
    <col min="4826" max="4826" width="5" customWidth="1"/>
    <col min="4827" max="4827" width="12.85546875" customWidth="1"/>
    <col min="4828" max="4828" width="10.140625" customWidth="1"/>
    <col min="4829" max="4829" width="12.85546875" customWidth="1"/>
    <col min="4830" max="4830" width="10.140625" customWidth="1"/>
    <col min="4831" max="4831" width="12.85546875" customWidth="1"/>
    <col min="4832" max="4832" width="10.140625" customWidth="1"/>
    <col min="4833" max="4833" width="12.85546875" customWidth="1"/>
    <col min="4834" max="4834" width="10.140625" customWidth="1"/>
    <col min="4835" max="4835" width="5" customWidth="1"/>
    <col min="4836" max="4836" width="12.85546875" customWidth="1"/>
    <col min="4837" max="4837" width="10.140625" customWidth="1"/>
    <col min="4838" max="4838" width="12.85546875" customWidth="1"/>
    <col min="4839" max="4839" width="10.140625" customWidth="1"/>
    <col min="4840" max="4840" width="5" customWidth="1"/>
    <col min="4841" max="4841" width="12.85546875" customWidth="1"/>
    <col min="4842" max="4842" width="10.140625" customWidth="1"/>
    <col min="4843" max="4843" width="12.85546875" customWidth="1"/>
    <col min="4844" max="4844" width="10.140625" customWidth="1"/>
    <col min="4845" max="4845" width="12.85546875" customWidth="1"/>
    <col min="4846" max="4846" width="10.140625" customWidth="1"/>
    <col min="4847" max="4847" width="12.85546875" customWidth="1"/>
    <col min="4848" max="4848" width="10.140625" customWidth="1"/>
    <col min="4849" max="4849" width="12.85546875" customWidth="1"/>
    <col min="4850" max="4850" width="10.140625" customWidth="1"/>
    <col min="4851" max="4851" width="12.85546875" customWidth="1"/>
    <col min="4852" max="4852" width="10.140625" customWidth="1"/>
    <col min="4853" max="4853" width="12.85546875" customWidth="1"/>
    <col min="4854" max="4854" width="10.140625" customWidth="1"/>
    <col min="4855" max="4855" width="5" customWidth="1"/>
    <col min="4856" max="4856" width="12.85546875" customWidth="1"/>
    <col min="4857" max="4857" width="10.140625" customWidth="1"/>
    <col min="4858" max="4858" width="12.85546875" customWidth="1"/>
    <col min="4859" max="4859" width="10.140625" customWidth="1"/>
    <col min="4860" max="4860" width="12.85546875" customWidth="1"/>
    <col min="4861" max="4861" width="10.140625" customWidth="1"/>
    <col min="4862" max="4862" width="12.85546875" customWidth="1"/>
    <col min="4863" max="4863" width="10.140625" customWidth="1"/>
    <col min="4864" max="4864" width="12.85546875" customWidth="1"/>
    <col min="4865" max="4865" width="10.140625" customWidth="1"/>
    <col min="4866" max="4866" width="5" customWidth="1"/>
    <col min="4867" max="4867" width="12.85546875" customWidth="1"/>
    <col min="4868" max="4868" width="10.140625" customWidth="1"/>
    <col min="4869" max="4869" width="12.85546875" customWidth="1"/>
    <col min="4870" max="4870" width="10.140625" customWidth="1"/>
    <col min="4871" max="4871" width="12.85546875" customWidth="1"/>
    <col min="4872" max="4872" width="10.140625" customWidth="1"/>
    <col min="4873" max="4873" width="12.85546875" customWidth="1"/>
    <col min="4874" max="4874" width="10.140625" customWidth="1"/>
    <col min="4875" max="4875" width="12.85546875" customWidth="1"/>
    <col min="4876" max="4876" width="10.140625" customWidth="1"/>
    <col min="4877" max="4877" width="12.85546875" customWidth="1"/>
    <col min="4878" max="4878" width="10.140625" customWidth="1"/>
    <col min="4879" max="4879" width="12.85546875" customWidth="1"/>
    <col min="4880" max="4880" width="10.140625" customWidth="1"/>
    <col min="4881" max="4881" width="12.85546875" customWidth="1"/>
    <col min="4882" max="4882" width="10.140625" customWidth="1"/>
    <col min="4883" max="4883" width="5" customWidth="1"/>
    <col min="4884" max="4884" width="12.85546875" customWidth="1"/>
    <col min="4885" max="4885" width="10.140625" customWidth="1"/>
    <col min="4886" max="4886" width="12.85546875" customWidth="1"/>
    <col min="4887" max="4887" width="10.140625" customWidth="1"/>
    <col min="4888" max="4888" width="12.85546875" customWidth="1"/>
    <col min="4889" max="4889" width="10.140625" customWidth="1"/>
    <col min="4890" max="4890" width="12.85546875" customWidth="1"/>
    <col min="4891" max="4891" width="10.140625" customWidth="1"/>
    <col min="4892" max="4892" width="5" customWidth="1"/>
    <col min="4893" max="4893" width="12.85546875" customWidth="1"/>
    <col min="4894" max="4894" width="10.140625" customWidth="1"/>
    <col min="4895" max="4895" width="12.85546875" customWidth="1"/>
    <col min="4896" max="4896" width="10.140625" customWidth="1"/>
    <col min="4897" max="4897" width="12.85546875" customWidth="1"/>
    <col min="4898" max="4898" width="10.140625" customWidth="1"/>
    <col min="4899" max="4899" width="12.85546875" customWidth="1"/>
    <col min="4900" max="4900" width="10.140625" customWidth="1"/>
    <col min="4901" max="4901" width="12.85546875" customWidth="1"/>
    <col min="4902" max="4902" width="10.140625" customWidth="1"/>
    <col min="4903" max="4903" width="12.85546875" customWidth="1"/>
    <col min="4904" max="4904" width="10.140625" customWidth="1"/>
    <col min="4905" max="4905" width="12.85546875" customWidth="1"/>
    <col min="4906" max="4906" width="10.140625" customWidth="1"/>
    <col min="4907" max="4907" width="5" customWidth="1"/>
    <col min="4908" max="4908" width="12.85546875" customWidth="1"/>
    <col min="4909" max="4909" width="10.140625" customWidth="1"/>
    <col min="4910" max="4910" width="5" customWidth="1"/>
    <col min="4911" max="4911" width="12.85546875" customWidth="1"/>
    <col min="4912" max="4912" width="10.140625" customWidth="1"/>
    <col min="4913" max="4913" width="12.85546875" customWidth="1"/>
    <col min="4914" max="4914" width="10.140625" customWidth="1"/>
    <col min="4915" max="4915" width="5" customWidth="1"/>
    <col min="4916" max="4916" width="12.85546875" customWidth="1"/>
    <col min="4917" max="4917" width="10.140625" customWidth="1"/>
    <col min="4918" max="4918" width="12.85546875" customWidth="1"/>
    <col min="4919" max="4919" width="10.140625" customWidth="1"/>
    <col min="4920" max="4920" width="12.85546875" customWidth="1"/>
    <col min="4921" max="4921" width="10.140625" customWidth="1"/>
    <col min="4922" max="4922" width="12.85546875" customWidth="1"/>
    <col min="4923" max="4923" width="10.140625" customWidth="1"/>
    <col min="4924" max="4924" width="12.85546875" customWidth="1"/>
    <col min="4925" max="4925" width="10.140625" customWidth="1"/>
    <col min="4926" max="4926" width="12.85546875" customWidth="1"/>
    <col min="4927" max="4927" width="10.140625" customWidth="1"/>
    <col min="4928" max="4928" width="12.85546875" customWidth="1"/>
    <col min="4929" max="4929" width="10.140625" customWidth="1"/>
    <col min="4930" max="4930" width="5" customWidth="1"/>
    <col min="4931" max="4931" width="12.85546875" customWidth="1"/>
    <col min="4932" max="4932" width="10.140625" customWidth="1"/>
    <col min="4933" max="4933" width="12.85546875" customWidth="1"/>
    <col min="4934" max="4934" width="10.140625" customWidth="1"/>
    <col min="4935" max="4935" width="12.85546875" customWidth="1"/>
    <col min="4936" max="4936" width="10.140625" customWidth="1"/>
    <col min="4937" max="4937" width="12.85546875" customWidth="1"/>
    <col min="4938" max="4938" width="10.140625" customWidth="1"/>
    <col min="4939" max="4939" width="12.85546875" customWidth="1"/>
    <col min="4940" max="4940" width="10.140625" customWidth="1"/>
    <col min="4941" max="4941" width="12.85546875" customWidth="1"/>
    <col min="4942" max="4942" width="10.140625" customWidth="1"/>
    <col min="4943" max="4943" width="12.85546875" customWidth="1"/>
    <col min="4944" max="4944" width="10.140625" customWidth="1"/>
    <col min="4945" max="4945" width="5" customWidth="1"/>
    <col min="4946" max="4946" width="12.85546875" customWidth="1"/>
    <col min="4947" max="4947" width="10.140625" customWidth="1"/>
    <col min="4948" max="4948" width="12.85546875" customWidth="1"/>
    <col min="4949" max="4949" width="10.140625" customWidth="1"/>
    <col min="4950" max="4950" width="12.85546875" customWidth="1"/>
    <col min="4951" max="4951" width="10.140625" customWidth="1"/>
    <col min="4952" max="4952" width="12.85546875" customWidth="1"/>
    <col min="4953" max="4953" width="10.140625" customWidth="1"/>
    <col min="4954" max="4954" width="12.85546875" customWidth="1"/>
    <col min="4955" max="4955" width="10.140625" customWidth="1"/>
    <col min="4956" max="4956" width="5" customWidth="1"/>
    <col min="4957" max="4957" width="12.85546875" customWidth="1"/>
    <col min="4958" max="4958" width="10.140625" customWidth="1"/>
    <col min="4959" max="4959" width="12.85546875" customWidth="1"/>
    <col min="4960" max="4960" width="10.140625" customWidth="1"/>
    <col min="4961" max="4961" width="12.85546875" customWidth="1"/>
    <col min="4962" max="4962" width="10.140625" customWidth="1"/>
    <col min="4963" max="4963" width="12.85546875" customWidth="1"/>
    <col min="4964" max="4964" width="10.140625" customWidth="1"/>
    <col min="4965" max="4965" width="12.85546875" customWidth="1"/>
    <col min="4966" max="4966" width="10.140625" customWidth="1"/>
    <col min="4967" max="4967" width="5" customWidth="1"/>
    <col min="4968" max="4968" width="12.85546875" customWidth="1"/>
    <col min="4969" max="4969" width="10.140625" customWidth="1"/>
    <col min="4970" max="4970" width="12.85546875" customWidth="1"/>
    <col min="4971" max="4971" width="10.140625" customWidth="1"/>
    <col min="4972" max="4972" width="12.85546875" customWidth="1"/>
    <col min="4973" max="4973" width="10.140625" customWidth="1"/>
    <col min="4974" max="4974" width="12.85546875" customWidth="1"/>
    <col min="4975" max="4975" width="10.140625" customWidth="1"/>
    <col min="4976" max="4976" width="12.85546875" customWidth="1"/>
    <col min="4977" max="4977" width="10.140625" customWidth="1"/>
    <col min="4978" max="4978" width="12.85546875" customWidth="1"/>
    <col min="4979" max="4979" width="10.140625" customWidth="1"/>
    <col min="4980" max="4980" width="12.85546875" customWidth="1"/>
    <col min="4981" max="4981" width="10.140625" customWidth="1"/>
    <col min="4982" max="4982" width="12.85546875" customWidth="1"/>
    <col min="4983" max="4983" width="10.140625" customWidth="1"/>
    <col min="4984" max="4984" width="12.85546875" customWidth="1"/>
    <col min="4985" max="4985" width="10.140625" customWidth="1"/>
    <col min="4986" max="4986" width="12.85546875" customWidth="1"/>
    <col min="4987" max="4987" width="10.140625" customWidth="1"/>
    <col min="4988" max="4988" width="5" customWidth="1"/>
    <col min="4989" max="4989" width="12.85546875" customWidth="1"/>
    <col min="4990" max="4990" width="10.140625" customWidth="1"/>
    <col min="4991" max="4991" width="12.85546875" customWidth="1"/>
    <col min="4992" max="4992" width="10.140625" customWidth="1"/>
    <col min="4993" max="4993" width="5" customWidth="1"/>
    <col min="4994" max="4994" width="12.85546875" customWidth="1"/>
    <col min="4995" max="4995" width="10.140625" customWidth="1"/>
    <col min="4996" max="4996" width="12.85546875" customWidth="1"/>
    <col min="4997" max="4997" width="10.140625" customWidth="1"/>
    <col min="4998" max="4998" width="12.85546875" customWidth="1"/>
    <col min="4999" max="4999" width="10.140625" customWidth="1"/>
    <col min="5000" max="5000" width="12.85546875" customWidth="1"/>
    <col min="5001" max="5001" width="10.140625" customWidth="1"/>
    <col min="5002" max="5002" width="12.85546875" customWidth="1"/>
    <col min="5003" max="5003" width="10.140625" customWidth="1"/>
    <col min="5004" max="5004" width="5" customWidth="1"/>
    <col min="5005" max="5005" width="12.85546875" customWidth="1"/>
    <col min="5006" max="5006" width="10.140625" customWidth="1"/>
    <col min="5007" max="5007" width="12.85546875" customWidth="1"/>
    <col min="5008" max="5008" width="10.140625" customWidth="1"/>
    <col min="5009" max="5009" width="12.85546875" customWidth="1"/>
    <col min="5010" max="5010" width="10.140625" customWidth="1"/>
    <col min="5011" max="5011" width="5" customWidth="1"/>
    <col min="5012" max="5012" width="12.85546875" customWidth="1"/>
    <col min="5013" max="5013" width="10.140625" customWidth="1"/>
    <col min="5014" max="5014" width="12.85546875" customWidth="1"/>
    <col min="5015" max="5015" width="10.140625" customWidth="1"/>
    <col min="5016" max="5016" width="12.85546875" customWidth="1"/>
    <col min="5017" max="5017" width="10.140625" customWidth="1"/>
    <col min="5018" max="5018" width="12.85546875" customWidth="1"/>
    <col min="5019" max="5019" width="10.140625" customWidth="1"/>
    <col min="5020" max="5020" width="12.85546875" customWidth="1"/>
    <col min="5021" max="5021" width="10.140625" customWidth="1"/>
    <col min="5022" max="5022" width="12.85546875" customWidth="1"/>
    <col min="5023" max="5023" width="10.140625" customWidth="1"/>
    <col min="5024" max="5024" width="12.85546875" customWidth="1"/>
    <col min="5025" max="5025" width="10.140625" customWidth="1"/>
    <col min="5026" max="5026" width="5" customWidth="1"/>
    <col min="5027" max="5027" width="12.85546875" customWidth="1"/>
    <col min="5028" max="5028" width="10.140625" customWidth="1"/>
    <col min="5029" max="5029" width="12.85546875" customWidth="1"/>
    <col min="5030" max="5030" width="10.140625" customWidth="1"/>
    <col min="5031" max="5031" width="12.85546875" customWidth="1"/>
    <col min="5032" max="5032" width="10.140625" customWidth="1"/>
    <col min="5033" max="5033" width="12.85546875" customWidth="1"/>
    <col min="5034" max="5034" width="10.140625" customWidth="1"/>
    <col min="5035" max="5035" width="12.85546875" customWidth="1"/>
    <col min="5036" max="5036" width="10.140625" customWidth="1"/>
    <col min="5037" max="5037" width="5" customWidth="1"/>
    <col min="5038" max="5038" width="12.85546875" customWidth="1"/>
    <col min="5039" max="5039" width="10.140625" customWidth="1"/>
    <col min="5040" max="5040" width="12.85546875" customWidth="1"/>
    <col min="5041" max="5041" width="10.140625" customWidth="1"/>
    <col min="5042" max="5042" width="5" customWidth="1"/>
    <col min="5043" max="5043" width="12.85546875" customWidth="1"/>
    <col min="5044" max="5044" width="10.140625" customWidth="1"/>
    <col min="5045" max="5045" width="12.85546875" customWidth="1"/>
    <col min="5046" max="5046" width="10.140625" customWidth="1"/>
    <col min="5047" max="5047" width="12.85546875" customWidth="1"/>
    <col min="5048" max="5048" width="10.140625" customWidth="1"/>
    <col min="5049" max="5049" width="12.85546875" customWidth="1"/>
    <col min="5050" max="5050" width="10.140625" customWidth="1"/>
    <col min="5051" max="5051" width="12.85546875" customWidth="1"/>
    <col min="5052" max="5052" width="10.140625" customWidth="1"/>
    <col min="5053" max="5053" width="12.85546875" customWidth="1"/>
    <col min="5054" max="5054" width="10.140625" customWidth="1"/>
    <col min="5055" max="5055" width="12.85546875" customWidth="1"/>
    <col min="5056" max="5056" width="10.140625" customWidth="1"/>
    <col min="5057" max="5057" width="12.85546875" customWidth="1"/>
    <col min="5058" max="5058" width="10.140625" customWidth="1"/>
    <col min="5059" max="5059" width="12.85546875" customWidth="1"/>
    <col min="5060" max="5060" width="10.140625" customWidth="1"/>
    <col min="5061" max="5061" width="12.85546875" customWidth="1"/>
    <col min="5062" max="5062" width="10.140625" customWidth="1"/>
    <col min="5063" max="5063" width="5" customWidth="1"/>
    <col min="5064" max="5064" width="12.85546875" customWidth="1"/>
    <col min="5065" max="5065" width="10.140625" customWidth="1"/>
    <col min="5066" max="5066" width="12.85546875" customWidth="1"/>
    <col min="5067" max="5067" width="10.140625" customWidth="1"/>
    <col min="5068" max="5068" width="5" customWidth="1"/>
    <col min="5069" max="5069" width="12.85546875" customWidth="1"/>
    <col min="5070" max="5070" width="10.140625" customWidth="1"/>
    <col min="5071" max="5071" width="12.85546875" customWidth="1"/>
    <col min="5072" max="5072" width="10.140625" customWidth="1"/>
    <col min="5073" max="5073" width="5" customWidth="1"/>
    <col min="5074" max="5074" width="12.85546875" customWidth="1"/>
    <col min="5075" max="5075" width="10.140625" customWidth="1"/>
    <col min="5076" max="5076" width="5" customWidth="1"/>
    <col min="5077" max="5077" width="12.85546875" customWidth="1"/>
    <col min="5078" max="5078" width="10.140625" customWidth="1"/>
    <col min="5079" max="5079" width="12.85546875" customWidth="1"/>
    <col min="5080" max="5080" width="10.140625" customWidth="1"/>
    <col min="5081" max="5081" width="5" customWidth="1"/>
    <col min="5082" max="5082" width="12.85546875" customWidth="1"/>
    <col min="5083" max="5083" width="10.140625" customWidth="1"/>
    <col min="5084" max="5084" width="12.85546875" customWidth="1"/>
    <col min="5085" max="5085" width="10.140625" customWidth="1"/>
    <col min="5086" max="5086" width="5" customWidth="1"/>
    <col min="5087" max="5087" width="12.85546875" customWidth="1"/>
    <col min="5088" max="5088" width="10.140625" customWidth="1"/>
    <col min="5089" max="5089" width="5" customWidth="1"/>
    <col min="5090" max="5090" width="12.85546875" customWidth="1"/>
    <col min="5091" max="5091" width="10.140625" customWidth="1"/>
    <col min="5092" max="5092" width="12.85546875" customWidth="1"/>
    <col min="5093" max="5093" width="10.140625" customWidth="1"/>
    <col min="5094" max="5094" width="12.85546875" customWidth="1"/>
    <col min="5095" max="5095" width="10.140625" customWidth="1"/>
    <col min="5096" max="5096" width="12.85546875" customWidth="1"/>
    <col min="5097" max="5097" width="10.140625" customWidth="1"/>
    <col min="5098" max="5098" width="12.85546875" customWidth="1"/>
    <col min="5099" max="5099" width="10.140625" customWidth="1"/>
    <col min="5100" max="5100" width="12.85546875" customWidth="1"/>
    <col min="5101" max="5101" width="10.140625" customWidth="1"/>
    <col min="5102" max="5102" width="12.85546875" customWidth="1"/>
    <col min="5103" max="5103" width="10.140625" customWidth="1"/>
    <col min="5104" max="5104" width="12.85546875" customWidth="1"/>
    <col min="5105" max="5105" width="10.140625" customWidth="1"/>
    <col min="5106" max="5106" width="12.85546875" customWidth="1"/>
    <col min="5107" max="5107" width="10.140625" customWidth="1"/>
    <col min="5108" max="5108" width="12.85546875" customWidth="1"/>
    <col min="5109" max="5109" width="10.140625" customWidth="1"/>
    <col min="5110" max="5110" width="12.85546875" customWidth="1"/>
    <col min="5111" max="5111" width="10.140625" customWidth="1"/>
    <col min="5112" max="5112" width="12.85546875" customWidth="1"/>
    <col min="5113" max="5113" width="10.140625" customWidth="1"/>
    <col min="5114" max="5114" width="12.85546875" customWidth="1"/>
    <col min="5115" max="5115" width="10.140625" customWidth="1"/>
    <col min="5116" max="5116" width="5" customWidth="1"/>
    <col min="5117" max="5117" width="12.85546875" customWidth="1"/>
    <col min="5118" max="5118" width="10.140625" customWidth="1"/>
    <col min="5119" max="5119" width="12.85546875" customWidth="1"/>
    <col min="5120" max="5120" width="10.140625" customWidth="1"/>
    <col min="5121" max="5121" width="12.85546875" customWidth="1"/>
    <col min="5122" max="5122" width="10.140625" customWidth="1"/>
    <col min="5123" max="5123" width="12.85546875" customWidth="1"/>
    <col min="5124" max="5124" width="10.140625" customWidth="1"/>
    <col min="5125" max="5125" width="5" customWidth="1"/>
    <col min="5126" max="5126" width="12.85546875" customWidth="1"/>
    <col min="5127" max="5127" width="10.140625" customWidth="1"/>
    <col min="5128" max="5128" width="12.85546875" customWidth="1"/>
    <col min="5129" max="5129" width="10.140625" customWidth="1"/>
    <col min="5130" max="5130" width="12.85546875" customWidth="1"/>
    <col min="5131" max="5131" width="10.140625" customWidth="1"/>
    <col min="5132" max="5132" width="12.85546875" customWidth="1"/>
    <col min="5133" max="5133" width="10.140625" customWidth="1"/>
    <col min="5134" max="5134" width="12.85546875" customWidth="1"/>
    <col min="5135" max="5135" width="10.140625" customWidth="1"/>
    <col min="5136" max="5136" width="12.85546875" customWidth="1"/>
    <col min="5137" max="5137" width="10.140625" customWidth="1"/>
    <col min="5138" max="5138" width="12.85546875" customWidth="1"/>
    <col min="5139" max="5139" width="10.140625" customWidth="1"/>
    <col min="5140" max="5140" width="12.85546875" customWidth="1"/>
    <col min="5141" max="5141" width="10.140625" customWidth="1"/>
    <col min="5142" max="5142" width="12.85546875" customWidth="1"/>
    <col min="5143" max="5143" width="10.140625" customWidth="1"/>
    <col min="5144" max="5144" width="12.85546875" customWidth="1"/>
    <col min="5145" max="5145" width="10.140625" customWidth="1"/>
    <col min="5146" max="5146" width="12.85546875" customWidth="1"/>
    <col min="5147" max="5147" width="10.140625" customWidth="1"/>
    <col min="5148" max="5148" width="12.85546875" customWidth="1"/>
    <col min="5149" max="5149" width="10.140625" customWidth="1"/>
    <col min="5150" max="5150" width="5" customWidth="1"/>
    <col min="5151" max="5151" width="12.85546875" customWidth="1"/>
    <col min="5152" max="5152" width="10.140625" customWidth="1"/>
    <col min="5153" max="5153" width="5" customWidth="1"/>
    <col min="5154" max="5154" width="12.85546875" customWidth="1"/>
    <col min="5155" max="5155" width="10.140625" customWidth="1"/>
    <col min="5156" max="5156" width="12.85546875" customWidth="1"/>
    <col min="5157" max="5157" width="10.140625" customWidth="1"/>
    <col min="5158" max="5158" width="12.85546875" customWidth="1"/>
    <col min="5159" max="5159" width="10.140625" customWidth="1"/>
    <col min="5160" max="5160" width="5" customWidth="1"/>
    <col min="5161" max="5161" width="12.85546875" customWidth="1"/>
    <col min="5162" max="5162" width="10.140625" customWidth="1"/>
    <col min="5163" max="5163" width="12.85546875" customWidth="1"/>
    <col min="5164" max="5164" width="10.140625" customWidth="1"/>
    <col min="5165" max="5165" width="12.85546875" customWidth="1"/>
    <col min="5166" max="5166" width="10.140625" customWidth="1"/>
    <col min="5167" max="5167" width="5" customWidth="1"/>
    <col min="5168" max="5168" width="12.85546875" customWidth="1"/>
    <col min="5169" max="5169" width="10.140625" customWidth="1"/>
    <col min="5170" max="5170" width="5" customWidth="1"/>
    <col min="5171" max="5171" width="12.85546875" customWidth="1"/>
    <col min="5172" max="5172" width="10.140625" customWidth="1"/>
    <col min="5173" max="5173" width="12.85546875" customWidth="1"/>
    <col min="5174" max="5174" width="10.140625" customWidth="1"/>
    <col min="5175" max="5175" width="5" customWidth="1"/>
    <col min="5176" max="5176" width="12.85546875" customWidth="1"/>
    <col min="5177" max="5177" width="10.140625" customWidth="1"/>
    <col min="5178" max="5178" width="12.85546875" customWidth="1"/>
    <col min="5179" max="5179" width="10.140625" customWidth="1"/>
    <col min="5180" max="5180" width="12.85546875" customWidth="1"/>
    <col min="5181" max="5181" width="10.140625" customWidth="1"/>
    <col min="5182" max="5182" width="12.85546875" customWidth="1"/>
    <col min="5183" max="5183" width="10.140625" customWidth="1"/>
    <col min="5184" max="5184" width="12.85546875" customWidth="1"/>
    <col min="5185" max="5185" width="10.140625" customWidth="1"/>
    <col min="5186" max="5186" width="12.85546875" customWidth="1"/>
    <col min="5187" max="5187" width="10.140625" customWidth="1"/>
    <col min="5188" max="5188" width="12.85546875" customWidth="1"/>
    <col min="5189" max="5189" width="10.140625" customWidth="1"/>
    <col min="5190" max="5190" width="12.85546875" customWidth="1"/>
    <col min="5191" max="5191" width="10.140625" customWidth="1"/>
    <col min="5192" max="5192" width="5" customWidth="1"/>
    <col min="5193" max="5193" width="12.85546875" customWidth="1"/>
    <col min="5194" max="5194" width="10.140625" customWidth="1"/>
    <col min="5195" max="5195" width="12.85546875" customWidth="1"/>
    <col min="5196" max="5196" width="10.140625" customWidth="1"/>
    <col min="5197" max="5197" width="12.85546875" customWidth="1"/>
    <col min="5198" max="5198" width="10.140625" customWidth="1"/>
    <col min="5199" max="5199" width="12.85546875" customWidth="1"/>
    <col min="5200" max="5200" width="10.140625" customWidth="1"/>
    <col min="5201" max="5201" width="5" customWidth="1"/>
    <col min="5202" max="5202" width="12.85546875" customWidth="1"/>
    <col min="5203" max="5203" width="10.140625" customWidth="1"/>
    <col min="5204" max="5204" width="12.85546875" customWidth="1"/>
    <col min="5205" max="5205" width="10.140625" customWidth="1"/>
    <col min="5206" max="5206" width="12.85546875" customWidth="1"/>
    <col min="5207" max="5207" width="10.140625" customWidth="1"/>
    <col min="5208" max="5208" width="12.85546875" customWidth="1"/>
    <col min="5209" max="5209" width="10.140625" customWidth="1"/>
    <col min="5210" max="5210" width="12.85546875" customWidth="1"/>
    <col min="5211" max="5211" width="10.140625" customWidth="1"/>
    <col min="5212" max="5212" width="12.85546875" customWidth="1"/>
    <col min="5213" max="5213" width="10.140625" customWidth="1"/>
    <col min="5214" max="5214" width="12.85546875" customWidth="1"/>
    <col min="5215" max="5215" width="10.140625" customWidth="1"/>
    <col min="5216" max="5216" width="12.85546875" customWidth="1"/>
    <col min="5217" max="5217" width="10.140625" customWidth="1"/>
    <col min="5218" max="5218" width="12.85546875" customWidth="1"/>
    <col min="5219" max="5219" width="10.140625" customWidth="1"/>
    <col min="5220" max="5220" width="12.85546875" customWidth="1"/>
    <col min="5221" max="5221" width="10.140625" customWidth="1"/>
    <col min="5222" max="5222" width="12.85546875" customWidth="1"/>
    <col min="5223" max="5223" width="10.140625" customWidth="1"/>
    <col min="5224" max="5224" width="12.85546875" customWidth="1"/>
    <col min="5225" max="5225" width="10.140625" customWidth="1"/>
    <col min="5226" max="5226" width="5" customWidth="1"/>
    <col min="5227" max="5227" width="12.85546875" customWidth="1"/>
    <col min="5228" max="5228" width="10.140625" customWidth="1"/>
    <col min="5229" max="5229" width="5" customWidth="1"/>
    <col min="5230" max="5230" width="12.85546875" customWidth="1"/>
    <col min="5231" max="5231" width="10.140625" customWidth="1"/>
    <col min="5232" max="5232" width="12.85546875" customWidth="1"/>
    <col min="5233" max="5233" width="10.140625" customWidth="1"/>
    <col min="5234" max="5234" width="12.85546875" customWidth="1"/>
    <col min="5235" max="5235" width="10.140625" customWidth="1"/>
    <col min="5236" max="5236" width="12.85546875" customWidth="1"/>
    <col min="5237" max="5237" width="10.140625" customWidth="1"/>
    <col min="5238" max="5238" width="12.85546875" customWidth="1"/>
    <col min="5239" max="5239" width="10.140625" customWidth="1"/>
    <col min="5240" max="5240" width="12.85546875" customWidth="1"/>
    <col min="5241" max="5241" width="10.140625" customWidth="1"/>
    <col min="5242" max="5242" width="5" customWidth="1"/>
    <col min="5243" max="5243" width="12.85546875" customWidth="1"/>
    <col min="5244" max="5244" width="10.140625" customWidth="1"/>
    <col min="5245" max="5245" width="12.85546875" customWidth="1"/>
    <col min="5246" max="5246" width="10.140625" customWidth="1"/>
    <col min="5247" max="5247" width="12.85546875" customWidth="1"/>
    <col min="5248" max="5248" width="10.140625" customWidth="1"/>
    <col min="5249" max="5249" width="12.85546875" customWidth="1"/>
    <col min="5250" max="5250" width="10.140625" customWidth="1"/>
    <col min="5251" max="5251" width="5" customWidth="1"/>
    <col min="5252" max="5252" width="12.85546875" customWidth="1"/>
    <col min="5253" max="5253" width="10.140625" customWidth="1"/>
    <col min="5254" max="5254" width="12.85546875" customWidth="1"/>
    <col min="5255" max="5255" width="10.140625" customWidth="1"/>
    <col min="5256" max="5256" width="12.85546875" customWidth="1"/>
    <col min="5257" max="5257" width="10.140625" customWidth="1"/>
    <col min="5258" max="5258" width="12.85546875" customWidth="1"/>
    <col min="5259" max="5259" width="10.140625" customWidth="1"/>
    <col min="5260" max="5260" width="12.85546875" customWidth="1"/>
    <col min="5261" max="5261" width="10.140625" customWidth="1"/>
    <col min="5262" max="5262" width="12.85546875" customWidth="1"/>
    <col min="5263" max="5263" width="10.140625" customWidth="1"/>
    <col min="5264" max="5264" width="12.85546875" customWidth="1"/>
    <col min="5265" max="5265" width="10.140625" customWidth="1"/>
    <col min="5266" max="5266" width="5" customWidth="1"/>
    <col min="5267" max="5267" width="12.85546875" customWidth="1"/>
    <col min="5268" max="5268" width="10.140625" customWidth="1"/>
    <col min="5269" max="5269" width="5" customWidth="1"/>
    <col min="5270" max="5270" width="12.85546875" customWidth="1"/>
    <col min="5271" max="5271" width="10.140625" customWidth="1"/>
    <col min="5272" max="5272" width="12.85546875" customWidth="1"/>
    <col min="5273" max="5273" width="10.140625" customWidth="1"/>
    <col min="5274" max="5274" width="12.85546875" customWidth="1"/>
    <col min="5275" max="5275" width="10.140625" customWidth="1"/>
    <col min="5276" max="5276" width="12.85546875" customWidth="1"/>
    <col min="5277" max="5277" width="10.140625" customWidth="1"/>
    <col min="5278" max="5278" width="12.85546875" customWidth="1"/>
    <col min="5279" max="5279" width="10.140625" customWidth="1"/>
    <col min="5280" max="5280" width="12.85546875" customWidth="1"/>
    <col min="5281" max="5281" width="10.140625" customWidth="1"/>
    <col min="5282" max="5282" width="12.85546875" customWidth="1"/>
    <col min="5283" max="5283" width="10.140625" customWidth="1"/>
    <col min="5284" max="5284" width="12.85546875" customWidth="1"/>
    <col min="5285" max="5285" width="10.140625" customWidth="1"/>
    <col min="5286" max="5286" width="12.85546875" customWidth="1"/>
    <col min="5287" max="5287" width="10.140625" customWidth="1"/>
    <col min="5288" max="5288" width="12.85546875" customWidth="1"/>
    <col min="5289" max="5289" width="10.140625" customWidth="1"/>
    <col min="5290" max="5290" width="12.85546875" customWidth="1"/>
    <col min="5291" max="5291" width="10.140625" customWidth="1"/>
    <col min="5292" max="5292" width="12.85546875" customWidth="1"/>
    <col min="5293" max="5293" width="10.140625" customWidth="1"/>
    <col min="5294" max="5294" width="5" customWidth="1"/>
    <col min="5295" max="5295" width="12.85546875" customWidth="1"/>
    <col min="5296" max="5296" width="10.140625" customWidth="1"/>
    <col min="5297" max="5297" width="5" customWidth="1"/>
    <col min="5298" max="5298" width="12.85546875" customWidth="1"/>
    <col min="5299" max="5299" width="10.140625" customWidth="1"/>
    <col min="5300" max="5300" width="12.85546875" customWidth="1"/>
    <col min="5301" max="5301" width="10.140625" customWidth="1"/>
    <col min="5302" max="5302" width="12.85546875" customWidth="1"/>
    <col min="5303" max="5303" width="10.140625" customWidth="1"/>
    <col min="5304" max="5304" width="12.85546875" customWidth="1"/>
    <col min="5305" max="5305" width="10.140625" customWidth="1"/>
    <col min="5306" max="5306" width="12.85546875" customWidth="1"/>
    <col min="5307" max="5307" width="10.140625" customWidth="1"/>
    <col min="5308" max="5308" width="5" customWidth="1"/>
    <col min="5309" max="5309" width="12.85546875" customWidth="1"/>
    <col min="5310" max="5310" width="10.140625" customWidth="1"/>
    <col min="5311" max="5311" width="5" customWidth="1"/>
    <col min="5312" max="5312" width="12.85546875" customWidth="1"/>
    <col min="5313" max="5313" width="10.140625" customWidth="1"/>
    <col min="5314" max="5314" width="12.85546875" customWidth="1"/>
    <col min="5315" max="5315" width="10.140625" customWidth="1"/>
    <col min="5316" max="5316" width="12.85546875" customWidth="1"/>
    <col min="5317" max="5317" width="10.140625" customWidth="1"/>
    <col min="5318" max="5318" width="12.85546875" customWidth="1"/>
    <col min="5319" max="5319" width="10.140625" customWidth="1"/>
    <col min="5320" max="5320" width="12.85546875" customWidth="1"/>
    <col min="5321" max="5321" width="10.140625" customWidth="1"/>
    <col min="5322" max="5322" width="12.85546875" customWidth="1"/>
    <col min="5323" max="5323" width="10.140625" customWidth="1"/>
    <col min="5324" max="5324" width="12.85546875" customWidth="1"/>
    <col min="5325" max="5325" width="10.140625" customWidth="1"/>
    <col min="5326" max="5326" width="12.85546875" customWidth="1"/>
    <col min="5327" max="5327" width="10.140625" customWidth="1"/>
    <col min="5328" max="5328" width="12.85546875" customWidth="1"/>
    <col min="5329" max="5329" width="10.140625" customWidth="1"/>
    <col min="5330" max="5330" width="12.85546875" customWidth="1"/>
    <col min="5331" max="5331" width="10.140625" customWidth="1"/>
    <col min="5332" max="5332" width="12.85546875" customWidth="1"/>
    <col min="5333" max="5333" width="10.140625" customWidth="1"/>
    <col min="5334" max="5334" width="12.85546875" customWidth="1"/>
    <col min="5335" max="5335" width="10.140625" customWidth="1"/>
    <col min="5336" max="5336" width="12.85546875" customWidth="1"/>
    <col min="5337" max="5337" width="10.140625" customWidth="1"/>
    <col min="5338" max="5338" width="12.85546875" customWidth="1"/>
    <col min="5339" max="5339" width="10.140625" customWidth="1"/>
    <col min="5340" max="5340" width="12.85546875" customWidth="1"/>
    <col min="5341" max="5341" width="10.140625" customWidth="1"/>
    <col min="5342" max="5342" width="12.85546875" customWidth="1"/>
    <col min="5343" max="5343" width="10.140625" customWidth="1"/>
    <col min="5344" max="5344" width="12.85546875" customWidth="1"/>
    <col min="5345" max="5345" width="10.140625" customWidth="1"/>
    <col min="5346" max="5346" width="12.85546875" customWidth="1"/>
    <col min="5347" max="5347" width="10.140625" customWidth="1"/>
    <col min="5348" max="5348" width="12.85546875" customWidth="1"/>
    <col min="5349" max="5349" width="10.140625" customWidth="1"/>
    <col min="5350" max="5350" width="12.85546875" customWidth="1"/>
    <col min="5351" max="5351" width="10.140625" customWidth="1"/>
    <col min="5352" max="5352" width="12.85546875" customWidth="1"/>
    <col min="5353" max="5353" width="10.140625" customWidth="1"/>
    <col min="5354" max="5354" width="5" customWidth="1"/>
    <col min="5355" max="5355" width="12.85546875" customWidth="1"/>
    <col min="5356" max="5356" width="10.140625" customWidth="1"/>
    <col min="5357" max="5357" width="12.85546875" customWidth="1"/>
    <col min="5358" max="5358" width="10.140625" customWidth="1"/>
    <col min="5359" max="5359" width="5" customWidth="1"/>
    <col min="5360" max="5360" width="12.85546875" customWidth="1"/>
    <col min="5361" max="5361" width="10.140625" customWidth="1"/>
    <col min="5362" max="5362" width="12.85546875" customWidth="1"/>
    <col min="5363" max="5363" width="10.140625" customWidth="1"/>
    <col min="5364" max="5364" width="12.85546875" customWidth="1"/>
    <col min="5365" max="5365" width="10.140625" customWidth="1"/>
    <col min="5366" max="5366" width="12.85546875" customWidth="1"/>
    <col min="5367" max="5367" width="10.140625" customWidth="1"/>
    <col min="5368" max="5368" width="12.85546875" customWidth="1"/>
    <col min="5369" max="5369" width="10.140625" customWidth="1"/>
    <col min="5370" max="5370" width="5" customWidth="1"/>
    <col min="5371" max="5371" width="12.85546875" customWidth="1"/>
    <col min="5372" max="5372" width="10.140625" customWidth="1"/>
    <col min="5373" max="5373" width="12.85546875" customWidth="1"/>
    <col min="5374" max="5374" width="10.140625" customWidth="1"/>
    <col min="5375" max="5375" width="12.85546875" customWidth="1"/>
    <col min="5376" max="5376" width="10.140625" customWidth="1"/>
    <col min="5377" max="5377" width="12.85546875" customWidth="1"/>
    <col min="5378" max="5378" width="10.140625" customWidth="1"/>
    <col min="5379" max="5379" width="12.85546875" customWidth="1"/>
    <col min="5380" max="5380" width="10.140625" customWidth="1"/>
    <col min="5381" max="5381" width="12.85546875" customWidth="1"/>
    <col min="5382" max="5382" width="10.140625" customWidth="1"/>
    <col min="5383" max="5383" width="12.85546875" customWidth="1"/>
    <col min="5384" max="5384" width="10.140625" customWidth="1"/>
    <col min="5385" max="5385" width="12.85546875" customWidth="1"/>
    <col min="5386" max="5386" width="10.140625" customWidth="1"/>
    <col min="5387" max="5387" width="12.85546875" customWidth="1"/>
    <col min="5388" max="5388" width="10.140625" customWidth="1"/>
    <col min="5389" max="5389" width="5" customWidth="1"/>
    <col min="5390" max="5390" width="12.85546875" customWidth="1"/>
    <col min="5391" max="5391" width="10.140625" customWidth="1"/>
    <col min="5392" max="5392" width="12.85546875" customWidth="1"/>
    <col min="5393" max="5393" width="10.140625" customWidth="1"/>
    <col min="5394" max="5394" width="5" customWidth="1"/>
    <col min="5395" max="5395" width="12.85546875" customWidth="1"/>
    <col min="5396" max="5396" width="10.140625" customWidth="1"/>
    <col min="5397" max="5397" width="12.85546875" customWidth="1"/>
    <col min="5398" max="5398" width="10.140625" customWidth="1"/>
    <col min="5399" max="5399" width="12.85546875" customWidth="1"/>
    <col min="5400" max="5400" width="10.140625" customWidth="1"/>
    <col min="5401" max="5401" width="12.85546875" customWidth="1"/>
    <col min="5402" max="5402" width="10.140625" customWidth="1"/>
    <col min="5403" max="5403" width="12.85546875" customWidth="1"/>
    <col min="5404" max="5404" width="10.140625" customWidth="1"/>
    <col min="5405" max="5405" width="5" customWidth="1"/>
    <col min="5406" max="5406" width="12.85546875" customWidth="1"/>
    <col min="5407" max="5407" width="10.140625" customWidth="1"/>
    <col min="5408" max="5408" width="12.85546875" customWidth="1"/>
    <col min="5409" max="5409" width="10.140625" customWidth="1"/>
    <col min="5410" max="5410" width="12.85546875" customWidth="1"/>
    <col min="5411" max="5411" width="10.140625" customWidth="1"/>
    <col min="5412" max="5412" width="12.85546875" customWidth="1"/>
    <col min="5413" max="5413" width="10.140625" customWidth="1"/>
    <col min="5414" max="5414" width="12.85546875" customWidth="1"/>
    <col min="5415" max="5415" width="10.140625" customWidth="1"/>
    <col min="5416" max="5416" width="12.85546875" customWidth="1"/>
    <col min="5417" max="5417" width="10.140625" customWidth="1"/>
    <col min="5418" max="5418" width="12.85546875" customWidth="1"/>
    <col min="5419" max="5419" width="10.140625" customWidth="1"/>
    <col min="5420" max="5420" width="12.85546875" customWidth="1"/>
    <col min="5421" max="5421" width="10.140625" customWidth="1"/>
    <col min="5422" max="5422" width="12.85546875" customWidth="1"/>
    <col min="5423" max="5423" width="10.140625" customWidth="1"/>
    <col min="5424" max="5424" width="12.85546875" customWidth="1"/>
    <col min="5425" max="5425" width="10.140625" customWidth="1"/>
    <col min="5426" max="5426" width="12.85546875" customWidth="1"/>
    <col min="5427" max="5427" width="10.140625" customWidth="1"/>
    <col min="5428" max="5428" width="12.85546875" customWidth="1"/>
    <col min="5429" max="5429" width="10.140625" customWidth="1"/>
    <col min="5430" max="5430" width="5" customWidth="1"/>
    <col min="5431" max="5431" width="12.85546875" customWidth="1"/>
    <col min="5432" max="5432" width="10.140625" customWidth="1"/>
    <col min="5433" max="5433" width="12.85546875" customWidth="1"/>
    <col min="5434" max="5434" width="10.140625" customWidth="1"/>
    <col min="5435" max="5435" width="12.85546875" customWidth="1"/>
    <col min="5436" max="5436" width="10.140625" customWidth="1"/>
    <col min="5437" max="5437" width="12.85546875" customWidth="1"/>
    <col min="5438" max="5438" width="10.140625" customWidth="1"/>
    <col min="5439" max="5439" width="12.85546875" customWidth="1"/>
    <col min="5440" max="5440" width="10.140625" customWidth="1"/>
    <col min="5441" max="5441" width="5" customWidth="1"/>
    <col min="5442" max="5442" width="12.85546875" customWidth="1"/>
    <col min="5443" max="5443" width="10.140625" customWidth="1"/>
    <col min="5444" max="5444" width="12.85546875" customWidth="1"/>
    <col min="5445" max="5445" width="10.140625" customWidth="1"/>
    <col min="5446" max="5446" width="12.85546875" customWidth="1"/>
    <col min="5447" max="5447" width="10.140625" customWidth="1"/>
    <col min="5448" max="5448" width="12.85546875" customWidth="1"/>
    <col min="5449" max="5449" width="10.140625" customWidth="1"/>
    <col min="5450" max="5450" width="12.85546875" customWidth="1"/>
    <col min="5451" max="5451" width="10.140625" customWidth="1"/>
    <col min="5452" max="5452" width="12.85546875" customWidth="1"/>
    <col min="5453" max="5453" width="10.140625" customWidth="1"/>
    <col min="5454" max="5454" width="12.85546875" customWidth="1"/>
    <col min="5455" max="5455" width="10.140625" customWidth="1"/>
    <col min="5456" max="5456" width="12.85546875" customWidth="1"/>
    <col min="5457" max="5457" width="10.140625" customWidth="1"/>
    <col min="5458" max="5458" width="5" customWidth="1"/>
    <col min="5459" max="5459" width="12.85546875" customWidth="1"/>
    <col min="5460" max="5460" width="10.140625" customWidth="1"/>
    <col min="5461" max="5461" width="12.85546875" customWidth="1"/>
    <col min="5462" max="5462" width="10.140625" customWidth="1"/>
    <col min="5463" max="5463" width="5" customWidth="1"/>
    <col min="5464" max="5464" width="12.85546875" customWidth="1"/>
    <col min="5465" max="5465" width="10.140625" customWidth="1"/>
    <col min="5466" max="5466" width="12.85546875" customWidth="1"/>
    <col min="5467" max="5467" width="10.140625" customWidth="1"/>
    <col min="5468" max="5468" width="12.85546875" customWidth="1"/>
    <col min="5469" max="5469" width="10.140625" customWidth="1"/>
    <col min="5470" max="5470" width="12.85546875" customWidth="1"/>
    <col min="5471" max="5471" width="10.140625" customWidth="1"/>
    <col min="5472" max="5472" width="12.85546875" customWidth="1"/>
    <col min="5473" max="5473" width="10.140625" customWidth="1"/>
    <col min="5474" max="5474" width="12.85546875" customWidth="1"/>
    <col min="5475" max="5475" width="10.140625" customWidth="1"/>
    <col min="5476" max="5476" width="12.85546875" customWidth="1"/>
    <col min="5477" max="5477" width="10.140625" customWidth="1"/>
    <col min="5478" max="5478" width="12.85546875" customWidth="1"/>
    <col min="5479" max="5479" width="10.140625" customWidth="1"/>
    <col min="5480" max="5480" width="12.85546875" customWidth="1"/>
    <col min="5481" max="5481" width="10.140625" customWidth="1"/>
    <col min="5482" max="5482" width="12.85546875" customWidth="1"/>
    <col min="5483" max="5483" width="10.140625" customWidth="1"/>
    <col min="5484" max="5484" width="12.85546875" customWidth="1"/>
    <col min="5485" max="5485" width="10.140625" customWidth="1"/>
    <col min="5486" max="5486" width="12.85546875" customWidth="1"/>
    <col min="5487" max="5487" width="10.140625" customWidth="1"/>
    <col min="5488" max="5488" width="12.85546875" customWidth="1"/>
    <col min="5489" max="5489" width="10.140625" customWidth="1"/>
    <col min="5490" max="5490" width="12.85546875" customWidth="1"/>
    <col min="5491" max="5491" width="10.140625" customWidth="1"/>
    <col min="5492" max="5492" width="12.85546875" customWidth="1"/>
    <col min="5493" max="5493" width="10.140625" customWidth="1"/>
    <col min="5494" max="5494" width="5" customWidth="1"/>
    <col min="5495" max="5495" width="12.85546875" customWidth="1"/>
    <col min="5496" max="5496" width="10.140625" customWidth="1"/>
    <col min="5497" max="5497" width="12.85546875" customWidth="1"/>
    <col min="5498" max="5498" width="10.140625" customWidth="1"/>
    <col min="5499" max="5499" width="5" customWidth="1"/>
    <col min="5500" max="5500" width="12.85546875" customWidth="1"/>
    <col min="5501" max="5501" width="10.140625" customWidth="1"/>
    <col min="5502" max="5502" width="12.85546875" customWidth="1"/>
    <col min="5503" max="5503" width="10.140625" customWidth="1"/>
    <col min="5504" max="5504" width="12.85546875" customWidth="1"/>
    <col min="5505" max="5505" width="10.140625" customWidth="1"/>
    <col min="5506" max="5506" width="12.85546875" customWidth="1"/>
    <col min="5507" max="5507" width="10.140625" customWidth="1"/>
    <col min="5508" max="5508" width="12.85546875" customWidth="1"/>
    <col min="5509" max="5509" width="10.140625" customWidth="1"/>
    <col min="5510" max="5510" width="12.85546875" customWidth="1"/>
    <col min="5511" max="5511" width="10.140625" customWidth="1"/>
    <col min="5512" max="5512" width="12.85546875" customWidth="1"/>
    <col min="5513" max="5513" width="10.140625" customWidth="1"/>
    <col min="5514" max="5514" width="12.85546875" customWidth="1"/>
    <col min="5515" max="5515" width="10.140625" customWidth="1"/>
    <col min="5516" max="5516" width="12.85546875" customWidth="1"/>
    <col min="5517" max="5517" width="10.140625" customWidth="1"/>
    <col min="5518" max="5518" width="12.85546875" customWidth="1"/>
    <col min="5519" max="5519" width="10.140625" customWidth="1"/>
    <col min="5520" max="5520" width="12.85546875" customWidth="1"/>
    <col min="5521" max="5521" width="10.140625" customWidth="1"/>
    <col min="5522" max="5522" width="12.85546875" customWidth="1"/>
    <col min="5523" max="5523" width="10.140625" customWidth="1"/>
    <col min="5524" max="5524" width="12.85546875" customWidth="1"/>
    <col min="5525" max="5525" width="10.140625" customWidth="1"/>
    <col min="5526" max="5526" width="5" customWidth="1"/>
    <col min="5527" max="5527" width="12.85546875" customWidth="1"/>
    <col min="5528" max="5528" width="10.140625" customWidth="1"/>
    <col min="5529" max="5529" width="12.85546875" customWidth="1"/>
    <col min="5530" max="5530" width="10.140625" customWidth="1"/>
    <col min="5531" max="5531" width="12.85546875" customWidth="1"/>
    <col min="5532" max="5532" width="10.140625" customWidth="1"/>
    <col min="5533" max="5533" width="12.85546875" customWidth="1"/>
    <col min="5534" max="5534" width="10.140625" customWidth="1"/>
    <col min="5535" max="5535" width="12.85546875" customWidth="1"/>
    <col min="5536" max="5536" width="10.140625" customWidth="1"/>
    <col min="5537" max="5537" width="12.85546875" customWidth="1"/>
    <col min="5538" max="5538" width="10.140625" customWidth="1"/>
    <col min="5539" max="5539" width="12.85546875" customWidth="1"/>
    <col min="5540" max="5540" width="10.140625" customWidth="1"/>
    <col min="5541" max="5541" width="12.85546875" customWidth="1"/>
    <col min="5542" max="5542" width="10.140625" customWidth="1"/>
    <col min="5543" max="5543" width="12.85546875" customWidth="1"/>
    <col min="5544" max="5544" width="10.140625" customWidth="1"/>
    <col min="5545" max="5545" width="12.85546875" customWidth="1"/>
    <col min="5546" max="5546" width="10.140625" customWidth="1"/>
    <col min="5547" max="5547" width="12.85546875" customWidth="1"/>
    <col min="5548" max="5548" width="10.140625" customWidth="1"/>
    <col min="5549" max="5549" width="12.85546875" customWidth="1"/>
    <col min="5550" max="5550" width="10.140625" customWidth="1"/>
    <col min="5551" max="5551" width="12.85546875" customWidth="1"/>
    <col min="5552" max="5552" width="10.140625" customWidth="1"/>
    <col min="5553" max="5553" width="12.85546875" customWidth="1"/>
    <col min="5554" max="5554" width="10.140625" customWidth="1"/>
    <col min="5555" max="5555" width="12.85546875" customWidth="1"/>
    <col min="5556" max="5556" width="10.140625" customWidth="1"/>
    <col min="5557" max="5557" width="12.85546875" customWidth="1"/>
    <col min="5558" max="5558" width="10.140625" customWidth="1"/>
    <col min="5559" max="5559" width="12.85546875" customWidth="1"/>
    <col min="5560" max="5560" width="10.140625" customWidth="1"/>
    <col min="5561" max="5561" width="12.85546875" customWidth="1"/>
    <col min="5562" max="5562" width="10.140625" customWidth="1"/>
    <col min="5563" max="5563" width="12.85546875" customWidth="1"/>
    <col min="5564" max="5564" width="10.140625" customWidth="1"/>
    <col min="5565" max="5565" width="12.85546875" customWidth="1"/>
    <col min="5566" max="5566" width="10.140625" customWidth="1"/>
    <col min="5567" max="5567" width="12.85546875" customWidth="1"/>
    <col min="5568" max="5568" width="10.140625" customWidth="1"/>
    <col min="5569" max="5569" width="12.85546875" customWidth="1"/>
    <col min="5570" max="5570" width="10.140625" customWidth="1"/>
    <col min="5571" max="5571" width="12.85546875" customWidth="1"/>
    <col min="5572" max="5572" width="10.140625" customWidth="1"/>
    <col min="5573" max="5573" width="12.85546875" customWidth="1"/>
    <col min="5574" max="5574" width="10.140625" customWidth="1"/>
    <col min="5575" max="5575" width="12.85546875" customWidth="1"/>
    <col min="5576" max="5576" width="10.140625" customWidth="1"/>
    <col min="5577" max="5577" width="12.85546875" customWidth="1"/>
    <col min="5578" max="5578" width="10.140625" customWidth="1"/>
    <col min="5579" max="5579" width="12.85546875" customWidth="1"/>
    <col min="5580" max="5580" width="10.140625" customWidth="1"/>
    <col min="5581" max="5581" width="12.85546875" customWidth="1"/>
    <col min="5582" max="5582" width="10.140625" customWidth="1"/>
    <col min="5583" max="5583" width="12.85546875" customWidth="1"/>
    <col min="5584" max="5584" width="10.140625" customWidth="1"/>
    <col min="5585" max="5585" width="12.85546875" customWidth="1"/>
    <col min="5586" max="5586" width="10.140625" customWidth="1"/>
    <col min="5587" max="5587" width="12.85546875" customWidth="1"/>
    <col min="5588" max="5588" width="10.140625" customWidth="1"/>
    <col min="5589" max="5589" width="12.85546875" customWidth="1"/>
    <col min="5590" max="5590" width="10.140625" customWidth="1"/>
    <col min="5591" max="5591" width="12.85546875" customWidth="1"/>
    <col min="5592" max="5592" width="10.140625" customWidth="1"/>
    <col min="5593" max="5593" width="12.85546875" customWidth="1"/>
    <col min="5594" max="5594" width="10.140625" customWidth="1"/>
    <col min="5595" max="5595" width="12.85546875" customWidth="1"/>
    <col min="5596" max="5596" width="10.140625" customWidth="1"/>
    <col min="5597" max="5597" width="12.85546875" customWidth="1"/>
    <col min="5598" max="5598" width="10.140625" customWidth="1"/>
    <col min="5599" max="5599" width="5" customWidth="1"/>
    <col min="5600" max="5600" width="12.85546875" customWidth="1"/>
    <col min="5601" max="5601" width="10.140625" customWidth="1"/>
    <col min="5602" max="5602" width="5" customWidth="1"/>
    <col min="5603" max="5603" width="12.85546875" customWidth="1"/>
    <col min="5604" max="5604" width="10.140625" customWidth="1"/>
    <col min="5605" max="5605" width="12.85546875" customWidth="1"/>
    <col min="5606" max="5606" width="10.140625" customWidth="1"/>
    <col min="5607" max="5607" width="12.85546875" customWidth="1"/>
    <col min="5608" max="5608" width="10.140625" customWidth="1"/>
    <col min="5609" max="5609" width="12.85546875" customWidth="1"/>
    <col min="5610" max="5610" width="10.140625" customWidth="1"/>
    <col min="5611" max="5611" width="12.85546875" customWidth="1"/>
    <col min="5612" max="5612" width="10.140625" customWidth="1"/>
    <col min="5613" max="5613" width="12.85546875" customWidth="1"/>
    <col min="5614" max="5614" width="10.140625" customWidth="1"/>
    <col min="5615" max="5615" width="12.85546875" customWidth="1"/>
    <col min="5616" max="5616" width="10.140625" customWidth="1"/>
    <col min="5617" max="5617" width="12.85546875" customWidth="1"/>
    <col min="5618" max="5618" width="10.140625" customWidth="1"/>
    <col min="5619" max="5619" width="12.85546875" customWidth="1"/>
    <col min="5620" max="5620" width="10.140625" customWidth="1"/>
    <col min="5621" max="5621" width="12.85546875" customWidth="1"/>
    <col min="5622" max="5622" width="10.140625" customWidth="1"/>
    <col min="5623" max="5623" width="12.85546875" customWidth="1"/>
    <col min="5624" max="5624" width="10.140625" customWidth="1"/>
    <col min="5625" max="5625" width="12.85546875" customWidth="1"/>
    <col min="5626" max="5626" width="10.140625" customWidth="1"/>
    <col min="5627" max="5627" width="12.85546875" customWidth="1"/>
    <col min="5628" max="5628" width="10.140625" customWidth="1"/>
    <col min="5629" max="5629" width="12.85546875" customWidth="1"/>
    <col min="5630" max="5630" width="10.140625" customWidth="1"/>
    <col min="5631" max="5631" width="5" customWidth="1"/>
    <col min="5632" max="5632" width="12.85546875" customWidth="1"/>
    <col min="5633" max="5633" width="10.140625" customWidth="1"/>
    <col min="5634" max="5634" width="12.85546875" customWidth="1"/>
    <col min="5635" max="5635" width="10.140625" customWidth="1"/>
    <col min="5636" max="5636" width="12.85546875" customWidth="1"/>
    <col min="5637" max="5637" width="10.140625" customWidth="1"/>
    <col min="5638" max="5638" width="12.85546875" customWidth="1"/>
    <col min="5639" max="5639" width="10.140625" customWidth="1"/>
    <col min="5640" max="5640" width="12.85546875" customWidth="1"/>
    <col min="5641" max="5641" width="10.140625" customWidth="1"/>
    <col min="5642" max="5642" width="12.85546875" customWidth="1"/>
    <col min="5643" max="5643" width="10.140625" customWidth="1"/>
    <col min="5644" max="5644" width="12.85546875" customWidth="1"/>
    <col min="5645" max="5645" width="10.140625" customWidth="1"/>
    <col min="5646" max="5646" width="12.85546875" customWidth="1"/>
    <col min="5647" max="5647" width="10.140625" customWidth="1"/>
    <col min="5648" max="5648" width="12.85546875" customWidth="1"/>
    <col min="5649" max="5649" width="10.140625" customWidth="1"/>
    <col min="5650" max="5650" width="12.85546875" customWidth="1"/>
    <col min="5651" max="5651" width="10.140625" customWidth="1"/>
    <col min="5652" max="5652" width="12.85546875" customWidth="1"/>
    <col min="5653" max="5653" width="10.140625" customWidth="1"/>
    <col min="5654" max="5654" width="12.85546875" customWidth="1"/>
    <col min="5655" max="5655" width="10.140625" customWidth="1"/>
    <col min="5656" max="5656" width="12.85546875" customWidth="1"/>
    <col min="5657" max="5657" width="10.140625" customWidth="1"/>
    <col min="5658" max="5658" width="12.85546875" customWidth="1"/>
    <col min="5659" max="5659" width="10.140625" customWidth="1"/>
    <col min="5660" max="5660" width="12.85546875" customWidth="1"/>
    <col min="5661" max="5661" width="10.140625" customWidth="1"/>
    <col min="5662" max="5662" width="12.85546875" customWidth="1"/>
    <col min="5663" max="5663" width="10.140625" customWidth="1"/>
    <col min="5664" max="5664" width="12.85546875" customWidth="1"/>
    <col min="5665" max="5665" width="10.140625" customWidth="1"/>
    <col min="5666" max="5666" width="12.85546875" customWidth="1"/>
    <col min="5667" max="5667" width="10.140625" customWidth="1"/>
    <col min="5668" max="5668" width="12.85546875" customWidth="1"/>
    <col min="5669" max="5669" width="10.140625" customWidth="1"/>
    <col min="5670" max="5670" width="12.85546875" customWidth="1"/>
    <col min="5671" max="5671" width="10.140625" customWidth="1"/>
    <col min="5672" max="5672" width="12.85546875" customWidth="1"/>
    <col min="5673" max="5673" width="10.140625" customWidth="1"/>
    <col min="5674" max="5674" width="12.85546875" customWidth="1"/>
    <col min="5675" max="5675" width="10.140625" customWidth="1"/>
    <col min="5676" max="5676" width="12.85546875" customWidth="1"/>
    <col min="5677" max="5677" width="10.140625" customWidth="1"/>
    <col min="5678" max="5678" width="12.85546875" customWidth="1"/>
    <col min="5679" max="5679" width="10.140625" customWidth="1"/>
    <col min="5680" max="5680" width="12.85546875" customWidth="1"/>
    <col min="5681" max="5681" width="10.140625" customWidth="1"/>
    <col min="5682" max="5682" width="12.85546875" customWidth="1"/>
    <col min="5683" max="5683" width="10.140625" customWidth="1"/>
    <col min="5684" max="5684" width="12.85546875" customWidth="1"/>
    <col min="5685" max="5685" width="10.140625" customWidth="1"/>
    <col min="5686" max="5686" width="12.85546875" customWidth="1"/>
    <col min="5687" max="5687" width="10.140625" customWidth="1"/>
    <col min="5688" max="5688" width="12.85546875" customWidth="1"/>
    <col min="5689" max="5689" width="10.140625" customWidth="1"/>
    <col min="5690" max="5690" width="12.85546875" customWidth="1"/>
    <col min="5691" max="5691" width="10.140625" customWidth="1"/>
    <col min="5692" max="5692" width="12.85546875" customWidth="1"/>
    <col min="5693" max="5693" width="10.140625" customWidth="1"/>
    <col min="5694" max="5694" width="12.85546875" customWidth="1"/>
    <col min="5695" max="5695" width="10.140625" customWidth="1"/>
    <col min="5696" max="5696" width="5" customWidth="1"/>
    <col min="5697" max="5697" width="12.85546875" customWidth="1"/>
    <col min="5698" max="5698" width="10.140625" customWidth="1"/>
    <col min="5699" max="5699" width="12.85546875" customWidth="1"/>
    <col min="5700" max="5700" width="10.140625" customWidth="1"/>
    <col min="5701" max="5701" width="12.85546875" customWidth="1"/>
    <col min="5702" max="5702" width="10.140625" customWidth="1"/>
    <col min="5703" max="5703" width="12.85546875" customWidth="1"/>
    <col min="5704" max="5704" width="10.140625" customWidth="1"/>
    <col min="5705" max="5705" width="12.85546875" customWidth="1"/>
    <col min="5706" max="5706" width="10.140625" customWidth="1"/>
    <col min="5707" max="5707" width="12.85546875" customWidth="1"/>
    <col min="5708" max="5708" width="10.140625" customWidth="1"/>
    <col min="5709" max="5709" width="12.85546875" customWidth="1"/>
    <col min="5710" max="5710" width="10.140625" customWidth="1"/>
    <col min="5711" max="5711" width="12.85546875" customWidth="1"/>
    <col min="5712" max="5712" width="10.140625" customWidth="1"/>
    <col min="5713" max="5713" width="12.85546875" customWidth="1"/>
    <col min="5714" max="5714" width="10.140625" customWidth="1"/>
    <col min="5715" max="5715" width="12.85546875" customWidth="1"/>
    <col min="5716" max="5716" width="10.140625" customWidth="1"/>
    <col min="5717" max="5717" width="12.85546875" customWidth="1"/>
    <col min="5718" max="5718" width="10.140625" customWidth="1"/>
    <col min="5719" max="5719" width="12.85546875" customWidth="1"/>
    <col min="5720" max="5720" width="10.140625" customWidth="1"/>
    <col min="5721" max="5721" width="12.85546875" customWidth="1"/>
    <col min="5722" max="5722" width="10.140625" customWidth="1"/>
    <col min="5723" max="5723" width="12.85546875" customWidth="1"/>
    <col min="5724" max="5724" width="10.140625" customWidth="1"/>
    <col min="5725" max="5725" width="12.85546875" customWidth="1"/>
    <col min="5726" max="5726" width="10.140625" customWidth="1"/>
    <col min="5727" max="5727" width="12.85546875" customWidth="1"/>
    <col min="5728" max="5728" width="10.140625" customWidth="1"/>
    <col min="5729" max="5729" width="12.85546875" customWidth="1"/>
    <col min="5730" max="5730" width="10.140625" customWidth="1"/>
    <col min="5731" max="5731" width="12.85546875" customWidth="1"/>
    <col min="5732" max="5732" width="10.140625" customWidth="1"/>
    <col min="5733" max="5733" width="12.85546875" customWidth="1"/>
    <col min="5734" max="5734" width="10.140625" customWidth="1"/>
    <col min="5735" max="5735" width="12.85546875" customWidth="1"/>
    <col min="5736" max="5736" width="10.140625" customWidth="1"/>
    <col min="5737" max="5737" width="12.85546875" customWidth="1"/>
    <col min="5738" max="5738" width="10.140625" customWidth="1"/>
    <col min="5739" max="5739" width="12.85546875" customWidth="1"/>
    <col min="5740" max="5740" width="10.140625" customWidth="1"/>
    <col min="5741" max="5741" width="12.85546875" customWidth="1"/>
    <col min="5742" max="5742" width="10.140625" customWidth="1"/>
    <col min="5743" max="5743" width="12.85546875" customWidth="1"/>
    <col min="5744" max="5744" width="10.140625" customWidth="1"/>
    <col min="5745" max="5745" width="12.85546875" customWidth="1"/>
    <col min="5746" max="5746" width="10.140625" customWidth="1"/>
    <col min="5747" max="5747" width="12.85546875" customWidth="1"/>
    <col min="5748" max="5748" width="10.140625" customWidth="1"/>
    <col min="5749" max="5749" width="12.85546875" customWidth="1"/>
    <col min="5750" max="5750" width="10.140625" customWidth="1"/>
    <col min="5751" max="5751" width="12.85546875" customWidth="1"/>
    <col min="5752" max="5752" width="10.140625" customWidth="1"/>
    <col min="5753" max="5753" width="12.85546875" customWidth="1"/>
    <col min="5754" max="5754" width="10.140625" customWidth="1"/>
    <col min="5755" max="5755" width="5" customWidth="1"/>
    <col min="5756" max="5756" width="12.85546875" customWidth="1"/>
    <col min="5757" max="5757" width="10.140625" customWidth="1"/>
    <col min="5758" max="5758" width="12.85546875" customWidth="1"/>
    <col min="5759" max="5759" width="10.140625" customWidth="1"/>
    <col min="5760" max="5760" width="12.85546875" customWidth="1"/>
    <col min="5761" max="5761" width="10.140625" customWidth="1"/>
    <col min="5762" max="5762" width="12.85546875" customWidth="1"/>
    <col min="5763" max="5763" width="10.140625" customWidth="1"/>
    <col min="5764" max="5764" width="12.85546875" customWidth="1"/>
    <col min="5765" max="5765" width="10.140625" customWidth="1"/>
    <col min="5766" max="5766" width="12.85546875" customWidth="1"/>
    <col min="5767" max="5767" width="10.140625" customWidth="1"/>
    <col min="5768" max="5768" width="12.85546875" customWidth="1"/>
    <col min="5769" max="5769" width="10.140625" customWidth="1"/>
    <col min="5770" max="5770" width="5" customWidth="1"/>
    <col min="5771" max="5771" width="12.85546875" customWidth="1"/>
    <col min="5772" max="5772" width="10.140625" customWidth="1"/>
    <col min="5773" max="5773" width="12.85546875" customWidth="1"/>
    <col min="5774" max="5774" width="10.140625" customWidth="1"/>
    <col min="5775" max="5775" width="5" customWidth="1"/>
    <col min="5776" max="5776" width="12.85546875" customWidth="1"/>
    <col min="5777" max="5777" width="10.140625" customWidth="1"/>
    <col min="5778" max="5778" width="12.85546875" customWidth="1"/>
    <col min="5779" max="5779" width="10.140625" customWidth="1"/>
    <col min="5780" max="5780" width="12.85546875" customWidth="1"/>
    <col min="5781" max="5781" width="10.140625" customWidth="1"/>
    <col min="5782" max="5782" width="5" customWidth="1"/>
    <col min="5783" max="5783" width="12.85546875" customWidth="1"/>
    <col min="5784" max="5784" width="10.140625" customWidth="1"/>
    <col min="5785" max="5785" width="12.85546875" customWidth="1"/>
    <col min="5786" max="5786" width="10.140625" customWidth="1"/>
    <col min="5787" max="5787" width="12.85546875" customWidth="1"/>
    <col min="5788" max="5788" width="10.140625" customWidth="1"/>
    <col min="5789" max="5789" width="5" customWidth="1"/>
    <col min="5790" max="5790" width="12.85546875" customWidth="1"/>
    <col min="5791" max="5791" width="10.140625" customWidth="1"/>
    <col min="5792" max="5792" width="12.85546875" customWidth="1"/>
    <col min="5793" max="5793" width="10.140625" customWidth="1"/>
    <col min="5794" max="5794" width="12.85546875" customWidth="1"/>
    <col min="5795" max="5795" width="10.140625" customWidth="1"/>
    <col min="5796" max="5796" width="12.85546875" customWidth="1"/>
    <col min="5797" max="5797" width="10.140625" customWidth="1"/>
    <col min="5798" max="5798" width="12.85546875" customWidth="1"/>
    <col min="5799" max="5799" width="10.140625" customWidth="1"/>
    <col min="5800" max="5800" width="12.85546875" customWidth="1"/>
    <col min="5801" max="5801" width="10.140625" customWidth="1"/>
    <col min="5802" max="5802" width="12.85546875" customWidth="1"/>
    <col min="5803" max="5803" width="10.140625" customWidth="1"/>
    <col min="5804" max="5804" width="12.85546875" customWidth="1"/>
    <col min="5805" max="5805" width="10.140625" customWidth="1"/>
    <col min="5806" max="5806" width="5" customWidth="1"/>
    <col min="5807" max="5807" width="12.85546875" customWidth="1"/>
    <col min="5808" max="5808" width="10.140625" customWidth="1"/>
    <col min="5809" max="5809" width="12.85546875" customWidth="1"/>
    <col min="5810" max="5810" width="10.140625" customWidth="1"/>
    <col min="5811" max="5811" width="12.85546875" customWidth="1"/>
    <col min="5812" max="5812" width="10.140625" customWidth="1"/>
    <col min="5813" max="5813" width="12.85546875" customWidth="1"/>
    <col min="5814" max="5814" width="10.140625" customWidth="1"/>
    <col min="5815" max="5815" width="12.85546875" customWidth="1"/>
    <col min="5816" max="5816" width="10.140625" customWidth="1"/>
    <col min="5817" max="5817" width="12.85546875" customWidth="1"/>
    <col min="5818" max="5818" width="10.140625" customWidth="1"/>
    <col min="5819" max="5819" width="12.85546875" customWidth="1"/>
    <col min="5820" max="5820" width="10.140625" customWidth="1"/>
    <col min="5821" max="5821" width="12.85546875" customWidth="1"/>
    <col min="5822" max="5822" width="10.140625" customWidth="1"/>
    <col min="5823" max="5823" width="12.85546875" customWidth="1"/>
    <col min="5824" max="5824" width="10.140625" customWidth="1"/>
    <col min="5825" max="5825" width="12.85546875" customWidth="1"/>
    <col min="5826" max="5826" width="10.140625" customWidth="1"/>
    <col min="5827" max="5827" width="12.85546875" customWidth="1"/>
    <col min="5828" max="5828" width="10.140625" customWidth="1"/>
    <col min="5829" max="5829" width="12.85546875" customWidth="1"/>
    <col min="5830" max="5830" width="10.140625" customWidth="1"/>
    <col min="5831" max="5831" width="12.85546875" customWidth="1"/>
    <col min="5832" max="5832" width="10.140625" customWidth="1"/>
    <col min="5833" max="5833" width="12.85546875" customWidth="1"/>
    <col min="5834" max="5834" width="10.140625" customWidth="1"/>
    <col min="5835" max="5835" width="12.85546875" customWidth="1"/>
    <col min="5836" max="5836" width="10.140625" customWidth="1"/>
    <col min="5837" max="5837" width="12.85546875" customWidth="1"/>
    <col min="5838" max="5838" width="10.140625" customWidth="1"/>
    <col min="5839" max="5839" width="12.85546875" customWidth="1"/>
    <col min="5840" max="5840" width="10.140625" customWidth="1"/>
    <col min="5841" max="5841" width="12.85546875" customWidth="1"/>
    <col min="5842" max="5842" width="10.140625" customWidth="1"/>
    <col min="5843" max="5843" width="12.85546875" customWidth="1"/>
    <col min="5844" max="5844" width="10.140625" customWidth="1"/>
    <col min="5845" max="5845" width="12.85546875" customWidth="1"/>
    <col min="5846" max="5846" width="10.140625" customWidth="1"/>
    <col min="5847" max="5847" width="12.85546875" customWidth="1"/>
    <col min="5848" max="5848" width="10.140625" customWidth="1"/>
    <col min="5849" max="5849" width="12.85546875" customWidth="1"/>
    <col min="5850" max="5850" width="10.140625" customWidth="1"/>
    <col min="5851" max="5851" width="12.85546875" customWidth="1"/>
    <col min="5852" max="5852" width="10.140625" customWidth="1"/>
    <col min="5853" max="5853" width="12.85546875" customWidth="1"/>
    <col min="5854" max="5854" width="10.140625" customWidth="1"/>
    <col min="5855" max="5855" width="12.85546875" customWidth="1"/>
    <col min="5856" max="5856" width="10.140625" customWidth="1"/>
    <col min="5857" max="5857" width="12.85546875" customWidth="1"/>
    <col min="5858" max="5858" width="10.140625" customWidth="1"/>
    <col min="5859" max="5859" width="12.85546875" customWidth="1"/>
    <col min="5860" max="5860" width="10.140625" customWidth="1"/>
    <col min="5861" max="5861" width="12.85546875" customWidth="1"/>
    <col min="5862" max="5862" width="10.140625" customWidth="1"/>
    <col min="5863" max="5863" width="12.85546875" customWidth="1"/>
    <col min="5864" max="5864" width="10.140625" customWidth="1"/>
    <col min="5865" max="5865" width="12.85546875" customWidth="1"/>
    <col min="5866" max="5866" width="10.140625" customWidth="1"/>
    <col min="5867" max="5867" width="12.85546875" customWidth="1"/>
    <col min="5868" max="5868" width="10.140625" customWidth="1"/>
    <col min="5869" max="5869" width="12.85546875" customWidth="1"/>
    <col min="5870" max="5870" width="10.140625" customWidth="1"/>
    <col min="5871" max="5871" width="12.85546875" customWidth="1"/>
    <col min="5872" max="5872" width="10.140625" customWidth="1"/>
    <col min="5873" max="5873" width="12.85546875" customWidth="1"/>
    <col min="5874" max="5874" width="10.140625" customWidth="1"/>
    <col min="5875" max="5875" width="12.85546875" customWidth="1"/>
    <col min="5876" max="5876" width="10.140625" customWidth="1"/>
    <col min="5877" max="5877" width="12.85546875" customWidth="1"/>
    <col min="5878" max="5878" width="10.140625" customWidth="1"/>
    <col min="5879" max="5879" width="12.85546875" customWidth="1"/>
    <col min="5880" max="5880" width="10.140625" customWidth="1"/>
    <col min="5881" max="5881" width="12.85546875" customWidth="1"/>
    <col min="5882" max="5882" width="10.140625" customWidth="1"/>
    <col min="5883" max="5883" width="12.85546875" customWidth="1"/>
    <col min="5884" max="5884" width="10.140625" customWidth="1"/>
    <col min="5885" max="5885" width="12.85546875" customWidth="1"/>
    <col min="5886" max="5886" width="10.140625" customWidth="1"/>
    <col min="5887" max="5887" width="12.85546875" customWidth="1"/>
    <col min="5888" max="5888" width="10.140625" customWidth="1"/>
    <col min="5889" max="5889" width="12.85546875" customWidth="1"/>
    <col min="5890" max="5890" width="10.140625" customWidth="1"/>
    <col min="5891" max="5891" width="12.85546875" customWidth="1"/>
    <col min="5892" max="5892" width="10.140625" customWidth="1"/>
    <col min="5893" max="5893" width="12.85546875" customWidth="1"/>
    <col min="5894" max="5894" width="10.140625" customWidth="1"/>
    <col min="5895" max="5895" width="12.85546875" customWidth="1"/>
    <col min="5896" max="5896" width="10.140625" customWidth="1"/>
    <col min="5897" max="5897" width="12.85546875" customWidth="1"/>
    <col min="5898" max="5898" width="10.140625" customWidth="1"/>
    <col min="5899" max="5899" width="12.85546875" customWidth="1"/>
    <col min="5900" max="5900" width="10.140625" customWidth="1"/>
    <col min="5901" max="5901" width="12.85546875" customWidth="1"/>
    <col min="5902" max="5902" width="10.140625" customWidth="1"/>
    <col min="5903" max="5903" width="12.85546875" customWidth="1"/>
    <col min="5904" max="5904" width="10.140625" customWidth="1"/>
    <col min="5905" max="5905" width="12.85546875" customWidth="1"/>
    <col min="5906" max="5906" width="10.140625" customWidth="1"/>
    <col min="5907" max="5907" width="12.85546875" customWidth="1"/>
    <col min="5908" max="5908" width="10.140625" customWidth="1"/>
    <col min="5909" max="5909" width="12.85546875" customWidth="1"/>
    <col min="5910" max="5910" width="10.140625" customWidth="1"/>
    <col min="5911" max="5911" width="12.85546875" customWidth="1"/>
    <col min="5912" max="5912" width="10.140625" customWidth="1"/>
    <col min="5913" max="5913" width="12.85546875" customWidth="1"/>
    <col min="5914" max="5914" width="10.140625" customWidth="1"/>
    <col min="5915" max="5915" width="12.85546875" customWidth="1"/>
    <col min="5916" max="5916" width="10.140625" customWidth="1"/>
    <col min="5917" max="5917" width="12.85546875" customWidth="1"/>
    <col min="5918" max="5918" width="10.140625" customWidth="1"/>
    <col min="5919" max="5919" width="12.85546875" customWidth="1"/>
    <col min="5920" max="5920" width="10.140625" customWidth="1"/>
    <col min="5921" max="5921" width="12.85546875" customWidth="1"/>
    <col min="5922" max="5922" width="10.140625" customWidth="1"/>
    <col min="5923" max="5923" width="12.85546875" customWidth="1"/>
    <col min="5924" max="5924" width="10.140625" customWidth="1"/>
    <col min="5925" max="5925" width="12.85546875" customWidth="1"/>
    <col min="5926" max="5926" width="10.140625" customWidth="1"/>
    <col min="5927" max="5927" width="12.85546875" customWidth="1"/>
    <col min="5928" max="5928" width="10.140625" customWidth="1"/>
    <col min="5929" max="5929" width="12.85546875" customWidth="1"/>
    <col min="5930" max="5930" width="10.140625" customWidth="1"/>
    <col min="5931" max="5931" width="12.85546875" customWidth="1"/>
    <col min="5932" max="5932" width="10.140625" customWidth="1"/>
    <col min="5933" max="5933" width="12.85546875" customWidth="1"/>
    <col min="5934" max="5934" width="10.140625" customWidth="1"/>
    <col min="5935" max="5935" width="12.85546875" customWidth="1"/>
    <col min="5936" max="5936" width="10.140625" customWidth="1"/>
    <col min="5937" max="5937" width="12.85546875" customWidth="1"/>
    <col min="5938" max="5938" width="10.140625" customWidth="1"/>
    <col min="5939" max="5939" width="12.85546875" customWidth="1"/>
    <col min="5940" max="5940" width="10.140625" customWidth="1"/>
    <col min="5941" max="5941" width="12.85546875" customWidth="1"/>
    <col min="5942" max="5942" width="10.140625" customWidth="1"/>
    <col min="5943" max="5943" width="12.85546875" customWidth="1"/>
    <col min="5944" max="5944" width="10.140625" customWidth="1"/>
    <col min="5945" max="5945" width="12.85546875" customWidth="1"/>
    <col min="5946" max="5946" width="10.140625" customWidth="1"/>
    <col min="5947" max="5947" width="12.85546875" customWidth="1"/>
    <col min="5948" max="5948" width="10.140625" customWidth="1"/>
    <col min="5949" max="5949" width="12.85546875" customWidth="1"/>
    <col min="5950" max="5950" width="10.140625" customWidth="1"/>
    <col min="5951" max="5951" width="12.85546875" customWidth="1"/>
    <col min="5952" max="5952" width="10.140625" customWidth="1"/>
    <col min="5953" max="5953" width="12.85546875" customWidth="1"/>
    <col min="5954" max="5954" width="10.140625" customWidth="1"/>
    <col min="5955" max="5955" width="12.85546875" customWidth="1"/>
    <col min="5956" max="5956" width="10.140625" customWidth="1"/>
    <col min="5957" max="5957" width="12.85546875" customWidth="1"/>
    <col min="5958" max="5958" width="10.140625" customWidth="1"/>
    <col min="5959" max="5959" width="5" customWidth="1"/>
    <col min="5960" max="5960" width="12.85546875" customWidth="1"/>
    <col min="5961" max="5961" width="10.140625" customWidth="1"/>
    <col min="5962" max="5962" width="12.85546875" customWidth="1"/>
    <col min="5963" max="5963" width="10.140625" customWidth="1"/>
    <col min="5964" max="5964" width="12.85546875" customWidth="1"/>
    <col min="5965" max="5965" width="10.140625" customWidth="1"/>
    <col min="5966" max="5966" width="12.85546875" customWidth="1"/>
    <col min="5967" max="5967" width="10.140625" customWidth="1"/>
    <col min="5968" max="5968" width="12.85546875" customWidth="1"/>
    <col min="5969" max="5969" width="10.140625" customWidth="1"/>
    <col min="5970" max="5970" width="12.85546875" customWidth="1"/>
    <col min="5971" max="5971" width="10.140625" customWidth="1"/>
    <col min="5972" max="5972" width="12.85546875" customWidth="1"/>
    <col min="5973" max="5973" width="10.140625" customWidth="1"/>
    <col min="5974" max="5974" width="12.85546875" customWidth="1"/>
    <col min="5975" max="5975" width="10.140625" customWidth="1"/>
    <col min="5976" max="5976" width="12.85546875" customWidth="1"/>
    <col min="5977" max="5977" width="10.140625" customWidth="1"/>
    <col min="5978" max="5978" width="12.85546875" customWidth="1"/>
    <col min="5979" max="5979" width="10.140625" customWidth="1"/>
    <col min="5980" max="5980" width="5" customWidth="1"/>
    <col min="5981" max="5981" width="12.85546875" customWidth="1"/>
    <col min="5982" max="5982" width="10.140625" customWidth="1"/>
    <col min="5983" max="5983" width="12.85546875" customWidth="1"/>
    <col min="5984" max="5984" width="10.140625" customWidth="1"/>
    <col min="5985" max="5985" width="12.85546875" customWidth="1"/>
    <col min="5986" max="5986" width="10.140625" customWidth="1"/>
    <col min="5987" max="5987" width="12.85546875" customWidth="1"/>
    <col min="5988" max="5988" width="10.140625" customWidth="1"/>
    <col min="5989" max="5989" width="5" customWidth="1"/>
    <col min="5990" max="5990" width="12.85546875" customWidth="1"/>
    <col min="5991" max="5991" width="10.140625" customWidth="1"/>
    <col min="5992" max="5992" width="12.85546875" customWidth="1"/>
    <col min="5993" max="5993" width="10.140625" customWidth="1"/>
    <col min="5994" max="5994" width="12.85546875" customWidth="1"/>
    <col min="5995" max="5995" width="10.140625" customWidth="1"/>
    <col min="5996" max="5996" width="5" customWidth="1"/>
    <col min="5997" max="5997" width="12.85546875" customWidth="1"/>
    <col min="5998" max="5998" width="10.140625" customWidth="1"/>
    <col min="5999" max="5999" width="12.85546875" customWidth="1"/>
    <col min="6000" max="6000" width="10.140625" customWidth="1"/>
    <col min="6001" max="6001" width="12.85546875" customWidth="1"/>
    <col min="6002" max="6002" width="10.140625" customWidth="1"/>
    <col min="6003" max="6003" width="12.85546875" customWidth="1"/>
    <col min="6004" max="6004" width="10.140625" customWidth="1"/>
    <col min="6005" max="6005" width="12.85546875" customWidth="1"/>
    <col min="6006" max="6006" width="10.140625" customWidth="1"/>
    <col min="6007" max="6007" width="5" customWidth="1"/>
    <col min="6008" max="6008" width="12.85546875" customWidth="1"/>
    <col min="6009" max="6009" width="10.140625" customWidth="1"/>
    <col min="6010" max="6010" width="12.85546875" customWidth="1"/>
    <col min="6011" max="6011" width="10.140625" customWidth="1"/>
    <col min="6012" max="6012" width="12.85546875" customWidth="1"/>
    <col min="6013" max="6013" width="10.140625" customWidth="1"/>
    <col min="6014" max="6014" width="12.85546875" customWidth="1"/>
    <col min="6015" max="6015" width="10.140625" customWidth="1"/>
    <col min="6016" max="6016" width="12.85546875" customWidth="1"/>
    <col min="6017" max="6017" width="10.140625" customWidth="1"/>
    <col min="6018" max="6018" width="12.85546875" customWidth="1"/>
    <col min="6019" max="6019" width="10.140625" customWidth="1"/>
    <col min="6020" max="6020" width="12.85546875" customWidth="1"/>
    <col min="6021" max="6021" width="10.140625" customWidth="1"/>
    <col min="6022" max="6022" width="12.85546875" customWidth="1"/>
    <col min="6023" max="6023" width="10.140625" customWidth="1"/>
    <col min="6024" max="6024" width="5" customWidth="1"/>
    <col min="6025" max="6025" width="12.85546875" customWidth="1"/>
    <col min="6026" max="6026" width="10.140625" customWidth="1"/>
    <col min="6027" max="6027" width="12.85546875" customWidth="1"/>
    <col min="6028" max="6028" width="10.140625" customWidth="1"/>
    <col min="6029" max="6029" width="12.85546875" customWidth="1"/>
    <col min="6030" max="6030" width="10.140625" customWidth="1"/>
    <col min="6031" max="6031" width="12.85546875" customWidth="1"/>
    <col min="6032" max="6032" width="10.140625" customWidth="1"/>
    <col min="6033" max="6033" width="5" customWidth="1"/>
    <col min="6034" max="6034" width="12.85546875" customWidth="1"/>
    <col min="6035" max="6035" width="10.140625" customWidth="1"/>
    <col min="6036" max="6036" width="12.85546875" customWidth="1"/>
    <col min="6037" max="6037" width="10.140625" customWidth="1"/>
    <col min="6038" max="6038" width="12.85546875" customWidth="1"/>
    <col min="6039" max="6039" width="10.140625" customWidth="1"/>
    <col min="6040" max="6040" width="12.85546875" customWidth="1"/>
    <col min="6041" max="6041" width="10.140625" customWidth="1"/>
    <col min="6042" max="6042" width="5" customWidth="1"/>
    <col min="6043" max="6043" width="12.85546875" customWidth="1"/>
    <col min="6044" max="6044" width="10.140625" customWidth="1"/>
    <col min="6045" max="6045" width="12.85546875" customWidth="1"/>
    <col min="6046" max="6046" width="10.140625" customWidth="1"/>
    <col min="6047" max="6047" width="12.85546875" customWidth="1"/>
    <col min="6048" max="6048" width="10.140625" customWidth="1"/>
    <col min="6049" max="6049" width="12.85546875" customWidth="1"/>
    <col min="6050" max="6050" width="10.140625" customWidth="1"/>
    <col min="6051" max="6051" width="12.85546875" customWidth="1"/>
    <col min="6052" max="6052" width="10.140625" customWidth="1"/>
    <col min="6053" max="6053" width="12.85546875" customWidth="1"/>
    <col min="6054" max="6054" width="10.140625" customWidth="1"/>
    <col min="6055" max="6055" width="12.85546875" customWidth="1"/>
    <col min="6056" max="6056" width="10.140625" customWidth="1"/>
    <col min="6057" max="6057" width="12.85546875" customWidth="1"/>
    <col min="6058" max="6058" width="10.140625" customWidth="1"/>
    <col min="6059" max="6059" width="5" customWidth="1"/>
    <col min="6060" max="6060" width="12.85546875" customWidth="1"/>
    <col min="6061" max="6061" width="10.140625" customWidth="1"/>
    <col min="6062" max="6062" width="12.85546875" customWidth="1"/>
    <col min="6063" max="6063" width="10.140625" customWidth="1"/>
    <col min="6064" max="6064" width="12.85546875" customWidth="1"/>
    <col min="6065" max="6065" width="10.140625" customWidth="1"/>
    <col min="6066" max="6066" width="12.85546875" customWidth="1"/>
    <col min="6067" max="6067" width="10.140625" customWidth="1"/>
    <col min="6068" max="6068" width="12.85546875" customWidth="1"/>
    <col min="6069" max="6069" width="10.140625" customWidth="1"/>
    <col min="6070" max="6070" width="12.85546875" customWidth="1"/>
    <col min="6071" max="6071" width="10.140625" customWidth="1"/>
    <col min="6072" max="6072" width="12.85546875" customWidth="1"/>
    <col min="6073" max="6073" width="10.140625" customWidth="1"/>
    <col min="6074" max="6074" width="12.85546875" customWidth="1"/>
    <col min="6075" max="6075" width="10.140625" customWidth="1"/>
    <col min="6076" max="6076" width="12.85546875" customWidth="1"/>
    <col min="6077" max="6077" width="10.140625" customWidth="1"/>
    <col min="6078" max="6078" width="5" customWidth="1"/>
    <col min="6079" max="6079" width="12.85546875" customWidth="1"/>
    <col min="6080" max="6080" width="10.140625" customWidth="1"/>
    <col min="6081" max="6081" width="12.85546875" customWidth="1"/>
    <col min="6082" max="6082" width="10.140625" customWidth="1"/>
    <col min="6083" max="6083" width="12.85546875" customWidth="1"/>
    <col min="6084" max="6084" width="10.140625" customWidth="1"/>
    <col min="6085" max="6085" width="5" customWidth="1"/>
    <col min="6086" max="6086" width="12.85546875" customWidth="1"/>
    <col min="6087" max="6087" width="10.140625" customWidth="1"/>
    <col min="6088" max="6088" width="5" customWidth="1"/>
    <col min="6089" max="6089" width="12.85546875" customWidth="1"/>
    <col min="6090" max="6090" width="10.140625" customWidth="1"/>
    <col min="6091" max="6091" width="12.85546875" customWidth="1"/>
    <col min="6092" max="6092" width="10.140625" customWidth="1"/>
    <col min="6093" max="6093" width="12.85546875" customWidth="1"/>
    <col min="6094" max="6094" width="10.140625" customWidth="1"/>
    <col min="6095" max="6095" width="12.85546875" customWidth="1"/>
    <col min="6096" max="6096" width="10.140625" customWidth="1"/>
    <col min="6097" max="6097" width="12.85546875" customWidth="1"/>
    <col min="6098" max="6098" width="10.140625" customWidth="1"/>
    <col min="6099" max="6099" width="12.85546875" customWidth="1"/>
    <col min="6100" max="6100" width="10.140625" customWidth="1"/>
    <col min="6101" max="6101" width="12.85546875" customWidth="1"/>
    <col min="6102" max="6102" width="10.140625" customWidth="1"/>
    <col min="6103" max="6103" width="12.85546875" customWidth="1"/>
    <col min="6104" max="6104" width="10.140625" customWidth="1"/>
    <col min="6105" max="6105" width="12.85546875" customWidth="1"/>
    <col min="6106" max="6106" width="10.140625" customWidth="1"/>
    <col min="6107" max="6107" width="12.85546875" customWidth="1"/>
    <col min="6108" max="6108" width="10.140625" customWidth="1"/>
    <col min="6109" max="6109" width="12.85546875" customWidth="1"/>
    <col min="6110" max="6110" width="10.140625" customWidth="1"/>
    <col min="6111" max="6111" width="12.85546875" customWidth="1"/>
    <col min="6112" max="6112" width="10.140625" customWidth="1"/>
    <col min="6113" max="6113" width="12.85546875" customWidth="1"/>
    <col min="6114" max="6114" width="10.140625" customWidth="1"/>
    <col min="6115" max="6115" width="12.85546875" customWidth="1"/>
    <col min="6116" max="6116" width="10.140625" customWidth="1"/>
    <col min="6117" max="6117" width="12.85546875" customWidth="1"/>
    <col min="6118" max="6118" width="10.140625" customWidth="1"/>
    <col min="6119" max="6119" width="12.85546875" customWidth="1"/>
    <col min="6120" max="6120" width="10.140625" customWidth="1"/>
    <col min="6121" max="6121" width="5" customWidth="1"/>
    <col min="6122" max="6122" width="12.85546875" customWidth="1"/>
    <col min="6123" max="6123" width="10.140625" customWidth="1"/>
    <col min="6124" max="6124" width="12.85546875" customWidth="1"/>
    <col min="6125" max="6125" width="10.140625" customWidth="1"/>
    <col min="6126" max="6126" width="12.85546875" customWidth="1"/>
    <col min="6127" max="6127" width="10.140625" customWidth="1"/>
    <col min="6128" max="6128" width="12.85546875" customWidth="1"/>
    <col min="6129" max="6129" width="10.140625" customWidth="1"/>
    <col min="6130" max="6130" width="5" customWidth="1"/>
    <col min="6131" max="6131" width="12.85546875" customWidth="1"/>
    <col min="6132" max="6132" width="10.140625" customWidth="1"/>
    <col min="6133" max="6133" width="12.85546875" customWidth="1"/>
    <col min="6134" max="6134" width="10.140625" customWidth="1"/>
    <col min="6135" max="6135" width="12.85546875" customWidth="1"/>
    <col min="6136" max="6136" width="10.140625" customWidth="1"/>
    <col min="6137" max="6137" width="12.85546875" customWidth="1"/>
    <col min="6138" max="6138" width="10.140625" customWidth="1"/>
    <col min="6139" max="6139" width="5" customWidth="1"/>
    <col min="6140" max="6140" width="12.85546875" customWidth="1"/>
    <col min="6141" max="6141" width="10.140625" customWidth="1"/>
    <col min="6142" max="6142" width="12.85546875" customWidth="1"/>
    <col min="6143" max="6143" width="10.140625" customWidth="1"/>
    <col min="6144" max="6144" width="12.85546875" customWidth="1"/>
    <col min="6145" max="6145" width="10.140625" customWidth="1"/>
    <col min="6146" max="6146" width="12.85546875" customWidth="1"/>
    <col min="6147" max="6147" width="10.140625" customWidth="1"/>
    <col min="6148" max="6148" width="12.85546875" customWidth="1"/>
    <col min="6149" max="6149" width="10.140625" customWidth="1"/>
    <col min="6150" max="6150" width="12.85546875" customWidth="1"/>
    <col min="6151" max="6151" width="10.140625" customWidth="1"/>
    <col min="6152" max="6152" width="5" customWidth="1"/>
    <col min="6153" max="6153" width="12.85546875" customWidth="1"/>
    <col min="6154" max="6154" width="10.140625" customWidth="1"/>
    <col min="6155" max="6155" width="5" customWidth="1"/>
    <col min="6156" max="6156" width="12.85546875" customWidth="1"/>
    <col min="6157" max="6157" width="10.140625" customWidth="1"/>
    <col min="6158" max="6158" width="5" customWidth="1"/>
    <col min="6159" max="6159" width="12.85546875" customWidth="1"/>
    <col min="6160" max="6160" width="10.140625" customWidth="1"/>
    <col min="6161" max="6161" width="12.85546875" customWidth="1"/>
    <col min="6162" max="6162" width="10.140625" customWidth="1"/>
    <col min="6163" max="6163" width="5" customWidth="1"/>
    <col min="6164" max="6164" width="12.85546875" customWidth="1"/>
    <col min="6165" max="6165" width="10.140625" customWidth="1"/>
    <col min="6166" max="6166" width="12.85546875" customWidth="1"/>
    <col min="6167" max="6167" width="10.140625" customWidth="1"/>
    <col min="6168" max="6168" width="12.85546875" customWidth="1"/>
    <col min="6169" max="6169" width="10.140625" customWidth="1"/>
    <col min="6170" max="6170" width="12.85546875" customWidth="1"/>
    <col min="6171" max="6171" width="10.140625" customWidth="1"/>
    <col min="6172" max="6172" width="12.85546875" customWidth="1"/>
    <col min="6173" max="6173" width="10.140625" customWidth="1"/>
    <col min="6174" max="6174" width="5" customWidth="1"/>
    <col min="6175" max="6175" width="12.85546875" customWidth="1"/>
    <col min="6176" max="6176" width="10.140625" customWidth="1"/>
    <col min="6177" max="6177" width="5" customWidth="1"/>
    <col min="6178" max="6178" width="12.85546875" customWidth="1"/>
    <col min="6179" max="6179" width="10.140625" customWidth="1"/>
    <col min="6180" max="6180" width="12.85546875" customWidth="1"/>
    <col min="6181" max="6181" width="10.140625" customWidth="1"/>
    <col min="6182" max="6182" width="12.85546875" customWidth="1"/>
    <col min="6183" max="6183" width="10.140625" customWidth="1"/>
    <col min="6184" max="6184" width="12.85546875" customWidth="1"/>
    <col min="6185" max="6185" width="10.140625" customWidth="1"/>
    <col min="6186" max="6186" width="12.85546875" customWidth="1"/>
    <col min="6187" max="6187" width="10.140625" customWidth="1"/>
    <col min="6188" max="6188" width="12.85546875" customWidth="1"/>
    <col min="6189" max="6189" width="10.140625" customWidth="1"/>
    <col min="6190" max="6190" width="5" customWidth="1"/>
    <col min="6191" max="6191" width="12.85546875" customWidth="1"/>
    <col min="6192" max="6192" width="10.140625" customWidth="1"/>
    <col min="6193" max="6193" width="12.85546875" customWidth="1"/>
    <col min="6194" max="6194" width="10.140625" customWidth="1"/>
    <col min="6195" max="6195" width="12.85546875" customWidth="1"/>
    <col min="6196" max="6196" width="10.140625" customWidth="1"/>
    <col min="6197" max="6197" width="12.85546875" customWidth="1"/>
    <col min="6198" max="6198" width="10.140625" customWidth="1"/>
    <col min="6199" max="6199" width="12.85546875" customWidth="1"/>
    <col min="6200" max="6200" width="10.140625" customWidth="1"/>
    <col min="6201" max="6201" width="12.85546875" customWidth="1"/>
    <col min="6202" max="6202" width="10.140625" customWidth="1"/>
    <col min="6203" max="6203" width="5" customWidth="1"/>
    <col min="6204" max="6204" width="12.85546875" customWidth="1"/>
    <col min="6205" max="6205" width="10.140625" customWidth="1"/>
    <col min="6206" max="6206" width="12.85546875" customWidth="1"/>
    <col min="6207" max="6207" width="10.140625" customWidth="1"/>
    <col min="6208" max="6208" width="5" customWidth="1"/>
    <col min="6209" max="6209" width="12.85546875" customWidth="1"/>
    <col min="6210" max="6210" width="10.140625" customWidth="1"/>
    <col min="6211" max="6211" width="12.85546875" customWidth="1"/>
    <col min="6212" max="6212" width="10.140625" customWidth="1"/>
    <col min="6213" max="6213" width="12.85546875" customWidth="1"/>
    <col min="6214" max="6214" width="10.140625" customWidth="1"/>
    <col min="6215" max="6215" width="12.85546875" customWidth="1"/>
    <col min="6216" max="6216" width="10.140625" customWidth="1"/>
    <col min="6217" max="6217" width="12.85546875" customWidth="1"/>
    <col min="6218" max="6218" width="10.140625" customWidth="1"/>
    <col min="6219" max="6219" width="12.85546875" customWidth="1"/>
    <col min="6220" max="6220" width="10.140625" customWidth="1"/>
    <col min="6221" max="6221" width="12.85546875" customWidth="1"/>
    <col min="6222" max="6222" width="10.140625" customWidth="1"/>
    <col min="6223" max="6223" width="12.85546875" customWidth="1"/>
    <col min="6224" max="6224" width="10.140625" customWidth="1"/>
    <col min="6225" max="6225" width="12.85546875" customWidth="1"/>
    <col min="6226" max="6226" width="10.140625" customWidth="1"/>
    <col min="6227" max="6227" width="12.85546875" customWidth="1"/>
    <col min="6228" max="6228" width="10.140625" customWidth="1"/>
    <col min="6229" max="6229" width="12.85546875" customWidth="1"/>
    <col min="6230" max="6230" width="10.140625" customWidth="1"/>
    <col min="6231" max="6231" width="12.85546875" customWidth="1"/>
    <col min="6232" max="6232" width="10.140625" customWidth="1"/>
    <col min="6233" max="6233" width="12.85546875" customWidth="1"/>
    <col min="6234" max="6234" width="10.140625" customWidth="1"/>
    <col min="6235" max="6235" width="12.85546875" customWidth="1"/>
    <col min="6236" max="6236" width="10.140625" customWidth="1"/>
    <col min="6237" max="6237" width="12.85546875" customWidth="1"/>
    <col min="6238" max="6238" width="10.140625" customWidth="1"/>
    <col min="6239" max="6239" width="12.85546875" customWidth="1"/>
    <col min="6240" max="6240" width="10.140625" customWidth="1"/>
    <col min="6241" max="6241" width="12.85546875" customWidth="1"/>
    <col min="6242" max="6242" width="10.140625" customWidth="1"/>
    <col min="6243" max="6243" width="5" customWidth="1"/>
    <col min="6244" max="6244" width="12.85546875" customWidth="1"/>
    <col min="6245" max="6245" width="10.140625" customWidth="1"/>
    <col min="6246" max="6246" width="12.85546875" customWidth="1"/>
    <col min="6247" max="6247" width="10.140625" customWidth="1"/>
    <col min="6248" max="6248" width="12.85546875" customWidth="1"/>
    <col min="6249" max="6249" width="10.140625" customWidth="1"/>
    <col min="6250" max="6250" width="12.85546875" customWidth="1"/>
    <col min="6251" max="6251" width="10.140625" customWidth="1"/>
    <col min="6252" max="6252" width="12.85546875" customWidth="1"/>
    <col min="6253" max="6253" width="10.140625" customWidth="1"/>
    <col min="6254" max="6254" width="12.85546875" customWidth="1"/>
    <col min="6255" max="6255" width="10.140625" customWidth="1"/>
    <col min="6256" max="6256" width="5" customWidth="1"/>
    <col min="6257" max="6257" width="12.85546875" customWidth="1"/>
    <col min="6258" max="6258" width="10.140625" customWidth="1"/>
    <col min="6259" max="6259" width="12.85546875" customWidth="1"/>
    <col min="6260" max="6260" width="10.140625" customWidth="1"/>
    <col min="6261" max="6261" width="12.85546875" customWidth="1"/>
    <col min="6262" max="6262" width="10.140625" customWidth="1"/>
    <col min="6263" max="6263" width="12.85546875" customWidth="1"/>
    <col min="6264" max="6264" width="10.140625" customWidth="1"/>
    <col min="6265" max="6265" width="12.85546875" customWidth="1"/>
    <col min="6266" max="6266" width="10.140625" customWidth="1"/>
    <col min="6267" max="6267" width="12.85546875" customWidth="1"/>
    <col min="6268" max="6268" width="10.140625" customWidth="1"/>
    <col min="6269" max="6269" width="12.85546875" customWidth="1"/>
    <col min="6270" max="6270" width="10.140625" customWidth="1"/>
    <col min="6271" max="6271" width="12.85546875" customWidth="1"/>
    <col min="6272" max="6272" width="10.140625" customWidth="1"/>
    <col min="6273" max="6273" width="12.85546875" customWidth="1"/>
    <col min="6274" max="6274" width="10.140625" customWidth="1"/>
    <col min="6275" max="6275" width="12.85546875" customWidth="1"/>
    <col min="6276" max="6276" width="10.140625" customWidth="1"/>
    <col min="6277" max="6277" width="12.85546875" customWidth="1"/>
    <col min="6278" max="6278" width="10.140625" customWidth="1"/>
    <col min="6279" max="6279" width="12.85546875" customWidth="1"/>
    <col min="6280" max="6280" width="10.140625" customWidth="1"/>
    <col min="6281" max="6281" width="5" customWidth="1"/>
    <col min="6282" max="6282" width="12.85546875" customWidth="1"/>
    <col min="6283" max="6283" width="10.140625" customWidth="1"/>
    <col min="6284" max="6284" width="12.85546875" customWidth="1"/>
    <col min="6285" max="6285" width="10.140625" customWidth="1"/>
    <col min="6286" max="6286" width="12.85546875" customWidth="1"/>
    <col min="6287" max="6287" width="10.140625" customWidth="1"/>
    <col min="6288" max="6288" width="12.85546875" customWidth="1"/>
    <col min="6289" max="6289" width="10.140625" customWidth="1"/>
    <col min="6290" max="6290" width="12.85546875" customWidth="1"/>
    <col min="6291" max="6291" width="10.140625" customWidth="1"/>
    <col min="6292" max="6292" width="12.85546875" customWidth="1"/>
    <col min="6293" max="6293" width="10.140625" customWidth="1"/>
    <col min="6294" max="6294" width="12.85546875" customWidth="1"/>
    <col min="6295" max="6295" width="10.140625" customWidth="1"/>
    <col min="6296" max="6296" width="12.85546875" customWidth="1"/>
    <col min="6297" max="6297" width="11.140625" customWidth="1"/>
    <col min="6298" max="6298" width="14" customWidth="1"/>
    <col min="6299" max="6299" width="11.140625" customWidth="1"/>
    <col min="6300" max="6300" width="14" customWidth="1"/>
    <col min="6301" max="6301" width="11.140625" customWidth="1"/>
    <col min="6302" max="6302" width="5" customWidth="1"/>
    <col min="6303" max="6303" width="14" customWidth="1"/>
    <col min="6304" max="6304" width="11.140625" customWidth="1"/>
    <col min="6305" max="6305" width="5" customWidth="1"/>
    <col min="6306" max="6306" width="14" customWidth="1"/>
    <col min="6307" max="6307" width="11.140625" customWidth="1"/>
    <col min="6308" max="6308" width="14" customWidth="1"/>
    <col min="6309" max="6309" width="11.140625" customWidth="1"/>
    <col min="6310" max="6310" width="14" customWidth="1"/>
    <col min="6311" max="6311" width="11.140625" customWidth="1"/>
    <col min="6312" max="6312" width="14" customWidth="1"/>
    <col min="6313" max="6313" width="11.140625" customWidth="1"/>
    <col min="6314" max="6314" width="5" customWidth="1"/>
    <col min="6315" max="6315" width="14" customWidth="1"/>
    <col min="6316" max="6316" width="11.140625" customWidth="1"/>
    <col min="6317" max="6317" width="14" customWidth="1"/>
    <col min="6318" max="6318" width="11.140625" customWidth="1"/>
    <col min="6319" max="6319" width="14" customWidth="1"/>
    <col min="6320" max="6320" width="11.140625" customWidth="1"/>
    <col min="6321" max="6321" width="5" customWidth="1"/>
    <col min="6322" max="6322" width="14" customWidth="1"/>
    <col min="6323" max="6323" width="11.140625" customWidth="1"/>
    <col min="6324" max="6324" width="14" customWidth="1"/>
    <col min="6325" max="6325" width="11.140625" customWidth="1"/>
    <col min="6326" max="6326" width="14" customWidth="1"/>
    <col min="6327" max="6327" width="11.140625" customWidth="1"/>
    <col min="6328" max="6328" width="14" customWidth="1"/>
    <col min="6329" max="6329" width="11.140625" customWidth="1"/>
    <col min="6330" max="6330" width="14" customWidth="1"/>
    <col min="6331" max="6331" width="11.140625" customWidth="1"/>
    <col min="6332" max="6332" width="14" customWidth="1"/>
    <col min="6333" max="6333" width="11.140625" customWidth="1"/>
    <col min="6334" max="6334" width="14" customWidth="1"/>
    <col min="6335" max="6335" width="11.140625" customWidth="1"/>
    <col min="6336" max="6336" width="14" customWidth="1"/>
    <col min="6337" max="6337" width="11.140625" customWidth="1"/>
    <col min="6338" max="6338" width="14" customWidth="1"/>
    <col min="6339" max="6339" width="11.140625" customWidth="1"/>
    <col min="6340" max="6340" width="14" customWidth="1"/>
    <col min="6341" max="6341" width="11.140625" customWidth="1"/>
    <col min="6342" max="6342" width="5" customWidth="1"/>
    <col min="6343" max="6343" width="14" customWidth="1"/>
    <col min="6344" max="6344" width="11.140625" customWidth="1"/>
    <col min="6345" max="6345" width="14" customWidth="1"/>
    <col min="6346" max="6346" width="11.140625" customWidth="1"/>
    <col min="6347" max="6347" width="14" customWidth="1"/>
    <col min="6348" max="6348" width="11.140625" customWidth="1"/>
    <col min="6349" max="6349" width="14" customWidth="1"/>
    <col min="6350" max="6350" width="11.140625" customWidth="1"/>
    <col min="6351" max="6351" width="14" customWidth="1"/>
    <col min="6352" max="6352" width="11.140625" customWidth="1"/>
    <col min="6353" max="6353" width="14" customWidth="1"/>
    <col min="6354" max="6354" width="11.140625" customWidth="1"/>
    <col min="6355" max="6355" width="14" customWidth="1"/>
    <col min="6356" max="6356" width="11.140625" customWidth="1"/>
    <col min="6357" max="6357" width="14" customWidth="1"/>
    <col min="6358" max="6358" width="11.140625" customWidth="1"/>
    <col min="6359" max="6359" width="14" customWidth="1"/>
    <col min="6360" max="6360" width="11.140625" customWidth="1"/>
    <col min="6361" max="6361" width="5" customWidth="1"/>
    <col min="6362" max="6362" width="14" customWidth="1"/>
    <col min="6363" max="6363" width="11.140625" customWidth="1"/>
    <col min="6364" max="6364" width="14" customWidth="1"/>
    <col min="6365" max="6365" width="11.140625" customWidth="1"/>
    <col min="6366" max="6366" width="14" customWidth="1"/>
    <col min="6367" max="6367" width="11.140625" customWidth="1"/>
    <col min="6368" max="6368" width="14" customWidth="1"/>
    <col min="6369" max="6369" width="11.140625" customWidth="1"/>
    <col min="6370" max="6370" width="14" customWidth="1"/>
    <col min="6371" max="6371" width="11.140625" customWidth="1"/>
    <col min="6372" max="6372" width="14" customWidth="1"/>
    <col min="6373" max="6373" width="11.140625" customWidth="1"/>
    <col min="6374" max="6374" width="14" customWidth="1"/>
    <col min="6375" max="6375" width="11.140625" customWidth="1"/>
    <col min="6376" max="6376" width="14" customWidth="1"/>
    <col min="6377" max="6377" width="11.140625" customWidth="1"/>
    <col min="6378" max="6378" width="14" customWidth="1"/>
    <col min="6379" max="6379" width="11.140625" customWidth="1"/>
    <col min="6380" max="6380" width="14" customWidth="1"/>
    <col min="6381" max="6381" width="11.140625" customWidth="1"/>
    <col min="6382" max="6382" width="14" customWidth="1"/>
    <col min="6383" max="6383" width="11.140625" customWidth="1"/>
    <col min="6384" max="6384" width="14" customWidth="1"/>
    <col min="6385" max="6385" width="11.140625" customWidth="1"/>
    <col min="6386" max="6386" width="14" customWidth="1"/>
    <col min="6387" max="6387" width="11.140625" customWidth="1"/>
    <col min="6388" max="6388" width="14" customWidth="1"/>
    <col min="6389" max="6389" width="11.140625" customWidth="1"/>
    <col min="6390" max="6390" width="14" customWidth="1"/>
    <col min="6391" max="6391" width="11.140625" customWidth="1"/>
    <col min="6392" max="6392" width="14" customWidth="1"/>
    <col min="6393" max="6393" width="11.140625" customWidth="1"/>
    <col min="6394" max="6394" width="5" customWidth="1"/>
    <col min="6395" max="6395" width="14" customWidth="1"/>
    <col min="6396" max="6396" width="11.140625" customWidth="1"/>
    <col min="6397" max="6397" width="14" customWidth="1"/>
    <col min="6398" max="6398" width="11.140625" customWidth="1"/>
    <col min="6399" max="6399" width="14" customWidth="1"/>
    <col min="6400" max="6400" width="11.140625" customWidth="1"/>
    <col min="6401" max="6401" width="5" customWidth="1"/>
    <col min="6402" max="6402" width="14" customWidth="1"/>
    <col min="6403" max="6403" width="11.140625" customWidth="1"/>
    <col min="6404" max="6404" width="5" customWidth="1"/>
    <col min="6405" max="6405" width="14" customWidth="1"/>
    <col min="6406" max="6406" width="11.140625" customWidth="1"/>
    <col min="6407" max="6407" width="14" customWidth="1"/>
    <col min="6408" max="6408" width="11.140625" customWidth="1"/>
    <col min="6409" max="6409" width="14" customWidth="1"/>
    <col min="6410" max="6410" width="11.140625" customWidth="1"/>
    <col min="6411" max="6411" width="5" customWidth="1"/>
    <col min="6412" max="6412" width="14" customWidth="1"/>
    <col min="6413" max="6413" width="11.140625" customWidth="1"/>
    <col min="6414" max="6414" width="14" customWidth="1"/>
    <col min="6415" max="6415" width="11.140625" customWidth="1"/>
    <col min="6416" max="6416" width="14" customWidth="1"/>
    <col min="6417" max="6417" width="11.140625" customWidth="1"/>
    <col min="6418" max="6418" width="14" customWidth="1"/>
    <col min="6419" max="6419" width="11.140625" customWidth="1"/>
    <col min="6420" max="6420" width="5" customWidth="1"/>
    <col min="6421" max="6421" width="14" customWidth="1"/>
    <col min="6422" max="6422" width="11.140625" customWidth="1"/>
    <col min="6423" max="6423" width="14" customWidth="1"/>
    <col min="6424" max="6424" width="11.140625" customWidth="1"/>
    <col min="6425" max="6425" width="14" customWidth="1"/>
    <col min="6426" max="6426" width="11.140625" customWidth="1"/>
    <col min="6427" max="6427" width="14" customWidth="1"/>
    <col min="6428" max="6428" width="11.140625" customWidth="1"/>
    <col min="6429" max="6429" width="14" customWidth="1"/>
    <col min="6430" max="6430" width="11.140625" customWidth="1"/>
    <col min="6431" max="6431" width="5" customWidth="1"/>
    <col min="6432" max="6432" width="14" customWidth="1"/>
    <col min="6433" max="6433" width="11.140625" customWidth="1"/>
    <col min="6434" max="6434" width="14" customWidth="1"/>
    <col min="6435" max="6435" width="11.140625" customWidth="1"/>
    <col min="6436" max="6436" width="14" customWidth="1"/>
    <col min="6437" max="6437" width="11.140625" customWidth="1"/>
    <col min="6438" max="6438" width="14" customWidth="1"/>
    <col min="6439" max="6439" width="11.140625" customWidth="1"/>
    <col min="6440" max="6440" width="14" customWidth="1"/>
    <col min="6441" max="6441" width="11.140625" customWidth="1"/>
    <col min="6442" max="6442" width="14" customWidth="1"/>
    <col min="6443" max="6443" width="11.140625" customWidth="1"/>
    <col min="6444" max="6444" width="5" customWidth="1"/>
    <col min="6445" max="6445" width="14" customWidth="1"/>
    <col min="6446" max="6446" width="11.140625" customWidth="1"/>
    <col min="6447" max="6447" width="5" customWidth="1"/>
    <col min="6448" max="6448" width="14" customWidth="1"/>
    <col min="6449" max="6449" width="11.140625" customWidth="1"/>
    <col min="6450" max="6450" width="5" customWidth="1"/>
    <col min="6451" max="6451" width="14" customWidth="1"/>
    <col min="6452" max="6452" width="11.140625" customWidth="1"/>
    <col min="6453" max="6453" width="14" customWidth="1"/>
    <col min="6454" max="6454" width="11.140625" customWidth="1"/>
    <col min="6455" max="6455" width="14" bestFit="1" customWidth="1"/>
    <col min="6456" max="6456" width="11.140625" bestFit="1" customWidth="1"/>
    <col min="6457" max="6457" width="5" customWidth="1"/>
    <col min="6458" max="6458" width="14" bestFit="1" customWidth="1"/>
    <col min="6459" max="6459" width="11.140625" bestFit="1" customWidth="1"/>
    <col min="6460" max="6460" width="14" bestFit="1" customWidth="1"/>
    <col min="6461" max="6461" width="11.140625" bestFit="1" customWidth="1"/>
    <col min="6462" max="6462" width="14" bestFit="1" customWidth="1"/>
    <col min="6463" max="6463" width="11.140625" bestFit="1" customWidth="1"/>
    <col min="6464" max="6464" width="14" bestFit="1" customWidth="1"/>
    <col min="6465" max="6465" width="11.140625" bestFit="1" customWidth="1"/>
    <col min="6466" max="6466" width="14" bestFit="1" customWidth="1"/>
    <col min="6467" max="6467" width="11.140625" bestFit="1" customWidth="1"/>
    <col min="6468" max="6468" width="14" bestFit="1" customWidth="1"/>
    <col min="6469" max="6469" width="11.140625" bestFit="1" customWidth="1"/>
    <col min="6470" max="6470" width="14" bestFit="1" customWidth="1"/>
    <col min="6471" max="6471" width="11.140625" bestFit="1" customWidth="1"/>
    <col min="6472" max="6472" width="14" bestFit="1" customWidth="1"/>
    <col min="6473" max="6473" width="11.140625" bestFit="1" customWidth="1"/>
    <col min="6474" max="6474" width="14" bestFit="1" customWidth="1"/>
    <col min="6475" max="6475" width="11.140625" bestFit="1" customWidth="1"/>
    <col min="6476" max="6476" width="14" bestFit="1" customWidth="1"/>
    <col min="6477" max="6477" width="11.140625" bestFit="1" customWidth="1"/>
    <col min="6478" max="6478" width="14" bestFit="1" customWidth="1"/>
    <col min="6479" max="6479" width="11.140625" bestFit="1" customWidth="1"/>
    <col min="6480" max="6480" width="14" bestFit="1" customWidth="1"/>
    <col min="6481" max="6481" width="11.140625" bestFit="1" customWidth="1"/>
    <col min="6482" max="6482" width="14" bestFit="1" customWidth="1"/>
    <col min="6483" max="6483" width="11.140625" bestFit="1" customWidth="1"/>
    <col min="6484" max="6484" width="5" customWidth="1"/>
    <col min="6485" max="6485" width="14" bestFit="1" customWidth="1"/>
    <col min="6486" max="6486" width="11.140625" bestFit="1" customWidth="1"/>
    <col min="6487" max="6487" width="14" bestFit="1" customWidth="1"/>
    <col min="6488" max="6488" width="11.140625" bestFit="1" customWidth="1"/>
    <col min="6489" max="6489" width="14" bestFit="1" customWidth="1"/>
    <col min="6490" max="6490" width="11.140625" bestFit="1" customWidth="1"/>
    <col min="6491" max="6491" width="14" bestFit="1" customWidth="1"/>
    <col min="6492" max="6492" width="11.140625" bestFit="1" customWidth="1"/>
    <col min="6493" max="6493" width="14" bestFit="1" customWidth="1"/>
    <col min="6494" max="6494" width="11.140625" bestFit="1" customWidth="1"/>
    <col min="6495" max="6495" width="14" bestFit="1" customWidth="1"/>
    <col min="6496" max="6496" width="11.140625" bestFit="1" customWidth="1"/>
    <col min="6497" max="6497" width="5" customWidth="1"/>
    <col min="6498" max="6498" width="14" bestFit="1" customWidth="1"/>
    <col min="6499" max="6499" width="11.140625" bestFit="1" customWidth="1"/>
    <col min="6500" max="6500" width="14" bestFit="1" customWidth="1"/>
    <col min="6501" max="6501" width="11.140625" bestFit="1" customWidth="1"/>
    <col min="6502" max="6502" width="14" bestFit="1" customWidth="1"/>
    <col min="6503" max="6503" width="11.140625" bestFit="1" customWidth="1"/>
    <col min="6504" max="6504" width="14" bestFit="1" customWidth="1"/>
    <col min="6505" max="6505" width="11.140625" bestFit="1" customWidth="1"/>
    <col min="6506" max="6506" width="14" bestFit="1" customWidth="1"/>
    <col min="6507" max="6507" width="11.140625" bestFit="1" customWidth="1"/>
    <col min="6508" max="6508" width="14" bestFit="1" customWidth="1"/>
    <col min="6509" max="6509" width="11.140625" bestFit="1" customWidth="1"/>
    <col min="6510" max="6510" width="14" bestFit="1" customWidth="1"/>
    <col min="6511" max="6511" width="11.140625" bestFit="1" customWidth="1"/>
    <col min="6512" max="6512" width="14" bestFit="1" customWidth="1"/>
    <col min="6513" max="6513" width="11.140625" bestFit="1" customWidth="1"/>
    <col min="6514" max="6514" width="14" bestFit="1" customWidth="1"/>
    <col min="6515" max="6515" width="11.140625" bestFit="1" customWidth="1"/>
    <col min="6516" max="6516" width="14" bestFit="1" customWidth="1"/>
    <col min="6517" max="6517" width="11.140625" bestFit="1" customWidth="1"/>
    <col min="6518" max="6518" width="14" bestFit="1" customWidth="1"/>
    <col min="6519" max="6519" width="11.140625" bestFit="1" customWidth="1"/>
    <col min="6520" max="6520" width="5" customWidth="1"/>
    <col min="6521" max="6521" width="14" bestFit="1" customWidth="1"/>
    <col min="6522" max="6522" width="11.140625" bestFit="1" customWidth="1"/>
    <col min="6523" max="6523" width="14" bestFit="1" customWidth="1"/>
    <col min="6524" max="6524" width="11.140625" bestFit="1" customWidth="1"/>
    <col min="6525" max="6525" width="14" bestFit="1" customWidth="1"/>
    <col min="6526" max="6526" width="11.140625" bestFit="1" customWidth="1"/>
    <col min="6527" max="6527" width="5" customWidth="1"/>
    <col min="6528" max="6528" width="14" bestFit="1" customWidth="1"/>
    <col min="6529" max="6529" width="11.140625" bestFit="1" customWidth="1"/>
    <col min="6530" max="6530" width="14" bestFit="1" customWidth="1"/>
    <col min="6531" max="6531" width="11.140625" bestFit="1" customWidth="1"/>
    <col min="6532" max="6532" width="14" bestFit="1" customWidth="1"/>
    <col min="6533" max="6533" width="11.140625" bestFit="1" customWidth="1"/>
    <col min="6534" max="6534" width="14" bestFit="1" customWidth="1"/>
    <col min="6535" max="6535" width="11.140625" bestFit="1" customWidth="1"/>
    <col min="6536" max="6536" width="14" bestFit="1" customWidth="1"/>
    <col min="6537" max="6537" width="11.140625" bestFit="1" customWidth="1"/>
    <col min="6538" max="6538" width="5" customWidth="1"/>
    <col min="6539" max="6539" width="14" bestFit="1" customWidth="1"/>
    <col min="6540" max="6540" width="11.140625" bestFit="1" customWidth="1"/>
    <col min="6541" max="6541" width="14" bestFit="1" customWidth="1"/>
    <col min="6542" max="6542" width="11.140625" bestFit="1" customWidth="1"/>
    <col min="6543" max="6543" width="14" bestFit="1" customWidth="1"/>
    <col min="6544" max="6544" width="11.140625" bestFit="1" customWidth="1"/>
    <col min="6545" max="6545" width="5" customWidth="1"/>
    <col min="6546" max="6546" width="14" bestFit="1" customWidth="1"/>
    <col min="6547" max="6547" width="11.140625" bestFit="1" customWidth="1"/>
    <col min="6548" max="6548" width="5" customWidth="1"/>
    <col min="6549" max="6549" width="14" bestFit="1" customWidth="1"/>
    <col min="6550" max="6550" width="11.140625" bestFit="1" customWidth="1"/>
    <col min="6551" max="6551" width="14" bestFit="1" customWidth="1"/>
    <col min="6552" max="6552" width="11.140625" bestFit="1" customWidth="1"/>
    <col min="6553" max="6553" width="14" bestFit="1" customWidth="1"/>
    <col min="6554" max="6554" width="11.140625" bestFit="1" customWidth="1"/>
    <col min="6555" max="6555" width="14" bestFit="1" customWidth="1"/>
    <col min="6556" max="6556" width="11.140625" bestFit="1" customWidth="1"/>
    <col min="6557" max="6557" width="5" customWidth="1"/>
    <col min="6558" max="6558" width="14" bestFit="1" customWidth="1"/>
    <col min="6559" max="6559" width="11.140625" bestFit="1" customWidth="1"/>
    <col min="6560" max="6560" width="14" bestFit="1" customWidth="1"/>
    <col min="6561" max="6561" width="11.140625" bestFit="1" customWidth="1"/>
    <col min="6562" max="6562" width="5" customWidth="1"/>
    <col min="6563" max="6563" width="14" bestFit="1" customWidth="1"/>
    <col min="6564" max="6564" width="11.140625" bestFit="1" customWidth="1"/>
    <col min="6565" max="6565" width="14" bestFit="1" customWidth="1"/>
    <col min="6566" max="6566" width="11.140625" bestFit="1" customWidth="1"/>
    <col min="6567" max="6567" width="14" bestFit="1" customWidth="1"/>
    <col min="6568" max="6568" width="11.140625" bestFit="1" customWidth="1"/>
    <col min="6569" max="6569" width="14" bestFit="1" customWidth="1"/>
    <col min="6570" max="6570" width="11.140625" bestFit="1" customWidth="1"/>
    <col min="6571" max="6571" width="5" customWidth="1"/>
    <col min="6572" max="6572" width="14" bestFit="1" customWidth="1"/>
    <col min="6573" max="6573" width="11.140625" bestFit="1" customWidth="1"/>
    <col min="6574" max="6574" width="14" bestFit="1" customWidth="1"/>
    <col min="6575" max="6575" width="11.140625" bestFit="1" customWidth="1"/>
    <col min="6576" max="6576" width="14" bestFit="1" customWidth="1"/>
    <col min="6577" max="6577" width="11.140625" bestFit="1" customWidth="1"/>
    <col min="6578" max="6578" width="14" bestFit="1" customWidth="1"/>
    <col min="6579" max="6579" width="11.140625" bestFit="1" customWidth="1"/>
    <col min="6580" max="6580" width="14" bestFit="1" customWidth="1"/>
    <col min="6581" max="6581" width="11.140625" bestFit="1" customWidth="1"/>
    <col min="6582" max="6582" width="14" bestFit="1" customWidth="1"/>
    <col min="6583" max="6583" width="11.140625" bestFit="1" customWidth="1"/>
    <col min="6584" max="6584" width="14" bestFit="1" customWidth="1"/>
    <col min="6585" max="6585" width="11.140625" bestFit="1" customWidth="1"/>
    <col min="6586" max="6586" width="14" bestFit="1" customWidth="1"/>
    <col min="6587" max="6587" width="11.140625" bestFit="1" customWidth="1"/>
    <col min="6588" max="6588" width="5" customWidth="1"/>
    <col min="6589" max="6589" width="14" bestFit="1" customWidth="1"/>
    <col min="6590" max="6590" width="11.140625" bestFit="1" customWidth="1"/>
    <col min="6591" max="6591" width="14" bestFit="1" customWidth="1"/>
    <col min="6592" max="6592" width="11.140625" bestFit="1" customWidth="1"/>
    <col min="6593" max="6593" width="14" bestFit="1" customWidth="1"/>
    <col min="6594" max="6594" width="11.140625" bestFit="1" customWidth="1"/>
    <col min="6595" max="6595" width="14" bestFit="1" customWidth="1"/>
    <col min="6596" max="6596" width="11.140625" bestFit="1" customWidth="1"/>
    <col min="6597" max="6597" width="14" bestFit="1" customWidth="1"/>
    <col min="6598" max="6598" width="11.140625" bestFit="1" customWidth="1"/>
    <col min="6599" max="6599" width="14" bestFit="1" customWidth="1"/>
    <col min="6600" max="6600" width="11.140625" bestFit="1" customWidth="1"/>
    <col min="6601" max="6601" width="14" bestFit="1" customWidth="1"/>
    <col min="6602" max="6602" width="11.140625" bestFit="1" customWidth="1"/>
    <col min="6603" max="6603" width="5" customWidth="1"/>
    <col min="6604" max="6604" width="14" bestFit="1" customWidth="1"/>
    <col min="6605" max="6605" width="11.140625" bestFit="1" customWidth="1"/>
    <col min="6606" max="6606" width="14" bestFit="1" customWidth="1"/>
    <col min="6607" max="6607" width="11.140625" bestFit="1" customWidth="1"/>
    <col min="6608" max="6608" width="5" customWidth="1"/>
    <col min="6609" max="6609" width="14" bestFit="1" customWidth="1"/>
    <col min="6610" max="6610" width="11.140625" bestFit="1" customWidth="1"/>
    <col min="6611" max="6611" width="14" bestFit="1" customWidth="1"/>
    <col min="6612" max="6612" width="11.140625" bestFit="1" customWidth="1"/>
    <col min="6613" max="6613" width="14" bestFit="1" customWidth="1"/>
    <col min="6614" max="6614" width="11.140625" bestFit="1" customWidth="1"/>
    <col min="6615" max="6615" width="14" bestFit="1" customWidth="1"/>
    <col min="6616" max="6616" width="11.140625" bestFit="1" customWidth="1"/>
    <col min="6617" max="6617" width="14" bestFit="1" customWidth="1"/>
    <col min="6618" max="6618" width="11.140625" bestFit="1" customWidth="1"/>
    <col min="6619" max="6619" width="14" bestFit="1" customWidth="1"/>
    <col min="6620" max="6620" width="11.140625" bestFit="1" customWidth="1"/>
    <col min="6621" max="6621" width="5" customWidth="1"/>
    <col min="6622" max="6622" width="14" bestFit="1" customWidth="1"/>
    <col min="6623" max="6623" width="11.140625" bestFit="1" customWidth="1"/>
    <col min="6624" max="6624" width="14" bestFit="1" customWidth="1"/>
    <col min="6625" max="6625" width="11.140625" bestFit="1" customWidth="1"/>
    <col min="6626" max="6626" width="14" bestFit="1" customWidth="1"/>
    <col min="6627" max="6627" width="11.140625" bestFit="1" customWidth="1"/>
    <col min="6628" max="6628" width="14" bestFit="1" customWidth="1"/>
    <col min="6629" max="6629" width="11.140625" bestFit="1" customWidth="1"/>
    <col min="6630" max="6630" width="14" bestFit="1" customWidth="1"/>
    <col min="6631" max="6631" width="11.140625" bestFit="1" customWidth="1"/>
    <col min="6632" max="6632" width="14" bestFit="1" customWidth="1"/>
    <col min="6633" max="6633" width="11.140625" bestFit="1" customWidth="1"/>
    <col min="6634" max="6634" width="14" bestFit="1" customWidth="1"/>
    <col min="6635" max="6635" width="11.140625" bestFit="1" customWidth="1"/>
    <col min="6636" max="6636" width="5" customWidth="1"/>
    <col min="6637" max="6637" width="14" bestFit="1" customWidth="1"/>
    <col min="6638" max="6638" width="11.140625" bestFit="1" customWidth="1"/>
    <col min="6639" max="6639" width="14" bestFit="1" customWidth="1"/>
    <col min="6640" max="6640" width="11.140625" bestFit="1" customWidth="1"/>
    <col min="6641" max="6641" width="14" bestFit="1" customWidth="1"/>
    <col min="6642" max="6642" width="11.140625" bestFit="1" customWidth="1"/>
    <col min="6643" max="6643" width="5" customWidth="1"/>
    <col min="6644" max="6644" width="14" bestFit="1" customWidth="1"/>
    <col min="6645" max="6645" width="11.140625" bestFit="1" customWidth="1"/>
    <col min="6646" max="6646" width="14" bestFit="1" customWidth="1"/>
    <col min="6647" max="6647" width="11.140625" bestFit="1" customWidth="1"/>
    <col min="6648" max="6648" width="14" bestFit="1" customWidth="1"/>
    <col min="6649" max="6649" width="11.140625" bestFit="1" customWidth="1"/>
    <col min="6650" max="6650" width="5" customWidth="1"/>
    <col min="6651" max="6651" width="14" bestFit="1" customWidth="1"/>
    <col min="6652" max="6652" width="11.140625" bestFit="1" customWidth="1"/>
    <col min="6653" max="6653" width="14" bestFit="1" customWidth="1"/>
    <col min="6654" max="6654" width="11.140625" bestFit="1" customWidth="1"/>
    <col min="6655" max="6655" width="5" customWidth="1"/>
    <col min="6656" max="6656" width="14" bestFit="1" customWidth="1"/>
    <col min="6657" max="6657" width="11.140625" bestFit="1" customWidth="1"/>
    <col min="6658" max="6658" width="14" bestFit="1" customWidth="1"/>
    <col min="6659" max="6659" width="11.140625" bestFit="1" customWidth="1"/>
    <col min="6660" max="6660" width="5" customWidth="1"/>
    <col min="6661" max="6661" width="14" bestFit="1" customWidth="1"/>
    <col min="6662" max="6662" width="11.140625" bestFit="1" customWidth="1"/>
    <col min="6663" max="6663" width="14" bestFit="1" customWidth="1"/>
    <col min="6664" max="6664" width="11.140625" bestFit="1" customWidth="1"/>
    <col min="6665" max="6665" width="14" bestFit="1" customWidth="1"/>
    <col min="6666" max="6666" width="11.140625" bestFit="1" customWidth="1"/>
    <col min="6667" max="6667" width="14" bestFit="1" customWidth="1"/>
    <col min="6668" max="6668" width="11.140625" bestFit="1" customWidth="1"/>
    <col min="6669" max="6669" width="5" customWidth="1"/>
    <col min="6670" max="6670" width="14" bestFit="1" customWidth="1"/>
    <col min="6671" max="6671" width="11.140625" bestFit="1" customWidth="1"/>
    <col min="6672" max="6672" width="5" customWidth="1"/>
    <col min="6673" max="6673" width="14" bestFit="1" customWidth="1"/>
    <col min="6674" max="6674" width="11.140625" bestFit="1" customWidth="1"/>
    <col min="6675" max="6675" width="14" bestFit="1" customWidth="1"/>
    <col min="6676" max="6676" width="11.140625" bestFit="1" customWidth="1"/>
    <col min="6677" max="6677" width="14" bestFit="1" customWidth="1"/>
    <col min="6678" max="6678" width="11.140625" bestFit="1" customWidth="1"/>
    <col min="6679" max="6679" width="14" bestFit="1" customWidth="1"/>
    <col min="6680" max="6680" width="11.140625" bestFit="1" customWidth="1"/>
    <col min="6681" max="6681" width="14" bestFit="1" customWidth="1"/>
    <col min="6682" max="6682" width="11.140625" bestFit="1" customWidth="1"/>
    <col min="6683" max="6683" width="14" bestFit="1" customWidth="1"/>
    <col min="6684" max="6684" width="11.140625" bestFit="1" customWidth="1"/>
    <col min="6685" max="6685" width="14" bestFit="1" customWidth="1"/>
    <col min="6686" max="6686" width="11.140625" bestFit="1" customWidth="1"/>
    <col min="6687" max="6687" width="14" bestFit="1" customWidth="1"/>
    <col min="6688" max="6688" width="11.140625" bestFit="1" customWidth="1"/>
    <col min="6689" max="6689" width="5" customWidth="1"/>
    <col min="6690" max="6690" width="14" bestFit="1" customWidth="1"/>
    <col min="6691" max="6691" width="11.140625" bestFit="1" customWidth="1"/>
    <col min="6692" max="6692" width="14" bestFit="1" customWidth="1"/>
    <col min="6693" max="6693" width="11.140625" bestFit="1" customWidth="1"/>
    <col min="6694" max="6694" width="14" bestFit="1" customWidth="1"/>
    <col min="6695" max="6695" width="11.140625" bestFit="1" customWidth="1"/>
    <col min="6696" max="6696" width="5" customWidth="1"/>
    <col min="6697" max="6697" width="14" bestFit="1" customWidth="1"/>
    <col min="6698" max="6698" width="11.140625" bestFit="1" customWidth="1"/>
    <col min="6699" max="6699" width="14" bestFit="1" customWidth="1"/>
    <col min="6700" max="6700" width="11.140625" bestFit="1" customWidth="1"/>
    <col min="6701" max="6701" width="5" customWidth="1"/>
    <col min="6702" max="6702" width="14" bestFit="1" customWidth="1"/>
    <col min="6703" max="6703" width="11.140625" bestFit="1" customWidth="1"/>
    <col min="6704" max="6704" width="14" bestFit="1" customWidth="1"/>
    <col min="6705" max="6705" width="11.140625" bestFit="1" customWidth="1"/>
    <col min="6706" max="6706" width="14" bestFit="1" customWidth="1"/>
    <col min="6707" max="6707" width="11.140625" bestFit="1" customWidth="1"/>
    <col min="6708" max="6708" width="14" bestFit="1" customWidth="1"/>
    <col min="6709" max="6709" width="11.140625" bestFit="1" customWidth="1"/>
    <col min="6710" max="6710" width="14" bestFit="1" customWidth="1"/>
    <col min="6711" max="6711" width="11.140625" bestFit="1" customWidth="1"/>
    <col min="6712" max="6712" width="5" customWidth="1"/>
    <col min="6713" max="6713" width="14" bestFit="1" customWidth="1"/>
    <col min="6714" max="6714" width="11.140625" bestFit="1" customWidth="1"/>
    <col min="6715" max="6715" width="5" customWidth="1"/>
    <col min="6716" max="6716" width="14" bestFit="1" customWidth="1"/>
    <col min="6717" max="6717" width="11.140625" bestFit="1" customWidth="1"/>
    <col min="6718" max="6718" width="5" customWidth="1"/>
    <col min="6719" max="6719" width="14" bestFit="1" customWidth="1"/>
    <col min="6720" max="6720" width="11.140625" bestFit="1" customWidth="1"/>
    <col min="6721" max="6721" width="14" bestFit="1" customWidth="1"/>
    <col min="6722" max="6722" width="11.140625" bestFit="1" customWidth="1"/>
    <col min="6723" max="6723" width="14" bestFit="1" customWidth="1"/>
    <col min="6724" max="6724" width="11.140625" bestFit="1" customWidth="1"/>
    <col min="6725" max="6725" width="5" customWidth="1"/>
    <col min="6726" max="6726" width="14" bestFit="1" customWidth="1"/>
    <col min="6727" max="6727" width="11.140625" bestFit="1" customWidth="1"/>
    <col min="6728" max="6728" width="14" bestFit="1" customWidth="1"/>
    <col min="6729" max="6729" width="11.140625" bestFit="1" customWidth="1"/>
    <col min="6730" max="6730" width="5" customWidth="1"/>
    <col min="6731" max="6731" width="14" bestFit="1" customWidth="1"/>
    <col min="6732" max="6732" width="11.140625" bestFit="1" customWidth="1"/>
    <col min="6733" max="6733" width="14" bestFit="1" customWidth="1"/>
    <col min="6734" max="6734" width="11.140625" bestFit="1" customWidth="1"/>
    <col min="6735" max="6735" width="14" bestFit="1" customWidth="1"/>
    <col min="6736" max="6736" width="11.140625" bestFit="1" customWidth="1"/>
    <col min="6737" max="6737" width="14" bestFit="1" customWidth="1"/>
    <col min="6738" max="6738" width="11.140625" bestFit="1" customWidth="1"/>
    <col min="6739" max="6739" width="14" bestFit="1" customWidth="1"/>
    <col min="6740" max="6740" width="11.140625" bestFit="1" customWidth="1"/>
    <col min="6741" max="6741" width="14" bestFit="1" customWidth="1"/>
    <col min="6742" max="6742" width="11.140625" bestFit="1" customWidth="1"/>
    <col min="6743" max="6743" width="14" bestFit="1" customWidth="1"/>
    <col min="6744" max="6744" width="11.140625" bestFit="1" customWidth="1"/>
    <col min="6745" max="6745" width="5" customWidth="1"/>
    <col min="6746" max="6746" width="14" bestFit="1" customWidth="1"/>
    <col min="6747" max="6747" width="11.140625" bestFit="1" customWidth="1"/>
    <col min="6748" max="6748" width="5" customWidth="1"/>
    <col min="6749" max="6749" width="14" bestFit="1" customWidth="1"/>
    <col min="6750" max="6750" width="11.140625" bestFit="1" customWidth="1"/>
    <col min="6751" max="6751" width="5" customWidth="1"/>
    <col min="6752" max="6752" width="14" bestFit="1" customWidth="1"/>
    <col min="6753" max="6753" width="11.140625" bestFit="1" customWidth="1"/>
    <col min="6754" max="6754" width="14" bestFit="1" customWidth="1"/>
    <col min="6755" max="6755" width="11.140625" bestFit="1" customWidth="1"/>
    <col min="6756" max="6756" width="14" bestFit="1" customWidth="1"/>
    <col min="6757" max="6757" width="11.140625" bestFit="1" customWidth="1"/>
    <col min="6758" max="6758" width="5" customWidth="1"/>
    <col min="6759" max="6759" width="14" bestFit="1" customWidth="1"/>
    <col min="6760" max="6760" width="11.140625" bestFit="1" customWidth="1"/>
    <col min="6761" max="6761" width="14" bestFit="1" customWidth="1"/>
    <col min="6762" max="6762" width="11.140625" bestFit="1" customWidth="1"/>
    <col min="6763" max="6763" width="14" bestFit="1" customWidth="1"/>
    <col min="6764" max="6764" width="11.140625" bestFit="1" customWidth="1"/>
    <col min="6765" max="6765" width="14" bestFit="1" customWidth="1"/>
    <col min="6766" max="6766" width="11.140625" bestFit="1" customWidth="1"/>
    <col min="6767" max="6767" width="5" customWidth="1"/>
    <col min="6768" max="6768" width="14" bestFit="1" customWidth="1"/>
    <col min="6769" max="6769" width="11.140625" bestFit="1" customWidth="1"/>
    <col min="6770" max="6770" width="5" customWidth="1"/>
    <col min="6771" max="6771" width="14" bestFit="1" customWidth="1"/>
    <col min="6772" max="6772" width="11.140625" bestFit="1" customWidth="1"/>
    <col min="6773" max="6773" width="14" bestFit="1" customWidth="1"/>
    <col min="6774" max="6774" width="11.140625" bestFit="1" customWidth="1"/>
    <col min="6775" max="6775" width="14" bestFit="1" customWidth="1"/>
    <col min="6776" max="6776" width="11.140625" bestFit="1" customWidth="1"/>
    <col min="6777" max="6777" width="5" customWidth="1"/>
    <col min="6778" max="6778" width="14" bestFit="1" customWidth="1"/>
    <col min="6779" max="6779" width="11.140625" bestFit="1" customWidth="1"/>
    <col min="6780" max="6780" width="14" bestFit="1" customWidth="1"/>
    <col min="6781" max="6781" width="11.140625" bestFit="1" customWidth="1"/>
    <col min="6782" max="6782" width="14" bestFit="1" customWidth="1"/>
    <col min="6783" max="6783" width="11.140625" bestFit="1" customWidth="1"/>
    <col min="6784" max="6784" width="14" bestFit="1" customWidth="1"/>
    <col min="6785" max="6785" width="11.140625" bestFit="1" customWidth="1"/>
    <col min="6786" max="6786" width="14" bestFit="1" customWidth="1"/>
    <col min="6787" max="6787" width="11.140625" bestFit="1" customWidth="1"/>
    <col min="6788" max="6788" width="14" bestFit="1" customWidth="1"/>
    <col min="6789" max="6789" width="11.140625" bestFit="1" customWidth="1"/>
    <col min="6790" max="6790" width="14" bestFit="1" customWidth="1"/>
    <col min="6791" max="6791" width="11.140625" bestFit="1" customWidth="1"/>
    <col min="6792" max="6792" width="14" bestFit="1" customWidth="1"/>
    <col min="6793" max="6793" width="11.140625" bestFit="1" customWidth="1"/>
    <col min="6794" max="6794" width="5" customWidth="1"/>
    <col min="6795" max="6795" width="14" bestFit="1" customWidth="1"/>
    <col min="6796" max="6796" width="11.140625" bestFit="1" customWidth="1"/>
    <col min="6797" max="6797" width="14" bestFit="1" customWidth="1"/>
    <col min="6798" max="6798" width="11.140625" bestFit="1" customWidth="1"/>
    <col min="6799" max="6799" width="14" bestFit="1" customWidth="1"/>
    <col min="6800" max="6800" width="11.140625" bestFit="1" customWidth="1"/>
    <col min="6801" max="6801" width="14" bestFit="1" customWidth="1"/>
    <col min="6802" max="6802" width="11.140625" bestFit="1" customWidth="1"/>
    <col min="6803" max="6803" width="14" bestFit="1" customWidth="1"/>
    <col min="6804" max="6804" width="11.140625" bestFit="1" customWidth="1"/>
    <col min="6805" max="6805" width="5" customWidth="1"/>
    <col min="6806" max="6806" width="14" bestFit="1" customWidth="1"/>
    <col min="6807" max="6807" width="11.140625" bestFit="1" customWidth="1"/>
    <col min="6808" max="6808" width="14" bestFit="1" customWidth="1"/>
    <col min="6809" max="6809" width="11.140625" bestFit="1" customWidth="1"/>
    <col min="6810" max="6810" width="14" bestFit="1" customWidth="1"/>
    <col min="6811" max="6811" width="11.140625" bestFit="1" customWidth="1"/>
    <col min="6812" max="6812" width="14" bestFit="1" customWidth="1"/>
    <col min="6813" max="6813" width="11.140625" bestFit="1" customWidth="1"/>
    <col min="6814" max="6814" width="14" bestFit="1" customWidth="1"/>
    <col min="6815" max="6815" width="11.140625" bestFit="1" customWidth="1"/>
    <col min="6816" max="6816" width="14" bestFit="1" customWidth="1"/>
    <col min="6817" max="6817" width="11.140625" bestFit="1" customWidth="1"/>
    <col min="6818" max="6818" width="14" bestFit="1" customWidth="1"/>
    <col min="6819" max="6819" width="11.140625" bestFit="1" customWidth="1"/>
    <col min="6820" max="6820" width="14" bestFit="1" customWidth="1"/>
    <col min="6821" max="6821" width="11.140625" bestFit="1" customWidth="1"/>
    <col min="6822" max="6822" width="14" bestFit="1" customWidth="1"/>
    <col min="6823" max="6823" width="11.140625" bestFit="1" customWidth="1"/>
    <col min="6824" max="6824" width="5" customWidth="1"/>
    <col min="6825" max="6825" width="14" bestFit="1" customWidth="1"/>
    <col min="6826" max="6826" width="11.140625" bestFit="1" customWidth="1"/>
    <col min="6827" max="6827" width="5" customWidth="1"/>
    <col min="6828" max="6828" width="14" bestFit="1" customWidth="1"/>
    <col min="6829" max="6829" width="11.140625" bestFit="1" customWidth="1"/>
    <col min="6830" max="6830" width="14" bestFit="1" customWidth="1"/>
    <col min="6831" max="6831" width="11.140625" bestFit="1" customWidth="1"/>
    <col min="6832" max="6832" width="5" customWidth="1"/>
    <col min="6833" max="6833" width="14" bestFit="1" customWidth="1"/>
    <col min="6834" max="6834" width="11.140625" bestFit="1" customWidth="1"/>
    <col min="6835" max="6835" width="5" customWidth="1"/>
    <col min="6836" max="6836" width="14" bestFit="1" customWidth="1"/>
    <col min="6837" max="6837" width="11.140625" bestFit="1" customWidth="1"/>
    <col min="6838" max="6838" width="14" bestFit="1" customWidth="1"/>
    <col min="6839" max="6839" width="11.140625" bestFit="1" customWidth="1"/>
    <col min="6840" max="6840" width="5" customWidth="1"/>
    <col min="6841" max="6841" width="14" bestFit="1" customWidth="1"/>
    <col min="6842" max="6842" width="11.140625" bestFit="1" customWidth="1"/>
    <col min="6843" max="6843" width="14" bestFit="1" customWidth="1"/>
    <col min="6844" max="6844" width="11.140625" bestFit="1" customWidth="1"/>
    <col min="6845" max="6845" width="14" bestFit="1" customWidth="1"/>
    <col min="6846" max="6846" width="11.140625" bestFit="1" customWidth="1"/>
    <col min="6847" max="6847" width="14" bestFit="1" customWidth="1"/>
    <col min="6848" max="6848" width="11.140625" bestFit="1" customWidth="1"/>
    <col min="6849" max="6849" width="5" customWidth="1"/>
    <col min="6850" max="6850" width="14" bestFit="1" customWidth="1"/>
    <col min="6851" max="6851" width="11.140625" bestFit="1" customWidth="1"/>
    <col min="6852" max="6852" width="14" bestFit="1" customWidth="1"/>
    <col min="6853" max="6853" width="11.140625" bestFit="1" customWidth="1"/>
    <col min="6854" max="6854" width="14" bestFit="1" customWidth="1"/>
    <col min="6855" max="6855" width="11.140625" bestFit="1" customWidth="1"/>
    <col min="6856" max="6856" width="14" bestFit="1" customWidth="1"/>
    <col min="6857" max="6857" width="11.140625" bestFit="1" customWidth="1"/>
    <col min="6858" max="6858" width="14" bestFit="1" customWidth="1"/>
    <col min="6859" max="6859" width="11.140625" bestFit="1" customWidth="1"/>
    <col min="6860" max="6860" width="5" customWidth="1"/>
    <col min="6861" max="6861" width="14" bestFit="1" customWidth="1"/>
    <col min="6862" max="6862" width="11.140625" bestFit="1" customWidth="1"/>
    <col min="6863" max="6863" width="14" bestFit="1" customWidth="1"/>
    <col min="6864" max="6864" width="11.140625" bestFit="1" customWidth="1"/>
    <col min="6865" max="6865" width="5" customWidth="1"/>
    <col min="6866" max="6866" width="14" bestFit="1" customWidth="1"/>
    <col min="6867" max="6867" width="11.140625" bestFit="1" customWidth="1"/>
    <col min="6868" max="6868" width="5" customWidth="1"/>
    <col min="6869" max="6869" width="14" bestFit="1" customWidth="1"/>
    <col min="6870" max="6870" width="11.140625" bestFit="1" customWidth="1"/>
    <col min="6871" max="6871" width="5" customWidth="1"/>
    <col min="6872" max="6872" width="14" bestFit="1" customWidth="1"/>
    <col min="6873" max="6873" width="11.140625" bestFit="1" customWidth="1"/>
    <col min="6874" max="6874" width="5" customWidth="1"/>
    <col min="6875" max="6875" width="14" bestFit="1" customWidth="1"/>
    <col min="6876" max="6876" width="11.140625" bestFit="1" customWidth="1"/>
    <col min="6877" max="6877" width="14" bestFit="1" customWidth="1"/>
    <col min="6878" max="6878" width="11.140625" bestFit="1" customWidth="1"/>
    <col min="6879" max="6879" width="14" bestFit="1" customWidth="1"/>
    <col min="6880" max="6880" width="11.140625" bestFit="1" customWidth="1"/>
    <col min="6881" max="6881" width="14" bestFit="1" customWidth="1"/>
    <col min="6882" max="6882" width="11.140625" bestFit="1" customWidth="1"/>
    <col min="6883" max="6883" width="5" customWidth="1"/>
    <col min="6884" max="6884" width="14" bestFit="1" customWidth="1"/>
    <col min="6885" max="6885" width="11.140625" bestFit="1" customWidth="1"/>
    <col min="6886" max="6886" width="5" customWidth="1"/>
    <col min="6887" max="6887" width="14" bestFit="1" customWidth="1"/>
    <col min="6888" max="6888" width="11.140625" bestFit="1" customWidth="1"/>
    <col min="6889" max="6889" width="5" customWidth="1"/>
    <col min="6890" max="6890" width="14" bestFit="1" customWidth="1"/>
    <col min="6891" max="6891" width="11.140625" bestFit="1" customWidth="1"/>
    <col min="6892" max="6892" width="14" bestFit="1" customWidth="1"/>
    <col min="6893" max="6893" width="11.140625" bestFit="1" customWidth="1"/>
    <col min="6894" max="6894" width="14" bestFit="1" customWidth="1"/>
    <col min="6895" max="6895" width="11.140625" bestFit="1" customWidth="1"/>
    <col min="6896" max="6896" width="5" customWidth="1"/>
    <col min="6897" max="6897" width="14" bestFit="1" customWidth="1"/>
    <col min="6898" max="6898" width="11.140625" bestFit="1" customWidth="1"/>
    <col min="6899" max="6899" width="14" bestFit="1" customWidth="1"/>
    <col min="6900" max="6900" width="11.140625" bestFit="1" customWidth="1"/>
    <col min="6901" max="6901" width="14" bestFit="1" customWidth="1"/>
    <col min="6902" max="6902" width="11.140625" bestFit="1" customWidth="1"/>
    <col min="6903" max="6903" width="14" bestFit="1" customWidth="1"/>
    <col min="6904" max="6904" width="11.140625" bestFit="1" customWidth="1"/>
    <col min="6905" max="6905" width="5" customWidth="1"/>
    <col min="6906" max="6906" width="14" bestFit="1" customWidth="1"/>
    <col min="6907" max="6907" width="11.140625" bestFit="1" customWidth="1"/>
    <col min="6908" max="6908" width="5" customWidth="1"/>
    <col min="6909" max="6909" width="14" bestFit="1" customWidth="1"/>
    <col min="6910" max="6910" width="11.140625" bestFit="1" customWidth="1"/>
    <col min="6911" max="6911" width="14" bestFit="1" customWidth="1"/>
    <col min="6912" max="6912" width="11.140625" bestFit="1" customWidth="1"/>
    <col min="6913" max="6913" width="5" customWidth="1"/>
    <col min="6914" max="6914" width="14" bestFit="1" customWidth="1"/>
    <col min="6915" max="6915" width="11.140625" bestFit="1" customWidth="1"/>
    <col min="6916" max="6916" width="14" bestFit="1" customWidth="1"/>
    <col min="6917" max="6917" width="11.140625" bestFit="1" customWidth="1"/>
    <col min="6918" max="6918" width="14" bestFit="1" customWidth="1"/>
    <col min="6919" max="6919" width="11.140625" bestFit="1" customWidth="1"/>
    <col min="6920" max="6920" width="14" bestFit="1" customWidth="1"/>
    <col min="6921" max="6921" width="11.140625" bestFit="1" customWidth="1"/>
    <col min="6922" max="6922" width="5" customWidth="1"/>
    <col min="6923" max="6923" width="14" bestFit="1" customWidth="1"/>
    <col min="6924" max="6924" width="11.140625" bestFit="1" customWidth="1"/>
    <col min="6925" max="6925" width="5" customWidth="1"/>
    <col min="6926" max="6926" width="14" bestFit="1" customWidth="1"/>
    <col min="6927" max="6927" width="11.140625" bestFit="1" customWidth="1"/>
    <col min="6928" max="6928" width="14" bestFit="1" customWidth="1"/>
    <col min="6929" max="6929" width="11.140625" bestFit="1" customWidth="1"/>
    <col min="6930" max="6930" width="5" customWidth="1"/>
    <col min="6931" max="6931" width="14" bestFit="1" customWidth="1"/>
    <col min="6932" max="6932" width="11.140625" bestFit="1" customWidth="1"/>
    <col min="6933" max="6933" width="14" bestFit="1" customWidth="1"/>
    <col min="6934" max="6934" width="11.140625" bestFit="1" customWidth="1"/>
    <col min="6935" max="6935" width="14" bestFit="1" customWidth="1"/>
    <col min="6936" max="6936" width="11.140625" bestFit="1" customWidth="1"/>
    <col min="6937" max="6937" width="14" bestFit="1" customWidth="1"/>
    <col min="6938" max="6938" width="11.140625" bestFit="1" customWidth="1"/>
    <col min="6939" max="6939" width="5" customWidth="1"/>
    <col min="6940" max="6940" width="14" bestFit="1" customWidth="1"/>
    <col min="6941" max="6941" width="11.140625" bestFit="1" customWidth="1"/>
    <col min="6942" max="6942" width="14" bestFit="1" customWidth="1"/>
    <col min="6943" max="6943" width="11.140625" bestFit="1" customWidth="1"/>
    <col min="6944" max="6944" width="5" customWidth="1"/>
    <col min="6945" max="6945" width="14" bestFit="1" customWidth="1"/>
    <col min="6946" max="6946" width="11.140625" bestFit="1" customWidth="1"/>
    <col min="6947" max="6947" width="5" customWidth="1"/>
    <col min="6948" max="6948" width="14" bestFit="1" customWidth="1"/>
    <col min="6949" max="6949" width="11.140625" bestFit="1" customWidth="1"/>
    <col min="6950" max="6950" width="14" bestFit="1" customWidth="1"/>
    <col min="6951" max="6951" width="11.140625" bestFit="1" customWidth="1"/>
    <col min="6952" max="6952" width="14" bestFit="1" customWidth="1"/>
    <col min="6953" max="6953" width="11.140625" bestFit="1" customWidth="1"/>
    <col min="6954" max="6954" width="5" customWidth="1"/>
    <col min="6955" max="6955" width="14" bestFit="1" customWidth="1"/>
    <col min="6956" max="6956" width="11.140625" bestFit="1" customWidth="1"/>
    <col min="6957" max="6957" width="14" bestFit="1" customWidth="1"/>
    <col min="6958" max="6958" width="11.140625" bestFit="1" customWidth="1"/>
    <col min="6959" max="6959" width="5" customWidth="1"/>
    <col min="6960" max="6960" width="14" bestFit="1" customWidth="1"/>
    <col min="6961" max="6961" width="11.140625" bestFit="1" customWidth="1"/>
    <col min="6962" max="6962" width="14" bestFit="1" customWidth="1"/>
    <col min="6963" max="6963" width="11.140625" bestFit="1" customWidth="1"/>
    <col min="6964" max="6964" width="14" bestFit="1" customWidth="1"/>
    <col min="6965" max="6965" width="11.140625" bestFit="1" customWidth="1"/>
    <col min="6966" max="6966" width="14" bestFit="1" customWidth="1"/>
    <col min="6967" max="6967" width="11.140625" bestFit="1" customWidth="1"/>
    <col min="6968" max="6968" width="5" customWidth="1"/>
    <col min="6969" max="6969" width="14" bestFit="1" customWidth="1"/>
    <col min="6970" max="6970" width="11.140625" bestFit="1" customWidth="1"/>
    <col min="6971" max="6971" width="14" bestFit="1" customWidth="1"/>
    <col min="6972" max="6972" width="11.140625" bestFit="1" customWidth="1"/>
    <col min="6973" max="6973" width="14" bestFit="1" customWidth="1"/>
    <col min="6974" max="6974" width="11.140625" bestFit="1" customWidth="1"/>
    <col min="6975" max="6975" width="14" bestFit="1" customWidth="1"/>
    <col min="6976" max="6976" width="11.140625" bestFit="1" customWidth="1"/>
    <col min="6977" max="6977" width="5" customWidth="1"/>
    <col min="6978" max="6978" width="14" bestFit="1" customWidth="1"/>
    <col min="6979" max="6979" width="11.140625" bestFit="1" customWidth="1"/>
    <col min="6980" max="6980" width="14" bestFit="1" customWidth="1"/>
    <col min="6981" max="6981" width="11.140625" bestFit="1" customWidth="1"/>
    <col min="6982" max="6982" width="14" bestFit="1" customWidth="1"/>
    <col min="6983" max="6983" width="11.140625" bestFit="1" customWidth="1"/>
    <col min="6984" max="6984" width="14" bestFit="1" customWidth="1"/>
    <col min="6985" max="6985" width="11.140625" bestFit="1" customWidth="1"/>
    <col min="6986" max="6986" width="5" customWidth="1"/>
    <col min="6987" max="6987" width="14" bestFit="1" customWidth="1"/>
    <col min="6988" max="6988" width="11.140625" bestFit="1" customWidth="1"/>
    <col min="6989" max="6989" width="14" bestFit="1" customWidth="1"/>
    <col min="6990" max="6990" width="11.140625" bestFit="1" customWidth="1"/>
    <col min="6991" max="6991" width="14" bestFit="1" customWidth="1"/>
    <col min="6992" max="6992" width="11.140625" bestFit="1" customWidth="1"/>
    <col min="6993" max="6993" width="14" bestFit="1" customWidth="1"/>
    <col min="6994" max="6994" width="11.140625" bestFit="1" customWidth="1"/>
    <col min="6995" max="6995" width="14" bestFit="1" customWidth="1"/>
    <col min="6996" max="6996" width="11.140625" bestFit="1" customWidth="1"/>
    <col min="6997" max="6997" width="14" bestFit="1" customWidth="1"/>
    <col min="6998" max="6998" width="11.140625" bestFit="1" customWidth="1"/>
    <col min="6999" max="6999" width="5" customWidth="1"/>
    <col min="7000" max="7000" width="14" bestFit="1" customWidth="1"/>
    <col min="7001" max="7001" width="11.140625" bestFit="1" customWidth="1"/>
    <col min="7002" max="7002" width="5" customWidth="1"/>
    <col min="7003" max="7003" width="14" bestFit="1" customWidth="1"/>
    <col min="7004" max="7004" width="11.140625" bestFit="1" customWidth="1"/>
    <col min="7005" max="7005" width="14" bestFit="1" customWidth="1"/>
    <col min="7006" max="7006" width="11.140625" bestFit="1" customWidth="1"/>
    <col min="7007" max="7007" width="14" bestFit="1" customWidth="1"/>
    <col min="7008" max="7008" width="11.140625" bestFit="1" customWidth="1"/>
    <col min="7009" max="7009" width="14" bestFit="1" customWidth="1"/>
    <col min="7010" max="7010" width="11.140625" bestFit="1" customWidth="1"/>
    <col min="7011" max="7011" width="14" bestFit="1" customWidth="1"/>
    <col min="7012" max="7012" width="11.140625" bestFit="1" customWidth="1"/>
    <col min="7013" max="7013" width="14" bestFit="1" customWidth="1"/>
    <col min="7014" max="7014" width="11.140625" bestFit="1" customWidth="1"/>
    <col min="7015" max="7015" width="5" customWidth="1"/>
    <col min="7016" max="7016" width="14" bestFit="1" customWidth="1"/>
    <col min="7017" max="7017" width="11.140625" bestFit="1" customWidth="1"/>
    <col min="7018" max="7018" width="14" bestFit="1" customWidth="1"/>
    <col min="7019" max="7019" width="11.140625" bestFit="1" customWidth="1"/>
    <col min="7020" max="7020" width="5" customWidth="1"/>
    <col min="7021" max="7021" width="14" bestFit="1" customWidth="1"/>
    <col min="7022" max="7022" width="11.140625" bestFit="1" customWidth="1"/>
    <col min="7023" max="7023" width="14" bestFit="1" customWidth="1"/>
    <col min="7024" max="7024" width="11.140625" bestFit="1" customWidth="1"/>
    <col min="7025" max="7025" width="14" bestFit="1" customWidth="1"/>
    <col min="7026" max="7026" width="11.140625" customWidth="1"/>
    <col min="7027" max="7027" width="5" customWidth="1"/>
    <col min="7028" max="7028" width="14" bestFit="1" customWidth="1"/>
    <col min="7029" max="7029" width="11.140625" bestFit="1" customWidth="1"/>
    <col min="7030" max="7030" width="14" bestFit="1" customWidth="1"/>
    <col min="7031" max="7031" width="11.140625" bestFit="1" customWidth="1"/>
    <col min="7032" max="7032" width="14" bestFit="1" customWidth="1"/>
    <col min="7033" max="7033" width="11.140625" bestFit="1" customWidth="1"/>
    <col min="7034" max="7034" width="14" bestFit="1" customWidth="1"/>
    <col min="7035" max="7035" width="11.140625" bestFit="1" customWidth="1"/>
    <col min="7036" max="7036" width="5" customWidth="1"/>
    <col min="7037" max="7037" width="14" bestFit="1" customWidth="1"/>
    <col min="7038" max="7038" width="11.140625" bestFit="1" customWidth="1"/>
    <col min="7039" max="7039" width="5" customWidth="1"/>
    <col min="7040" max="7040" width="14" bestFit="1" customWidth="1"/>
    <col min="7041" max="7041" width="11.140625" bestFit="1" customWidth="1"/>
    <col min="7042" max="7042" width="14" bestFit="1" customWidth="1"/>
    <col min="7043" max="7043" width="11.140625" bestFit="1" customWidth="1"/>
    <col min="7044" max="7044" width="14" bestFit="1" customWidth="1"/>
    <col min="7045" max="7045" width="11.140625" bestFit="1" customWidth="1"/>
    <col min="7046" max="7046" width="5" customWidth="1"/>
    <col min="7047" max="7047" width="14" bestFit="1" customWidth="1"/>
    <col min="7048" max="7048" width="11.140625" bestFit="1" customWidth="1"/>
    <col min="7049" max="7049" width="14" bestFit="1" customWidth="1"/>
    <col min="7050" max="7050" width="11.140625" bestFit="1" customWidth="1"/>
    <col min="7051" max="7051" width="5" customWidth="1"/>
    <col min="7052" max="7052" width="14" bestFit="1" customWidth="1"/>
    <col min="7053" max="7053" width="11.140625" bestFit="1" customWidth="1"/>
    <col min="7054" max="7054" width="5" customWidth="1"/>
    <col min="7055" max="7055" width="14" bestFit="1" customWidth="1"/>
    <col min="7056" max="7056" width="11.140625" bestFit="1" customWidth="1"/>
    <col min="7057" max="7057" width="14" bestFit="1" customWidth="1"/>
    <col min="7058" max="7058" width="11.140625" bestFit="1" customWidth="1"/>
    <col min="7059" max="7059" width="5" customWidth="1"/>
    <col min="7060" max="7060" width="14" bestFit="1" customWidth="1"/>
    <col min="7061" max="7061" width="11.140625" bestFit="1" customWidth="1"/>
    <col min="7062" max="7062" width="5" customWidth="1"/>
    <col min="7063" max="7063" width="14" bestFit="1" customWidth="1"/>
    <col min="7064" max="7064" width="11.140625" bestFit="1" customWidth="1"/>
    <col min="7065" max="7065" width="14" bestFit="1" customWidth="1"/>
    <col min="7066" max="7066" width="11.140625" bestFit="1" customWidth="1"/>
    <col min="7067" max="7067" width="5" customWidth="1"/>
    <col min="7068" max="7068" width="14" bestFit="1" customWidth="1"/>
    <col min="7069" max="7069" width="11.140625" bestFit="1" customWidth="1"/>
    <col min="7070" max="7070" width="14" bestFit="1" customWidth="1"/>
    <col min="7071" max="7071" width="11.140625" bestFit="1" customWidth="1"/>
    <col min="7072" max="7072" width="14" bestFit="1" customWidth="1"/>
    <col min="7073" max="7073" width="11.140625" bestFit="1" customWidth="1"/>
    <col min="7074" max="7074" width="14" bestFit="1" customWidth="1"/>
    <col min="7075" max="7075" width="11.140625" bestFit="1" customWidth="1"/>
    <col min="7076" max="7076" width="5" customWidth="1"/>
    <col min="7077" max="7077" width="14" bestFit="1" customWidth="1"/>
    <col min="7078" max="7078" width="11.140625" bestFit="1" customWidth="1"/>
    <col min="7079" max="7079" width="5" customWidth="1"/>
    <col min="7080" max="7080" width="14" bestFit="1" customWidth="1"/>
    <col min="7081" max="7081" width="11.140625" bestFit="1" customWidth="1"/>
    <col min="7082" max="7082" width="14" bestFit="1" customWidth="1"/>
    <col min="7083" max="7083" width="11.140625" bestFit="1" customWidth="1"/>
    <col min="7084" max="7084" width="14" bestFit="1" customWidth="1"/>
    <col min="7085" max="7085" width="11.140625" bestFit="1" customWidth="1"/>
    <col min="7086" max="7086" width="5" customWidth="1"/>
    <col min="7087" max="7087" width="14" bestFit="1" customWidth="1"/>
    <col min="7088" max="7088" width="11.140625" bestFit="1" customWidth="1"/>
    <col min="7089" max="7089" width="5" customWidth="1"/>
    <col min="7090" max="7090" width="14" bestFit="1" customWidth="1"/>
    <col min="7091" max="7091" width="11.140625" bestFit="1" customWidth="1"/>
    <col min="7092" max="7092" width="14" bestFit="1" customWidth="1"/>
    <col min="7093" max="7093" width="11.140625" bestFit="1" customWidth="1"/>
    <col min="7094" max="7094" width="14" bestFit="1" customWidth="1"/>
    <col min="7095" max="7095" width="11.140625" bestFit="1" customWidth="1"/>
    <col min="7096" max="7096" width="14" bestFit="1" customWidth="1"/>
    <col min="7097" max="7097" width="11.140625" bestFit="1" customWidth="1"/>
    <col min="7098" max="7098" width="5" customWidth="1"/>
    <col min="7099" max="7099" width="14" bestFit="1" customWidth="1"/>
    <col min="7100" max="7100" width="11.140625" bestFit="1" customWidth="1"/>
    <col min="7101" max="7101" width="14" bestFit="1" customWidth="1"/>
    <col min="7102" max="7102" width="11.140625" bestFit="1" customWidth="1"/>
    <col min="7103" max="7103" width="14" bestFit="1" customWidth="1"/>
    <col min="7104" max="7104" width="11.140625" bestFit="1" customWidth="1"/>
    <col min="7105" max="7105" width="14" bestFit="1" customWidth="1"/>
    <col min="7106" max="7106" width="11.140625" bestFit="1" customWidth="1"/>
    <col min="7107" max="7107" width="14" bestFit="1" customWidth="1"/>
    <col min="7108" max="7108" width="11.140625" bestFit="1" customWidth="1"/>
    <col min="7109" max="7109" width="14" bestFit="1" customWidth="1"/>
    <col min="7110" max="7110" width="11.140625" bestFit="1" customWidth="1"/>
    <col min="7111" max="7111" width="14" bestFit="1" customWidth="1"/>
    <col min="7112" max="7112" width="11.140625" bestFit="1" customWidth="1"/>
    <col min="7113" max="7113" width="5" customWidth="1"/>
    <col min="7114" max="7114" width="14" bestFit="1" customWidth="1"/>
    <col min="7115" max="7115" width="11.140625" bestFit="1" customWidth="1"/>
    <col min="7116" max="7116" width="5" customWidth="1"/>
    <col min="7117" max="7117" width="14" bestFit="1" customWidth="1"/>
    <col min="7118" max="7118" width="11.140625" bestFit="1" customWidth="1"/>
    <col min="7119" max="7119" width="5" customWidth="1"/>
    <col min="7120" max="7120" width="14" bestFit="1" customWidth="1"/>
    <col min="7121" max="7121" width="11.140625" bestFit="1" customWidth="1"/>
    <col min="7122" max="7122" width="14" bestFit="1" customWidth="1"/>
    <col min="7123" max="7123" width="11.140625" bestFit="1" customWidth="1"/>
    <col min="7124" max="7124" width="5" customWidth="1"/>
    <col min="7125" max="7125" width="14" bestFit="1" customWidth="1"/>
    <col min="7126" max="7126" width="11.140625" bestFit="1" customWidth="1"/>
    <col min="7127" max="7127" width="5" customWidth="1"/>
    <col min="7128" max="7128" width="14" bestFit="1" customWidth="1"/>
    <col min="7129" max="7129" width="11.140625" bestFit="1" customWidth="1"/>
    <col min="7130" max="7130" width="14" bestFit="1" customWidth="1"/>
    <col min="7131" max="7131" width="11.140625" bestFit="1" customWidth="1"/>
    <col min="7132" max="7132" width="14" bestFit="1" customWidth="1"/>
    <col min="7133" max="7133" width="11.140625" bestFit="1" customWidth="1"/>
    <col min="7134" max="7134" width="5" customWidth="1"/>
    <col min="7135" max="7135" width="14" bestFit="1" customWidth="1"/>
    <col min="7136" max="7136" width="11.140625" bestFit="1" customWidth="1"/>
    <col min="7137" max="7137" width="5" customWidth="1"/>
    <col min="7138" max="7138" width="14" bestFit="1" customWidth="1"/>
    <col min="7139" max="7139" width="11.140625" bestFit="1" customWidth="1"/>
    <col min="7140" max="7140" width="14" bestFit="1" customWidth="1"/>
    <col min="7141" max="7141" width="11.140625" bestFit="1" customWidth="1"/>
    <col min="7142" max="7142" width="5" customWidth="1"/>
    <col min="7143" max="7143" width="14" bestFit="1" customWidth="1"/>
    <col min="7144" max="7144" width="11.140625" bestFit="1" customWidth="1"/>
    <col min="7145" max="7145" width="5" customWidth="1"/>
    <col min="7146" max="7146" width="14" bestFit="1" customWidth="1"/>
    <col min="7147" max="7147" width="11.140625" bestFit="1" customWidth="1"/>
    <col min="7148" max="7148" width="14" bestFit="1" customWidth="1"/>
    <col min="7149" max="7149" width="11.140625" bestFit="1" customWidth="1"/>
    <col min="7150" max="7150" width="5" customWidth="1"/>
    <col min="7151" max="7151" width="14" bestFit="1" customWidth="1"/>
    <col min="7152" max="7152" width="11.140625" bestFit="1" customWidth="1"/>
    <col min="7153" max="7153" width="5" customWidth="1"/>
    <col min="7154" max="7154" width="14" bestFit="1" customWidth="1"/>
    <col min="7155" max="7155" width="11.140625" bestFit="1" customWidth="1"/>
    <col min="7156" max="7156" width="5" customWidth="1"/>
    <col min="7157" max="7157" width="14" bestFit="1" customWidth="1"/>
    <col min="7158" max="7158" width="11.140625" bestFit="1" customWidth="1"/>
    <col min="7159" max="7159" width="14" bestFit="1" customWidth="1"/>
    <col min="7160" max="7160" width="11.140625" bestFit="1" customWidth="1"/>
    <col min="7161" max="7161" width="14" bestFit="1" customWidth="1"/>
    <col min="7162" max="7162" width="11.140625" bestFit="1" customWidth="1"/>
    <col min="7163" max="7163" width="14" bestFit="1" customWidth="1"/>
    <col min="7164" max="7164" width="11.140625" bestFit="1" customWidth="1"/>
    <col min="7165" max="7165" width="5" customWidth="1"/>
    <col min="7166" max="7166" width="14" bestFit="1" customWidth="1"/>
    <col min="7167" max="7167" width="11.140625" bestFit="1" customWidth="1"/>
    <col min="7168" max="7168" width="5" customWidth="1"/>
    <col min="7169" max="7169" width="14" bestFit="1" customWidth="1"/>
    <col min="7170" max="7170" width="11.140625" bestFit="1" customWidth="1"/>
    <col min="7171" max="7171" width="14" bestFit="1" customWidth="1"/>
    <col min="7172" max="7172" width="11.140625" bestFit="1" customWidth="1"/>
    <col min="7173" max="7173" width="5" customWidth="1"/>
    <col min="7174" max="7174" width="14" bestFit="1" customWidth="1"/>
    <col min="7175" max="7175" width="11.140625" bestFit="1" customWidth="1"/>
    <col min="7176" max="7176" width="5" customWidth="1"/>
    <col min="7177" max="7177" width="14" bestFit="1" customWidth="1"/>
    <col min="7178" max="7178" width="11.140625" bestFit="1" customWidth="1"/>
    <col min="7179" max="7179" width="5" customWidth="1"/>
    <col min="7180" max="7180" width="14" bestFit="1" customWidth="1"/>
    <col min="7181" max="7181" width="11.140625" bestFit="1" customWidth="1"/>
    <col min="7182" max="7182" width="5" customWidth="1"/>
    <col min="7183" max="7183" width="14" bestFit="1" customWidth="1"/>
    <col min="7184" max="7184" width="11.140625" bestFit="1" customWidth="1"/>
    <col min="7185" max="7185" width="14" bestFit="1" customWidth="1"/>
    <col min="7186" max="7186" width="11.140625" bestFit="1" customWidth="1"/>
    <col min="7187" max="7187" width="5" customWidth="1"/>
    <col min="7188" max="7188" width="14" bestFit="1" customWidth="1"/>
    <col min="7189" max="7189" width="11.140625" bestFit="1" customWidth="1"/>
    <col min="7190" max="7190" width="14" bestFit="1" customWidth="1"/>
    <col min="7191" max="7191" width="11.140625" bestFit="1" customWidth="1"/>
    <col min="7192" max="7192" width="5" customWidth="1"/>
    <col min="7193" max="7193" width="14" bestFit="1" customWidth="1"/>
    <col min="7194" max="7194" width="11.140625" bestFit="1" customWidth="1"/>
    <col min="7195" max="7195" width="5" customWidth="1"/>
    <col min="7196" max="7196" width="14" bestFit="1" customWidth="1"/>
    <col min="7197" max="7197" width="11.140625" bestFit="1" customWidth="1"/>
    <col min="7198" max="7198" width="14" bestFit="1" customWidth="1"/>
    <col min="7199" max="7199" width="11.140625" bestFit="1" customWidth="1"/>
    <col min="7200" max="7200" width="14" bestFit="1" customWidth="1"/>
    <col min="7201" max="7201" width="11.140625" bestFit="1" customWidth="1"/>
    <col min="7202" max="7202" width="14" bestFit="1" customWidth="1"/>
    <col min="7203" max="7203" width="11.140625" bestFit="1" customWidth="1"/>
    <col min="7204" max="7204" width="14" bestFit="1" customWidth="1"/>
    <col min="7205" max="7205" width="11.140625" bestFit="1" customWidth="1"/>
    <col min="7206" max="7206" width="5" customWidth="1"/>
    <col min="7207" max="7207" width="14" bestFit="1" customWidth="1"/>
    <col min="7208" max="7208" width="11.140625" bestFit="1" customWidth="1"/>
    <col min="7209" max="7209" width="14" bestFit="1" customWidth="1"/>
    <col min="7210" max="7210" width="11.140625" bestFit="1" customWidth="1"/>
    <col min="7211" max="7211" width="5" customWidth="1"/>
    <col min="7212" max="7212" width="14" bestFit="1" customWidth="1"/>
    <col min="7213" max="7213" width="11.140625" bestFit="1" customWidth="1"/>
    <col min="7214" max="7214" width="5" customWidth="1"/>
    <col min="7215" max="7215" width="14" bestFit="1" customWidth="1"/>
    <col min="7216" max="7216" width="11.140625" bestFit="1" customWidth="1"/>
    <col min="7217" max="7217" width="14" bestFit="1" customWidth="1"/>
    <col min="7218" max="7218" width="11.140625" bestFit="1" customWidth="1"/>
    <col min="7219" max="7219" width="14" bestFit="1" customWidth="1"/>
    <col min="7220" max="7220" width="11.140625" bestFit="1" customWidth="1"/>
    <col min="7221" max="7221" width="14" bestFit="1" customWidth="1"/>
    <col min="7222" max="7222" width="11.140625" bestFit="1" customWidth="1"/>
    <col min="7223" max="7223" width="14" bestFit="1" customWidth="1"/>
    <col min="7224" max="7224" width="11.140625" bestFit="1" customWidth="1"/>
    <col min="7225" max="7225" width="14" bestFit="1" customWidth="1"/>
    <col min="7226" max="7226" width="11.140625" bestFit="1" customWidth="1"/>
    <col min="7227" max="7227" width="14" bestFit="1" customWidth="1"/>
    <col min="7228" max="7228" width="11.140625" bestFit="1" customWidth="1"/>
    <col min="7229" max="7229" width="5" customWidth="1"/>
    <col min="7230" max="7230" width="14" bestFit="1" customWidth="1"/>
    <col min="7231" max="7231" width="11.140625" bestFit="1" customWidth="1"/>
    <col min="7232" max="7232" width="14" bestFit="1" customWidth="1"/>
    <col min="7233" max="7233" width="11.140625" bestFit="1" customWidth="1"/>
    <col min="7234" max="7234" width="5" customWidth="1"/>
    <col min="7235" max="7235" width="14" bestFit="1" customWidth="1"/>
    <col min="7236" max="7236" width="11.140625" bestFit="1" customWidth="1"/>
    <col min="7237" max="7237" width="5" customWidth="1"/>
    <col min="7238" max="7238" width="14" bestFit="1" customWidth="1"/>
    <col min="7239" max="7239" width="11.140625" bestFit="1" customWidth="1"/>
    <col min="7240" max="7240" width="14" bestFit="1" customWidth="1"/>
    <col min="7241" max="7241" width="11.140625" bestFit="1" customWidth="1"/>
    <col min="7242" max="7242" width="5" customWidth="1"/>
    <col min="7243" max="7243" width="14" bestFit="1" customWidth="1"/>
    <col min="7244" max="7244" width="11.140625" bestFit="1" customWidth="1"/>
    <col min="7245" max="7245" width="14" bestFit="1" customWidth="1"/>
    <col min="7246" max="7246" width="11.140625" bestFit="1" customWidth="1"/>
    <col min="7247" max="7247" width="5" customWidth="1"/>
    <col min="7248" max="7248" width="14" bestFit="1" customWidth="1"/>
    <col min="7249" max="7249" width="11.140625" bestFit="1" customWidth="1"/>
    <col min="7250" max="7250" width="5" customWidth="1"/>
    <col min="7251" max="7251" width="14" bestFit="1" customWidth="1"/>
    <col min="7252" max="7252" width="11.140625" bestFit="1" customWidth="1"/>
    <col min="7253" max="7253" width="14" bestFit="1" customWidth="1"/>
    <col min="7254" max="7254" width="11.140625" bestFit="1" customWidth="1"/>
    <col min="7255" max="7255" width="14" bestFit="1" customWidth="1"/>
    <col min="7256" max="7256" width="11.140625" bestFit="1" customWidth="1"/>
    <col min="7257" max="7257" width="5" customWidth="1"/>
    <col min="7258" max="7258" width="14" bestFit="1" customWidth="1"/>
    <col min="7259" max="7259" width="11.140625" bestFit="1" customWidth="1"/>
    <col min="7260" max="7260" width="14" bestFit="1" customWidth="1"/>
    <col min="7261" max="7261" width="11.140625" bestFit="1" customWidth="1"/>
    <col min="7262" max="7262" width="5" customWidth="1"/>
    <col min="7263" max="7263" width="14" bestFit="1" customWidth="1"/>
    <col min="7264" max="7264" width="11.140625" bestFit="1" customWidth="1"/>
    <col min="7265" max="7265" width="5" customWidth="1"/>
    <col min="7266" max="7266" width="14" bestFit="1" customWidth="1"/>
    <col min="7267" max="7267" width="11.140625" bestFit="1" customWidth="1"/>
    <col min="7268" max="7268" width="5" customWidth="1"/>
    <col min="7269" max="7269" width="14" bestFit="1" customWidth="1"/>
    <col min="7270" max="7270" width="11.140625" bestFit="1" customWidth="1"/>
    <col min="7271" max="7271" width="14" bestFit="1" customWidth="1"/>
    <col min="7272" max="7272" width="11.140625" bestFit="1" customWidth="1"/>
    <col min="7273" max="7273" width="5" customWidth="1"/>
    <col min="7274" max="7274" width="14" bestFit="1" customWidth="1"/>
    <col min="7275" max="7275" width="11.140625" bestFit="1" customWidth="1"/>
    <col min="7276" max="7276" width="5" customWidth="1"/>
    <col min="7277" max="7277" width="14" bestFit="1" customWidth="1"/>
    <col min="7278" max="7278" width="11.140625" bestFit="1" customWidth="1"/>
    <col min="7279" max="7279" width="14" bestFit="1" customWidth="1"/>
    <col min="7280" max="7280" width="11.140625" bestFit="1" customWidth="1"/>
    <col min="7281" max="7281" width="14" bestFit="1" customWidth="1"/>
    <col min="7282" max="7282" width="11.140625" bestFit="1" customWidth="1"/>
    <col min="7283" max="7283" width="14" bestFit="1" customWidth="1"/>
    <col min="7284" max="7284" width="11.140625" bestFit="1" customWidth="1"/>
    <col min="7285" max="7285" width="5" customWidth="1"/>
    <col min="7286" max="7286" width="14" bestFit="1" customWidth="1"/>
    <col min="7287" max="7287" width="11.140625" bestFit="1" customWidth="1"/>
    <col min="7288" max="7288" width="14" bestFit="1" customWidth="1"/>
    <col min="7289" max="7289" width="11.140625" bestFit="1" customWidth="1"/>
    <col min="7290" max="7290" width="14" bestFit="1" customWidth="1"/>
    <col min="7291" max="7291" width="11.140625" bestFit="1" customWidth="1"/>
    <col min="7292" max="7292" width="14" bestFit="1" customWidth="1"/>
    <col min="7293" max="7293" width="11.140625" bestFit="1" customWidth="1"/>
    <col min="7294" max="7294" width="5" customWidth="1"/>
    <col min="7295" max="7295" width="14" bestFit="1" customWidth="1"/>
    <col min="7296" max="7296" width="11.140625" bestFit="1" customWidth="1"/>
    <col min="7297" max="7297" width="5" customWidth="1"/>
    <col min="7298" max="7298" width="14" bestFit="1" customWidth="1"/>
    <col min="7299" max="7299" width="11.140625" bestFit="1" customWidth="1"/>
    <col min="7300" max="7300" width="14" bestFit="1" customWidth="1"/>
    <col min="7301" max="7301" width="11.140625" bestFit="1" customWidth="1"/>
    <col min="7302" max="7302" width="14" bestFit="1" customWidth="1"/>
    <col min="7303" max="7303" width="11.140625" bestFit="1" customWidth="1"/>
    <col min="7304" max="7304" width="5" customWidth="1"/>
    <col min="7305" max="7305" width="14" bestFit="1" customWidth="1"/>
    <col min="7306" max="7306" width="11.140625" bestFit="1" customWidth="1"/>
    <col min="7307" max="7307" width="14" bestFit="1" customWidth="1"/>
    <col min="7308" max="7308" width="11.140625" bestFit="1" customWidth="1"/>
    <col min="7309" max="7309" width="5" customWidth="1"/>
    <col min="7310" max="7310" width="14" bestFit="1" customWidth="1"/>
    <col min="7311" max="7311" width="11.140625" bestFit="1" customWidth="1"/>
    <col min="7312" max="7312" width="14" bestFit="1" customWidth="1"/>
    <col min="7313" max="7313" width="11.140625" bestFit="1" customWidth="1"/>
    <col min="7314" max="7314" width="5" customWidth="1"/>
    <col min="7315" max="7315" width="14" bestFit="1" customWidth="1"/>
    <col min="7316" max="7316" width="11.140625" bestFit="1" customWidth="1"/>
    <col min="7317" max="7317" width="5" customWidth="1"/>
    <col min="7318" max="7318" width="14" bestFit="1" customWidth="1"/>
    <col min="7319" max="7319" width="11.140625" bestFit="1" customWidth="1"/>
    <col min="7320" max="7320" width="14" bestFit="1" customWidth="1"/>
    <col min="7321" max="7321" width="11.140625" bestFit="1" customWidth="1"/>
    <col min="7322" max="7322" width="14" bestFit="1" customWidth="1"/>
    <col min="7323" max="7323" width="11.140625" bestFit="1" customWidth="1"/>
    <col min="7324" max="7324" width="14" bestFit="1" customWidth="1"/>
    <col min="7325" max="7325" width="11.140625" bestFit="1" customWidth="1"/>
    <col min="7326" max="7326" width="5" customWidth="1"/>
    <col min="7327" max="7327" width="14" bestFit="1" customWidth="1"/>
    <col min="7328" max="7328" width="11.140625" bestFit="1" customWidth="1"/>
    <col min="7329" max="7329" width="5" customWidth="1"/>
    <col min="7330" max="7330" width="14" bestFit="1" customWidth="1"/>
    <col min="7331" max="7331" width="11.140625" bestFit="1" customWidth="1"/>
    <col min="7332" max="7332" width="5" customWidth="1"/>
    <col min="7333" max="7333" width="14" bestFit="1" customWidth="1"/>
    <col min="7334" max="7334" width="11.140625" bestFit="1" customWidth="1"/>
    <col min="7335" max="7335" width="14" bestFit="1" customWidth="1"/>
    <col min="7336" max="7336" width="11.140625" bestFit="1" customWidth="1"/>
    <col min="7337" max="7337" width="5" customWidth="1"/>
    <col min="7338" max="7338" width="14" bestFit="1" customWidth="1"/>
    <col min="7339" max="7339" width="11.140625" bestFit="1" customWidth="1"/>
    <col min="7340" max="7340" width="14" bestFit="1" customWidth="1"/>
    <col min="7341" max="7341" width="11.140625" bestFit="1" customWidth="1"/>
    <col min="7342" max="7342" width="5" customWidth="1"/>
    <col min="7343" max="7343" width="14" bestFit="1" customWidth="1"/>
    <col min="7344" max="7344" width="11.140625" bestFit="1" customWidth="1"/>
    <col min="7345" max="7345" width="5" customWidth="1"/>
    <col min="7346" max="7346" width="14" bestFit="1" customWidth="1"/>
    <col min="7347" max="7347" width="11.140625" bestFit="1" customWidth="1"/>
    <col min="7348" max="7348" width="5" customWidth="1"/>
    <col min="7349" max="7349" width="14" bestFit="1" customWidth="1"/>
    <col min="7350" max="7350" width="11.140625" bestFit="1" customWidth="1"/>
    <col min="7351" max="7351" width="14" bestFit="1" customWidth="1"/>
    <col min="7352" max="7352" width="11.140625" bestFit="1" customWidth="1"/>
    <col min="7353" max="7353" width="14" bestFit="1" customWidth="1"/>
    <col min="7354" max="7354" width="11.140625" bestFit="1" customWidth="1"/>
    <col min="7355" max="7355" width="5" customWidth="1"/>
    <col min="7356" max="7356" width="14" bestFit="1" customWidth="1"/>
    <col min="7357" max="7357" width="11.140625" bestFit="1" customWidth="1"/>
    <col min="7358" max="7358" width="14" bestFit="1" customWidth="1"/>
    <col min="7359" max="7359" width="11.140625" bestFit="1" customWidth="1"/>
    <col min="7360" max="7360" width="14" bestFit="1" customWidth="1"/>
    <col min="7361" max="7361" width="11.140625" bestFit="1" customWidth="1"/>
    <col min="7362" max="7362" width="14" bestFit="1" customWidth="1"/>
    <col min="7363" max="7363" width="11.140625" bestFit="1" customWidth="1"/>
    <col min="7364" max="7364" width="5" customWidth="1"/>
    <col min="7365" max="7365" width="14" bestFit="1" customWidth="1"/>
    <col min="7366" max="7366" width="11.140625" bestFit="1" customWidth="1"/>
    <col min="7367" max="7367" width="5" customWidth="1"/>
    <col min="7368" max="7368" width="14" bestFit="1" customWidth="1"/>
    <col min="7369" max="7369" width="11.140625" bestFit="1" customWidth="1"/>
    <col min="7370" max="7370" width="5" customWidth="1"/>
    <col min="7371" max="7371" width="14" bestFit="1" customWidth="1"/>
    <col min="7372" max="7372" width="11.140625" bestFit="1" customWidth="1"/>
    <col min="7373" max="7373" width="5" customWidth="1"/>
    <col min="7374" max="7374" width="14" bestFit="1" customWidth="1"/>
    <col min="7375" max="7375" width="11.140625" bestFit="1" customWidth="1"/>
    <col min="7376" max="7376" width="14" bestFit="1" customWidth="1"/>
    <col min="7377" max="7377" width="11.140625" bestFit="1" customWidth="1"/>
    <col min="7378" max="7378" width="14" bestFit="1" customWidth="1"/>
    <col min="7379" max="7379" width="11.140625" bestFit="1" customWidth="1"/>
    <col min="7380" max="7380" width="5" customWidth="1"/>
    <col min="7381" max="7381" width="14" bestFit="1" customWidth="1"/>
    <col min="7382" max="7382" width="11.140625" bestFit="1" customWidth="1"/>
    <col min="7383" max="7383" width="14" bestFit="1" customWidth="1"/>
    <col min="7384" max="7384" width="11.140625" bestFit="1" customWidth="1"/>
    <col min="7385" max="7385" width="5" customWidth="1"/>
    <col min="7386" max="7386" width="14" bestFit="1" customWidth="1"/>
    <col min="7387" max="7387" width="11.140625" bestFit="1" customWidth="1"/>
    <col min="7388" max="7388" width="14" bestFit="1" customWidth="1"/>
    <col min="7389" max="7389" width="11.140625" bestFit="1" customWidth="1"/>
    <col min="7390" max="7390" width="5" customWidth="1"/>
    <col min="7391" max="7391" width="14" bestFit="1" customWidth="1"/>
    <col min="7392" max="7392" width="11.140625" bestFit="1" customWidth="1"/>
    <col min="7393" max="7393" width="14" bestFit="1" customWidth="1"/>
    <col min="7394" max="7394" width="11.140625" bestFit="1" customWidth="1"/>
    <col min="7395" max="7395" width="5" customWidth="1"/>
    <col min="7396" max="7396" width="14" bestFit="1" customWidth="1"/>
    <col min="7397" max="7397" width="11.140625" bestFit="1" customWidth="1"/>
    <col min="7398" max="7398" width="14" bestFit="1" customWidth="1"/>
    <col min="7399" max="7399" width="11.140625" bestFit="1" customWidth="1"/>
    <col min="7400" max="7400" width="14" bestFit="1" customWidth="1"/>
    <col min="7401" max="7401" width="11.140625" bestFit="1" customWidth="1"/>
    <col min="7402" max="7402" width="5" customWidth="1"/>
    <col min="7403" max="7403" width="14" bestFit="1" customWidth="1"/>
    <col min="7404" max="7404" width="11.140625" bestFit="1" customWidth="1"/>
    <col min="7405" max="7405" width="14" bestFit="1" customWidth="1"/>
    <col min="7406" max="7406" width="11.140625" bestFit="1" customWidth="1"/>
    <col min="7407" max="7407" width="14" bestFit="1" customWidth="1"/>
    <col min="7408" max="7408" width="11.140625" bestFit="1" customWidth="1"/>
    <col min="7409" max="7409" width="5" customWidth="1"/>
    <col min="7410" max="7410" width="14" bestFit="1" customWidth="1"/>
    <col min="7411" max="7411" width="11.140625" bestFit="1" customWidth="1"/>
    <col min="7412" max="7412" width="5" customWidth="1"/>
    <col min="7413" max="7413" width="14" bestFit="1" customWidth="1"/>
    <col min="7414" max="7414" width="11.140625" bestFit="1" customWidth="1"/>
    <col min="7415" max="7415" width="14" bestFit="1" customWidth="1"/>
    <col min="7416" max="7416" width="11.140625" bestFit="1" customWidth="1"/>
    <col min="7417" max="7417" width="5" customWidth="1"/>
    <col min="7418" max="7418" width="14" bestFit="1" customWidth="1"/>
    <col min="7419" max="7419" width="11.140625" bestFit="1" customWidth="1"/>
    <col min="7420" max="7420" width="5" customWidth="1"/>
    <col min="7421" max="7421" width="14" bestFit="1" customWidth="1"/>
    <col min="7422" max="7422" width="11.140625" bestFit="1" customWidth="1"/>
    <col min="7423" max="7423" width="14" bestFit="1" customWidth="1"/>
    <col min="7424" max="7424" width="11.140625" bestFit="1" customWidth="1"/>
    <col min="7425" max="7425" width="14" bestFit="1" customWidth="1"/>
    <col min="7426" max="7426" width="11.140625" bestFit="1" customWidth="1"/>
    <col min="7427" max="7427" width="5" customWidth="1"/>
    <col min="7428" max="7428" width="14" bestFit="1" customWidth="1"/>
    <col min="7429" max="7429" width="11.140625" bestFit="1" customWidth="1"/>
    <col min="7430" max="7430" width="5" customWidth="1"/>
    <col min="7431" max="7431" width="14" bestFit="1" customWidth="1"/>
    <col min="7432" max="7432" width="11.140625" bestFit="1" customWidth="1"/>
    <col min="7433" max="7433" width="5" customWidth="1"/>
    <col min="7434" max="7434" width="14" bestFit="1" customWidth="1"/>
    <col min="7435" max="7435" width="11.140625" bestFit="1" customWidth="1"/>
    <col min="7436" max="7436" width="14" bestFit="1" customWidth="1"/>
    <col min="7437" max="7437" width="11.140625" bestFit="1" customWidth="1"/>
    <col min="7438" max="7438" width="5" customWidth="1"/>
    <col min="7439" max="7439" width="14" bestFit="1" customWidth="1"/>
    <col min="7440" max="7440" width="11.140625" bestFit="1" customWidth="1"/>
    <col min="7441" max="7441" width="14" bestFit="1" customWidth="1"/>
    <col min="7442" max="7442" width="11.140625" bestFit="1" customWidth="1"/>
    <col min="7443" max="7443" width="14" bestFit="1" customWidth="1"/>
    <col min="7444" max="7444" width="11.140625" bestFit="1" customWidth="1"/>
    <col min="7445" max="7445" width="5" customWidth="1"/>
    <col min="7446" max="7446" width="14" bestFit="1" customWidth="1"/>
    <col min="7447" max="7447" width="11.140625" bestFit="1" customWidth="1"/>
    <col min="7448" max="7448" width="14" bestFit="1" customWidth="1"/>
    <col min="7449" max="7449" width="11.140625" bestFit="1" customWidth="1"/>
    <col min="7450" max="7450" width="14" bestFit="1" customWidth="1"/>
    <col min="7451" max="7451" width="11.140625" bestFit="1" customWidth="1"/>
    <col min="7452" max="7452" width="14" bestFit="1" customWidth="1"/>
    <col min="7453" max="7453" width="11.140625" bestFit="1" customWidth="1"/>
    <col min="7454" max="7454" width="5" customWidth="1"/>
    <col min="7455" max="7455" width="14" bestFit="1" customWidth="1"/>
    <col min="7456" max="7456" width="11.140625" bestFit="1" customWidth="1"/>
    <col min="7457" max="7457" width="5" customWidth="1"/>
    <col min="7458" max="7458" width="14" bestFit="1" customWidth="1"/>
    <col min="7459" max="7459" width="11.140625" bestFit="1" customWidth="1"/>
    <col min="7460" max="7460" width="5" customWidth="1"/>
    <col min="7461" max="7461" width="14" bestFit="1" customWidth="1"/>
    <col min="7462" max="7462" width="11.140625" bestFit="1" customWidth="1"/>
    <col min="7463" max="7463" width="5" customWidth="1"/>
    <col min="7464" max="7464" width="14" bestFit="1" customWidth="1"/>
    <col min="7465" max="7465" width="11.140625" bestFit="1" customWidth="1"/>
    <col min="7466" max="7466" width="14" bestFit="1" customWidth="1"/>
    <col min="7467" max="7467" width="11.140625" bestFit="1" customWidth="1"/>
    <col min="7468" max="7468" width="14" bestFit="1" customWidth="1"/>
    <col min="7469" max="7469" width="11.140625" bestFit="1" customWidth="1"/>
    <col min="7470" max="7470" width="14" bestFit="1" customWidth="1"/>
    <col min="7471" max="7471" width="11.140625" bestFit="1" customWidth="1"/>
    <col min="7472" max="7472" width="14" bestFit="1" customWidth="1"/>
    <col min="7473" max="7473" width="11.140625" bestFit="1" customWidth="1"/>
    <col min="7474" max="7474" width="14" bestFit="1" customWidth="1"/>
    <col min="7475" max="7475" width="11.140625" bestFit="1" customWidth="1"/>
    <col min="7476" max="7476" width="14" bestFit="1" customWidth="1"/>
    <col min="7477" max="7477" width="11.140625" bestFit="1" customWidth="1"/>
    <col min="7478" max="7478" width="14" bestFit="1" customWidth="1"/>
    <col min="7479" max="7479" width="11.140625" bestFit="1" customWidth="1"/>
    <col min="7480" max="7480" width="14" bestFit="1" customWidth="1"/>
    <col min="7481" max="7481" width="11.140625" bestFit="1" customWidth="1"/>
    <col min="7482" max="7482" width="5" customWidth="1"/>
    <col min="7483" max="7483" width="14" bestFit="1" customWidth="1"/>
    <col min="7484" max="7484" width="11.140625" bestFit="1" customWidth="1"/>
    <col min="7485" max="7485" width="5" customWidth="1"/>
    <col min="7486" max="7486" width="14" bestFit="1" customWidth="1"/>
    <col min="7487" max="7487" width="11.140625" bestFit="1" customWidth="1"/>
    <col min="7488" max="7488" width="14" bestFit="1" customWidth="1"/>
    <col min="7489" max="7489" width="11.140625" bestFit="1" customWidth="1"/>
    <col min="7490" max="7490" width="5" customWidth="1"/>
    <col min="7491" max="7491" width="14" bestFit="1" customWidth="1"/>
    <col min="7492" max="7492" width="11.140625" bestFit="1" customWidth="1"/>
    <col min="7493" max="7493" width="14" bestFit="1" customWidth="1"/>
    <col min="7494" max="7494" width="11.140625" bestFit="1" customWidth="1"/>
    <col min="7495" max="7495" width="5" customWidth="1"/>
    <col min="7496" max="7496" width="14" bestFit="1" customWidth="1"/>
    <col min="7497" max="7497" width="11.140625" bestFit="1" customWidth="1"/>
    <col min="7498" max="7498" width="5" customWidth="1"/>
    <col min="7499" max="7499" width="14" bestFit="1" customWidth="1"/>
    <col min="7500" max="7500" width="11.140625" bestFit="1" customWidth="1"/>
    <col min="7501" max="7501" width="14" bestFit="1" customWidth="1"/>
    <col min="7502" max="7502" width="11.140625" bestFit="1" customWidth="1"/>
    <col min="7503" max="7503" width="14" bestFit="1" customWidth="1"/>
    <col min="7504" max="7504" width="11.140625" bestFit="1" customWidth="1"/>
    <col min="7505" max="7505" width="14" bestFit="1" customWidth="1"/>
    <col min="7506" max="7506" width="11.140625" bestFit="1" customWidth="1"/>
    <col min="7507" max="7507" width="14" bestFit="1" customWidth="1"/>
    <col min="7508" max="7508" width="11.140625" bestFit="1" customWidth="1"/>
    <col min="7509" max="7509" width="14" bestFit="1" customWidth="1"/>
    <col min="7510" max="7510" width="11.140625" bestFit="1" customWidth="1"/>
    <col min="7511" max="7511" width="14" bestFit="1" customWidth="1"/>
    <col min="7512" max="7512" width="11.140625" bestFit="1" customWidth="1"/>
    <col min="7513" max="7513" width="14" bestFit="1" customWidth="1"/>
    <col min="7514" max="7514" width="11.140625" bestFit="1" customWidth="1"/>
    <col min="7515" max="7515" width="5" customWidth="1"/>
    <col min="7516" max="7516" width="14" bestFit="1" customWidth="1"/>
    <col min="7517" max="7517" width="11.140625" bestFit="1" customWidth="1"/>
    <col min="7518" max="7518" width="5" customWidth="1"/>
    <col min="7519" max="7519" width="14" bestFit="1" customWidth="1"/>
    <col min="7520" max="7520" width="11.140625" bestFit="1" customWidth="1"/>
    <col min="7521" max="7521" width="14" bestFit="1" customWidth="1"/>
    <col min="7522" max="7522" width="11.140625" bestFit="1" customWidth="1"/>
    <col min="7523" max="7523" width="14" bestFit="1" customWidth="1"/>
    <col min="7524" max="7524" width="11.140625" bestFit="1" customWidth="1"/>
    <col min="7525" max="7525" width="5" customWidth="1"/>
    <col min="7526" max="7526" width="14" bestFit="1" customWidth="1"/>
    <col min="7527" max="7527" width="11.140625" bestFit="1" customWidth="1"/>
    <col min="7528" max="7528" width="14" bestFit="1" customWidth="1"/>
    <col min="7529" max="7529" width="11.140625" bestFit="1" customWidth="1"/>
    <col min="7530" max="7530" width="14" bestFit="1" customWidth="1"/>
    <col min="7531" max="7531" width="11.140625" bestFit="1" customWidth="1"/>
    <col min="7532" max="7532" width="5" customWidth="1"/>
    <col min="7533" max="7533" width="14" bestFit="1" customWidth="1"/>
    <col min="7534" max="7534" width="11.140625" bestFit="1" customWidth="1"/>
    <col min="7535" max="7535" width="14" bestFit="1" customWidth="1"/>
    <col min="7536" max="7536" width="11.140625" bestFit="1" customWidth="1"/>
    <col min="7537" max="7537" width="14" bestFit="1" customWidth="1"/>
    <col min="7538" max="7538" width="11.140625" bestFit="1" customWidth="1"/>
    <col min="7539" max="7539" width="5" customWidth="1"/>
    <col min="7540" max="7540" width="14" bestFit="1" customWidth="1"/>
    <col min="7541" max="7541" width="11.140625" bestFit="1" customWidth="1"/>
    <col min="7542" max="7542" width="14" bestFit="1" customWidth="1"/>
    <col min="7543" max="7543" width="11.140625" bestFit="1" customWidth="1"/>
    <col min="7544" max="7544" width="14" bestFit="1" customWidth="1"/>
    <col min="7545" max="7545" width="11.140625" bestFit="1" customWidth="1"/>
    <col min="7546" max="7546" width="14" bestFit="1" customWidth="1"/>
    <col min="7547" max="7547" width="11.140625" bestFit="1" customWidth="1"/>
    <col min="7548" max="7548" width="14" bestFit="1" customWidth="1"/>
    <col min="7549" max="7549" width="11.140625" bestFit="1" customWidth="1"/>
    <col min="7550" max="7550" width="14" bestFit="1" customWidth="1"/>
    <col min="7551" max="7551" width="11.140625" bestFit="1" customWidth="1"/>
    <col min="7552" max="7552" width="14" bestFit="1" customWidth="1"/>
    <col min="7553" max="7553" width="11.140625" bestFit="1" customWidth="1"/>
    <col min="7554" max="7554" width="14" bestFit="1" customWidth="1"/>
    <col min="7555" max="7555" width="11.140625" bestFit="1" customWidth="1"/>
    <col min="7556" max="7556" width="14" bestFit="1" customWidth="1"/>
    <col min="7557" max="7557" width="11.140625" bestFit="1" customWidth="1"/>
    <col min="7558" max="7558" width="5" customWidth="1"/>
    <col min="7559" max="7559" width="14" bestFit="1" customWidth="1"/>
    <col min="7560" max="7560" width="11.140625" bestFit="1" customWidth="1"/>
    <col min="7561" max="7561" width="14" bestFit="1" customWidth="1"/>
    <col min="7562" max="7562" width="11.140625" bestFit="1" customWidth="1"/>
    <col min="7563" max="7563" width="14" bestFit="1" customWidth="1"/>
    <col min="7564" max="7564" width="11.140625" bestFit="1" customWidth="1"/>
    <col min="7565" max="7565" width="14" bestFit="1" customWidth="1"/>
    <col min="7566" max="7566" width="11.140625" bestFit="1" customWidth="1"/>
    <col min="7567" max="7567" width="5" customWidth="1"/>
    <col min="7568" max="7568" width="14" bestFit="1" customWidth="1"/>
    <col min="7569" max="7569" width="11.140625" bestFit="1" customWidth="1"/>
    <col min="7570" max="7570" width="5" customWidth="1"/>
    <col min="7571" max="7571" width="14" bestFit="1" customWidth="1"/>
    <col min="7572" max="7572" width="11.140625" bestFit="1" customWidth="1"/>
    <col min="7573" max="7573" width="14" bestFit="1" customWidth="1"/>
    <col min="7574" max="7574" width="11.140625" bestFit="1" customWidth="1"/>
    <col min="7575" max="7575" width="14" bestFit="1" customWidth="1"/>
    <col min="7576" max="7576" width="11.140625" bestFit="1" customWidth="1"/>
    <col min="7577" max="7577" width="14" bestFit="1" customWidth="1"/>
    <col min="7578" max="7578" width="11.140625" bestFit="1" customWidth="1"/>
    <col min="7579" max="7579" width="14" bestFit="1" customWidth="1"/>
    <col min="7580" max="7580" width="11.140625" bestFit="1" customWidth="1"/>
    <col min="7581" max="7581" width="14" bestFit="1" customWidth="1"/>
    <col min="7582" max="7582" width="11.140625" bestFit="1" customWidth="1"/>
    <col min="7583" max="7583" width="14" bestFit="1" customWidth="1"/>
    <col min="7584" max="7584" width="11.140625" bestFit="1" customWidth="1"/>
    <col min="7585" max="7585" width="14" bestFit="1" customWidth="1"/>
    <col min="7586" max="7586" width="11.140625" bestFit="1" customWidth="1"/>
    <col min="7587" max="7587" width="5" customWidth="1"/>
    <col min="7588" max="7588" width="14" bestFit="1" customWidth="1"/>
    <col min="7589" max="7589" width="11.140625" bestFit="1" customWidth="1"/>
    <col min="7590" max="7590" width="14" bestFit="1" customWidth="1"/>
    <col min="7591" max="7591" width="11.140625" bestFit="1" customWidth="1"/>
    <col min="7592" max="7592" width="5" customWidth="1"/>
    <col min="7593" max="7593" width="14" bestFit="1" customWidth="1"/>
    <col min="7594" max="7594" width="11.140625" bestFit="1" customWidth="1"/>
    <col min="7595" max="7595" width="14" bestFit="1" customWidth="1"/>
    <col min="7596" max="7596" width="11.140625" bestFit="1" customWidth="1"/>
    <col min="7597" max="7597" width="14" bestFit="1" customWidth="1"/>
    <col min="7598" max="7598" width="11.140625" bestFit="1" customWidth="1"/>
    <col min="7599" max="7599" width="14" bestFit="1" customWidth="1"/>
    <col min="7600" max="7600" width="11.140625" bestFit="1" customWidth="1"/>
    <col min="7601" max="7601" width="14" bestFit="1" customWidth="1"/>
    <col min="7602" max="7602" width="11.140625" bestFit="1" customWidth="1"/>
    <col min="7603" max="7603" width="5" customWidth="1"/>
    <col min="7604" max="7604" width="14" bestFit="1" customWidth="1"/>
    <col min="7605" max="7605" width="11.140625" bestFit="1" customWidth="1"/>
    <col min="7606" max="7606" width="14" bestFit="1" customWidth="1"/>
    <col min="7607" max="7607" width="11.140625" bestFit="1" customWidth="1"/>
    <col min="7608" max="7608" width="5" customWidth="1"/>
    <col min="7609" max="7609" width="14" bestFit="1" customWidth="1"/>
    <col min="7610" max="7610" width="11.140625" bestFit="1" customWidth="1"/>
    <col min="7611" max="7611" width="14" bestFit="1" customWidth="1"/>
    <col min="7612" max="7612" width="11.140625" bestFit="1" customWidth="1"/>
    <col min="7613" max="7613" width="14" bestFit="1" customWidth="1"/>
    <col min="7614" max="7614" width="11.140625" bestFit="1" customWidth="1"/>
    <col min="7615" max="7615" width="5" customWidth="1"/>
    <col min="7616" max="7616" width="14" bestFit="1" customWidth="1"/>
    <col min="7617" max="7617" width="11.140625" bestFit="1" customWidth="1"/>
    <col min="7618" max="7618" width="14" bestFit="1" customWidth="1"/>
    <col min="7619" max="7619" width="11.140625" bestFit="1" customWidth="1"/>
    <col min="7620" max="7620" width="14" bestFit="1" customWidth="1"/>
    <col min="7621" max="7621" width="11.140625" bestFit="1" customWidth="1"/>
    <col min="7622" max="7622" width="14" bestFit="1" customWidth="1"/>
    <col min="7623" max="7623" width="11.140625" bestFit="1" customWidth="1"/>
    <col min="7624" max="7624" width="14" bestFit="1" customWidth="1"/>
    <col min="7625" max="7625" width="11.140625" bestFit="1" customWidth="1"/>
    <col min="7626" max="7626" width="14" bestFit="1" customWidth="1"/>
    <col min="7627" max="7627" width="11.140625" bestFit="1" customWidth="1"/>
    <col min="7628" max="7628" width="14" bestFit="1" customWidth="1"/>
    <col min="7629" max="7629" width="11.140625" bestFit="1" customWidth="1"/>
    <col min="7630" max="7630" width="14" bestFit="1" customWidth="1"/>
  </cols>
  <sheetData>
    <row r="1" spans="1:11" x14ac:dyDescent="0.25">
      <c r="A1" s="15" t="s">
        <v>10</v>
      </c>
      <c r="B1" s="21">
        <f>GETPIVOTDATA("Sum of Total Sales",$A$3)</f>
        <v>899902125</v>
      </c>
      <c r="C1" s="15" t="s">
        <v>152</v>
      </c>
      <c r="D1" s="23">
        <f>SUM(Table1[Operating Profit])</f>
        <v>332134761.44999886</v>
      </c>
      <c r="F1" s="15" t="s">
        <v>165</v>
      </c>
      <c r="G1" s="22">
        <v>2.94</v>
      </c>
    </row>
    <row r="2" spans="1:11" x14ac:dyDescent="0.25">
      <c r="A2" s="15" t="s">
        <v>166</v>
      </c>
      <c r="F2" s="15" t="s">
        <v>169</v>
      </c>
      <c r="J2" s="15" t="s">
        <v>170</v>
      </c>
    </row>
    <row r="3" spans="1:11" x14ac:dyDescent="0.25">
      <c r="A3" s="11" t="s">
        <v>135</v>
      </c>
      <c r="B3" t="s">
        <v>137</v>
      </c>
      <c r="F3" s="11" t="s">
        <v>135</v>
      </c>
      <c r="G3" t="s">
        <v>137</v>
      </c>
      <c r="J3" s="11" t="s">
        <v>135</v>
      </c>
      <c r="K3" t="s">
        <v>137</v>
      </c>
    </row>
    <row r="4" spans="1:11" x14ac:dyDescent="0.25">
      <c r="A4" s="12" t="s">
        <v>22</v>
      </c>
      <c r="B4" s="17">
        <v>123728632</v>
      </c>
      <c r="F4" s="12" t="s">
        <v>138</v>
      </c>
      <c r="G4" s="13"/>
      <c r="J4" s="12" t="s">
        <v>61</v>
      </c>
      <c r="K4" s="17">
        <v>77698912</v>
      </c>
    </row>
    <row r="5" spans="1:11" x14ac:dyDescent="0.25">
      <c r="A5" s="12" t="s">
        <v>19</v>
      </c>
      <c r="B5" s="17">
        <v>153673680</v>
      </c>
      <c r="F5" s="18" t="s">
        <v>140</v>
      </c>
      <c r="G5" s="13">
        <v>16253746</v>
      </c>
      <c r="J5" s="12" t="s">
        <v>14</v>
      </c>
      <c r="K5" s="17">
        <v>220094720</v>
      </c>
    </row>
    <row r="6" spans="1:11" x14ac:dyDescent="0.25">
      <c r="A6" s="12" t="s">
        <v>17</v>
      </c>
      <c r="B6" s="17">
        <v>208826244</v>
      </c>
      <c r="F6" s="18" t="s">
        <v>141</v>
      </c>
      <c r="G6" s="13">
        <v>14997988</v>
      </c>
      <c r="J6" s="12" t="s">
        <v>34</v>
      </c>
      <c r="K6" s="17">
        <v>102114753</v>
      </c>
    </row>
    <row r="7" spans="1:11" x14ac:dyDescent="0.25">
      <c r="A7" s="12" t="s">
        <v>23</v>
      </c>
      <c r="B7" s="17">
        <v>179038860</v>
      </c>
      <c r="F7" s="18" t="s">
        <v>142</v>
      </c>
      <c r="G7" s="13">
        <v>17660577</v>
      </c>
      <c r="J7" s="12" t="s">
        <v>26</v>
      </c>
      <c r="K7" s="17">
        <v>182470997</v>
      </c>
    </row>
    <row r="8" spans="1:11" x14ac:dyDescent="0.25">
      <c r="A8" s="12" t="s">
        <v>21</v>
      </c>
      <c r="B8" s="17">
        <v>106631896</v>
      </c>
      <c r="F8" s="18" t="s">
        <v>143</v>
      </c>
      <c r="G8" s="13">
        <v>24607006</v>
      </c>
      <c r="J8" s="12" t="s">
        <v>25</v>
      </c>
      <c r="K8" s="17">
        <v>74558410</v>
      </c>
    </row>
    <row r="9" spans="1:11" x14ac:dyDescent="0.25">
      <c r="A9" s="12" t="s">
        <v>20</v>
      </c>
      <c r="B9" s="17">
        <v>128002813</v>
      </c>
      <c r="F9" s="18" t="s">
        <v>144</v>
      </c>
      <c r="G9" s="13">
        <v>16918014</v>
      </c>
      <c r="J9" s="12" t="s">
        <v>30</v>
      </c>
      <c r="K9" s="17">
        <v>242964333</v>
      </c>
    </row>
    <row r="10" spans="1:11" x14ac:dyDescent="0.25">
      <c r="A10" s="12" t="s">
        <v>136</v>
      </c>
      <c r="B10" s="17">
        <v>899902125</v>
      </c>
      <c r="F10" s="18" t="s">
        <v>145</v>
      </c>
      <c r="G10" s="13">
        <v>8829819</v>
      </c>
      <c r="J10" s="12" t="s">
        <v>136</v>
      </c>
      <c r="K10" s="17">
        <v>899902125</v>
      </c>
    </row>
    <row r="11" spans="1:11" x14ac:dyDescent="0.25">
      <c r="F11" s="18" t="s">
        <v>146</v>
      </c>
      <c r="G11" s="13">
        <v>17146013</v>
      </c>
    </row>
    <row r="12" spans="1:11" x14ac:dyDescent="0.25">
      <c r="F12" s="18" t="s">
        <v>147</v>
      </c>
      <c r="G12" s="13">
        <v>19877980</v>
      </c>
    </row>
    <row r="13" spans="1:11" x14ac:dyDescent="0.25">
      <c r="F13" s="18" t="s">
        <v>148</v>
      </c>
      <c r="G13" s="13">
        <v>18304436</v>
      </c>
      <c r="J13" s="15" t="s">
        <v>168</v>
      </c>
    </row>
    <row r="14" spans="1:11" x14ac:dyDescent="0.25">
      <c r="A14" s="15" t="s">
        <v>167</v>
      </c>
      <c r="F14" s="18" t="s">
        <v>149</v>
      </c>
      <c r="G14" s="13">
        <v>10836269</v>
      </c>
      <c r="J14" s="11" t="s">
        <v>135</v>
      </c>
      <c r="K14" t="s">
        <v>137</v>
      </c>
    </row>
    <row r="15" spans="1:11" x14ac:dyDescent="0.25">
      <c r="A15" s="11" t="s">
        <v>135</v>
      </c>
      <c r="B15" t="s">
        <v>137</v>
      </c>
      <c r="F15" s="18" t="s">
        <v>150</v>
      </c>
      <c r="G15" s="13">
        <v>8622300</v>
      </c>
      <c r="J15" s="12" t="s">
        <v>18</v>
      </c>
      <c r="K15" s="19">
        <v>356643750</v>
      </c>
    </row>
    <row r="16" spans="1:11" x14ac:dyDescent="0.25">
      <c r="A16" s="12" t="s">
        <v>36</v>
      </c>
      <c r="B16" s="17">
        <v>135800459</v>
      </c>
      <c r="F16" s="18" t="s">
        <v>151</v>
      </c>
      <c r="G16" s="13">
        <v>8026527</v>
      </c>
      <c r="J16" s="12" t="s">
        <v>83</v>
      </c>
      <c r="K16" s="19">
        <v>247672882</v>
      </c>
    </row>
    <row r="17" spans="1:15" x14ac:dyDescent="0.25">
      <c r="A17" s="12" t="s">
        <v>15</v>
      </c>
      <c r="B17" s="17">
        <v>186324067</v>
      </c>
      <c r="F17" s="12" t="s">
        <v>139</v>
      </c>
      <c r="G17" s="13"/>
      <c r="J17" s="12" t="s">
        <v>24</v>
      </c>
      <c r="K17" s="19">
        <v>295585493</v>
      </c>
    </row>
    <row r="18" spans="1:15" x14ac:dyDescent="0.25">
      <c r="A18" s="12" t="s">
        <v>27</v>
      </c>
      <c r="B18" s="17">
        <v>144663181</v>
      </c>
      <c r="F18" s="18" t="s">
        <v>140</v>
      </c>
      <c r="G18" s="13">
        <v>55225396</v>
      </c>
      <c r="J18" s="12" t="s">
        <v>136</v>
      </c>
      <c r="K18" s="19">
        <v>899902125</v>
      </c>
    </row>
    <row r="19" spans="1:15" x14ac:dyDescent="0.25">
      <c r="A19" s="12" t="s">
        <v>48</v>
      </c>
      <c r="B19" s="17">
        <v>163171236</v>
      </c>
      <c r="F19" s="18" t="s">
        <v>141</v>
      </c>
      <c r="G19" s="13">
        <v>46102165</v>
      </c>
    </row>
    <row r="20" spans="1:15" x14ac:dyDescent="0.25">
      <c r="A20" s="12" t="s">
        <v>31</v>
      </c>
      <c r="B20" s="17">
        <v>269943182</v>
      </c>
      <c r="F20" s="18" t="s">
        <v>142</v>
      </c>
      <c r="G20" s="13">
        <v>39148532</v>
      </c>
      <c r="J20" s="15" t="s">
        <v>156</v>
      </c>
      <c r="N20" s="15" t="s">
        <v>162</v>
      </c>
    </row>
    <row r="21" spans="1:15" x14ac:dyDescent="0.25">
      <c r="A21" s="12" t="s">
        <v>136</v>
      </c>
      <c r="B21" s="17">
        <v>899902125</v>
      </c>
      <c r="F21" s="18" t="s">
        <v>143</v>
      </c>
      <c r="G21" s="13">
        <v>47732964</v>
      </c>
      <c r="J21" s="11" t="s">
        <v>135</v>
      </c>
      <c r="K21" t="s">
        <v>137</v>
      </c>
      <c r="N21" s="11" t="s">
        <v>135</v>
      </c>
      <c r="O21" t="s">
        <v>137</v>
      </c>
    </row>
    <row r="22" spans="1:15" x14ac:dyDescent="0.25">
      <c r="F22" s="18" t="s">
        <v>144</v>
      </c>
      <c r="G22" s="13">
        <v>63589681</v>
      </c>
      <c r="J22" s="12" t="s">
        <v>36</v>
      </c>
      <c r="K22" s="17"/>
      <c r="N22" s="12" t="s">
        <v>36</v>
      </c>
      <c r="O22" s="17">
        <v>135800459</v>
      </c>
    </row>
    <row r="23" spans="1:15" x14ac:dyDescent="0.25">
      <c r="A23" s="15" t="s">
        <v>155</v>
      </c>
      <c r="F23" s="18" t="s">
        <v>145</v>
      </c>
      <c r="G23" s="13">
        <v>65917553</v>
      </c>
      <c r="J23" s="14" t="s">
        <v>61</v>
      </c>
      <c r="K23" s="17">
        <v>16835873</v>
      </c>
      <c r="N23" s="14" t="s">
        <v>18</v>
      </c>
      <c r="O23" s="17">
        <v>59554000</v>
      </c>
    </row>
    <row r="24" spans="1:15" x14ac:dyDescent="0.25">
      <c r="F24" s="18" t="s">
        <v>146</v>
      </c>
      <c r="G24" s="13">
        <v>78334681</v>
      </c>
      <c r="J24" s="14" t="s">
        <v>14</v>
      </c>
      <c r="K24" s="17">
        <v>47987394</v>
      </c>
      <c r="N24" s="14" t="s">
        <v>83</v>
      </c>
      <c r="O24" s="17">
        <v>40253459</v>
      </c>
    </row>
    <row r="25" spans="1:15" x14ac:dyDescent="0.25">
      <c r="A25" s="11" t="s">
        <v>135</v>
      </c>
      <c r="B25" t="s">
        <v>137</v>
      </c>
      <c r="F25" s="18" t="s">
        <v>147</v>
      </c>
      <c r="G25" s="13">
        <v>72288221</v>
      </c>
      <c r="J25" s="14" t="s">
        <v>34</v>
      </c>
      <c r="K25" s="17">
        <v>22229415</v>
      </c>
      <c r="N25" s="14" t="s">
        <v>24</v>
      </c>
      <c r="O25" s="17">
        <v>35993000</v>
      </c>
    </row>
    <row r="26" spans="1:15" x14ac:dyDescent="0.25">
      <c r="A26" s="12" t="s">
        <v>36</v>
      </c>
      <c r="B26" s="17">
        <v>135800459</v>
      </c>
      <c r="F26" s="18" t="s">
        <v>148</v>
      </c>
      <c r="G26" s="13">
        <v>59357023</v>
      </c>
      <c r="J26" s="14" t="s">
        <v>26</v>
      </c>
      <c r="K26" s="17">
        <v>26207191</v>
      </c>
      <c r="N26" s="12" t="s">
        <v>15</v>
      </c>
      <c r="O26" s="17">
        <v>186324067</v>
      </c>
    </row>
    <row r="27" spans="1:15" x14ac:dyDescent="0.25">
      <c r="A27" s="14" t="s">
        <v>22</v>
      </c>
      <c r="B27" s="17">
        <v>18125661</v>
      </c>
      <c r="F27" s="18" t="s">
        <v>149</v>
      </c>
      <c r="G27" s="13">
        <v>53074764</v>
      </c>
      <c r="J27" s="14" t="s">
        <v>30</v>
      </c>
      <c r="K27" s="17">
        <v>22540586</v>
      </c>
      <c r="N27" s="14" t="s">
        <v>18</v>
      </c>
      <c r="O27" s="17">
        <v>115950750</v>
      </c>
    </row>
    <row r="28" spans="1:15" x14ac:dyDescent="0.25">
      <c r="A28" s="14" t="s">
        <v>19</v>
      </c>
      <c r="B28" s="17">
        <v>21305539</v>
      </c>
      <c r="F28" s="18" t="s">
        <v>150</v>
      </c>
      <c r="G28" s="13">
        <v>59235040</v>
      </c>
      <c r="J28" s="12" t="s">
        <v>157</v>
      </c>
      <c r="K28" s="17">
        <v>135800459</v>
      </c>
      <c r="N28" s="14" t="s">
        <v>83</v>
      </c>
      <c r="O28" s="17">
        <v>4626777</v>
      </c>
    </row>
    <row r="29" spans="1:15" x14ac:dyDescent="0.25">
      <c r="A29" s="14" t="s">
        <v>17</v>
      </c>
      <c r="B29" s="17">
        <v>38322810</v>
      </c>
      <c r="F29" s="18" t="s">
        <v>151</v>
      </c>
      <c r="G29" s="13">
        <v>77815430</v>
      </c>
      <c r="J29" s="12" t="s">
        <v>15</v>
      </c>
      <c r="K29" s="17"/>
      <c r="N29" s="14" t="s">
        <v>24</v>
      </c>
      <c r="O29" s="17">
        <v>65746540</v>
      </c>
    </row>
    <row r="30" spans="1:15" x14ac:dyDescent="0.25">
      <c r="A30" s="14" t="s">
        <v>23</v>
      </c>
      <c r="B30" s="17">
        <v>28206383</v>
      </c>
      <c r="F30" s="12" t="s">
        <v>136</v>
      </c>
      <c r="G30" s="13">
        <v>899902125</v>
      </c>
      <c r="J30" s="14" t="s">
        <v>61</v>
      </c>
      <c r="K30" s="17">
        <v>36262590</v>
      </c>
      <c r="N30" s="12" t="s">
        <v>27</v>
      </c>
      <c r="O30" s="17">
        <v>144663181</v>
      </c>
    </row>
    <row r="31" spans="1:15" x14ac:dyDescent="0.25">
      <c r="A31" s="14" t="s">
        <v>21</v>
      </c>
      <c r="B31" s="17">
        <v>13595168</v>
      </c>
      <c r="J31" s="14" t="s">
        <v>14</v>
      </c>
      <c r="K31" s="17">
        <v>65326474</v>
      </c>
      <c r="N31" s="14" t="s">
        <v>18</v>
      </c>
      <c r="O31" s="17">
        <v>3393750</v>
      </c>
    </row>
    <row r="32" spans="1:15" x14ac:dyDescent="0.25">
      <c r="A32" s="14" t="s">
        <v>20</v>
      </c>
      <c r="B32" s="17">
        <v>16244898</v>
      </c>
      <c r="J32" s="14" t="s">
        <v>34</v>
      </c>
      <c r="K32" s="17">
        <v>14031168</v>
      </c>
      <c r="N32" s="14" t="s">
        <v>83</v>
      </c>
      <c r="O32" s="17">
        <v>59838835</v>
      </c>
    </row>
    <row r="33" spans="1:15" x14ac:dyDescent="0.25">
      <c r="A33" s="12" t="s">
        <v>15</v>
      </c>
      <c r="B33" s="17">
        <v>186324067</v>
      </c>
      <c r="J33" s="14" t="s">
        <v>26</v>
      </c>
      <c r="K33" s="17">
        <v>24698097</v>
      </c>
      <c r="N33" s="14" t="s">
        <v>24</v>
      </c>
      <c r="O33" s="17">
        <v>81430596</v>
      </c>
    </row>
    <row r="34" spans="1:15" x14ac:dyDescent="0.25">
      <c r="A34" s="14" t="s">
        <v>22</v>
      </c>
      <c r="B34" s="17">
        <v>25744412</v>
      </c>
      <c r="J34" s="14" t="s">
        <v>25</v>
      </c>
      <c r="K34" s="17">
        <v>13712005</v>
      </c>
      <c r="N34" s="12" t="s">
        <v>48</v>
      </c>
      <c r="O34" s="17">
        <v>163171236</v>
      </c>
    </row>
    <row r="35" spans="1:15" x14ac:dyDescent="0.25">
      <c r="A35" s="14" t="s">
        <v>19</v>
      </c>
      <c r="B35" s="17">
        <v>28874237</v>
      </c>
      <c r="J35" s="14" t="s">
        <v>30</v>
      </c>
      <c r="K35" s="17">
        <v>32293733</v>
      </c>
      <c r="N35" s="14" t="s">
        <v>18</v>
      </c>
      <c r="O35" s="17">
        <v>72361250</v>
      </c>
    </row>
    <row r="36" spans="1:15" x14ac:dyDescent="0.25">
      <c r="A36" s="14" t="s">
        <v>17</v>
      </c>
      <c r="B36" s="17">
        <v>51025024</v>
      </c>
      <c r="J36" s="12" t="s">
        <v>158</v>
      </c>
      <c r="K36" s="17">
        <v>186324067</v>
      </c>
      <c r="N36" s="14" t="s">
        <v>83</v>
      </c>
      <c r="O36" s="17">
        <v>83900210</v>
      </c>
    </row>
    <row r="37" spans="1:15" x14ac:dyDescent="0.25">
      <c r="A37" s="14" t="s">
        <v>23</v>
      </c>
      <c r="B37" s="17">
        <v>37543083</v>
      </c>
      <c r="J37" s="12" t="s">
        <v>27</v>
      </c>
      <c r="K37" s="17"/>
      <c r="N37" s="14" t="s">
        <v>24</v>
      </c>
      <c r="O37" s="17">
        <v>6909776</v>
      </c>
    </row>
    <row r="38" spans="1:15" x14ac:dyDescent="0.25">
      <c r="A38" s="14" t="s">
        <v>21</v>
      </c>
      <c r="B38" s="17">
        <v>19796138</v>
      </c>
      <c r="J38" s="14" t="s">
        <v>61</v>
      </c>
      <c r="K38" s="17">
        <v>409091</v>
      </c>
      <c r="N38" s="12" t="s">
        <v>31</v>
      </c>
      <c r="O38" s="17">
        <v>269943182</v>
      </c>
    </row>
    <row r="39" spans="1:15" x14ac:dyDescent="0.25">
      <c r="A39" s="14" t="s">
        <v>20</v>
      </c>
      <c r="B39" s="17">
        <v>23341173</v>
      </c>
      <c r="J39" s="14" t="s">
        <v>14</v>
      </c>
      <c r="K39" s="17">
        <v>9307025</v>
      </c>
      <c r="N39" s="14" t="s">
        <v>18</v>
      </c>
      <c r="O39" s="17">
        <v>105384000</v>
      </c>
    </row>
    <row r="40" spans="1:15" x14ac:dyDescent="0.25">
      <c r="A40" s="12" t="s">
        <v>27</v>
      </c>
      <c r="B40" s="17">
        <v>144663181</v>
      </c>
      <c r="J40" s="14" t="s">
        <v>34</v>
      </c>
      <c r="K40" s="17">
        <v>3552055</v>
      </c>
      <c r="N40" s="14" t="s">
        <v>83</v>
      </c>
      <c r="O40" s="17">
        <v>59053601</v>
      </c>
    </row>
    <row r="41" spans="1:15" x14ac:dyDescent="0.25">
      <c r="A41" s="14" t="s">
        <v>22</v>
      </c>
      <c r="B41" s="17">
        <v>19703069</v>
      </c>
      <c r="J41" s="14" t="s">
        <v>26</v>
      </c>
      <c r="K41" s="17">
        <v>65258121</v>
      </c>
      <c r="N41" s="14" t="s">
        <v>24</v>
      </c>
      <c r="O41" s="17">
        <v>105505581</v>
      </c>
    </row>
    <row r="42" spans="1:15" x14ac:dyDescent="0.25">
      <c r="A42" s="14" t="s">
        <v>19</v>
      </c>
      <c r="B42" s="17">
        <v>25710545</v>
      </c>
      <c r="J42" s="14" t="s">
        <v>25</v>
      </c>
      <c r="K42" s="17">
        <v>33049858</v>
      </c>
      <c r="N42" s="12" t="s">
        <v>136</v>
      </c>
      <c r="O42" s="17">
        <v>899902125</v>
      </c>
    </row>
    <row r="43" spans="1:15" x14ac:dyDescent="0.25">
      <c r="A43" s="14" t="s">
        <v>17</v>
      </c>
      <c r="B43" s="17">
        <v>28444561</v>
      </c>
      <c r="J43" s="14" t="s">
        <v>30</v>
      </c>
      <c r="K43" s="17">
        <v>33087031</v>
      </c>
    </row>
    <row r="44" spans="1:15" x14ac:dyDescent="0.25">
      <c r="A44" s="14" t="s">
        <v>23</v>
      </c>
      <c r="B44" s="17">
        <v>29607187</v>
      </c>
      <c r="J44" s="12" t="s">
        <v>159</v>
      </c>
      <c r="K44" s="17">
        <v>144663181</v>
      </c>
    </row>
    <row r="45" spans="1:15" x14ac:dyDescent="0.25">
      <c r="A45" s="14" t="s">
        <v>21</v>
      </c>
      <c r="B45" s="17">
        <v>18420722</v>
      </c>
      <c r="J45" s="12" t="s">
        <v>48</v>
      </c>
      <c r="K45" s="17"/>
    </row>
    <row r="46" spans="1:15" x14ac:dyDescent="0.25">
      <c r="A46" s="14" t="s">
        <v>20</v>
      </c>
      <c r="B46" s="17">
        <v>22777097</v>
      </c>
      <c r="J46" s="14" t="s">
        <v>61</v>
      </c>
      <c r="K46" s="17">
        <v>10826333</v>
      </c>
    </row>
    <row r="47" spans="1:15" x14ac:dyDescent="0.25">
      <c r="A47" s="12" t="s">
        <v>48</v>
      </c>
      <c r="B47" s="17">
        <v>163171236</v>
      </c>
      <c r="J47" s="14" t="s">
        <v>14</v>
      </c>
      <c r="K47" s="17">
        <v>59669118</v>
      </c>
    </row>
    <row r="48" spans="1:15" x14ac:dyDescent="0.25">
      <c r="A48" s="14" t="s">
        <v>22</v>
      </c>
      <c r="B48" s="17">
        <v>24461487</v>
      </c>
      <c r="J48" s="14" t="s">
        <v>26</v>
      </c>
      <c r="K48" s="17">
        <v>54178543</v>
      </c>
    </row>
    <row r="49" spans="1:11" x14ac:dyDescent="0.25">
      <c r="A49" s="14" t="s">
        <v>19</v>
      </c>
      <c r="B49" s="17">
        <v>27777020</v>
      </c>
      <c r="J49" s="14" t="s">
        <v>25</v>
      </c>
      <c r="K49" s="17">
        <v>21005539</v>
      </c>
    </row>
    <row r="50" spans="1:11" x14ac:dyDescent="0.25">
      <c r="A50" s="14" t="s">
        <v>17</v>
      </c>
      <c r="B50" s="17">
        <v>36019236</v>
      </c>
      <c r="J50" s="14" t="s">
        <v>30</v>
      </c>
      <c r="K50" s="17">
        <v>17491703</v>
      </c>
    </row>
    <row r="51" spans="1:11" x14ac:dyDescent="0.25">
      <c r="A51" s="14" t="s">
        <v>23</v>
      </c>
      <c r="B51" s="17">
        <v>31491161</v>
      </c>
      <c r="J51" s="12" t="s">
        <v>160</v>
      </c>
      <c r="K51" s="17">
        <v>163171236</v>
      </c>
    </row>
    <row r="52" spans="1:11" x14ac:dyDescent="0.25">
      <c r="A52" s="14" t="s">
        <v>21</v>
      </c>
      <c r="B52" s="17">
        <v>20302798</v>
      </c>
      <c r="J52" s="12" t="s">
        <v>31</v>
      </c>
      <c r="K52" s="17"/>
    </row>
    <row r="53" spans="1:11" x14ac:dyDescent="0.25">
      <c r="A53" s="14" t="s">
        <v>20</v>
      </c>
      <c r="B53" s="17">
        <v>23119534</v>
      </c>
      <c r="J53" s="14" t="s">
        <v>61</v>
      </c>
      <c r="K53" s="17">
        <v>13365025</v>
      </c>
    </row>
    <row r="54" spans="1:11" x14ac:dyDescent="0.25">
      <c r="A54" s="12" t="s">
        <v>31</v>
      </c>
      <c r="B54" s="17">
        <v>269943182</v>
      </c>
      <c r="J54" s="14" t="s">
        <v>14</v>
      </c>
      <c r="K54" s="17">
        <v>37804709</v>
      </c>
    </row>
    <row r="55" spans="1:11" x14ac:dyDescent="0.25">
      <c r="A55" s="14" t="s">
        <v>22</v>
      </c>
      <c r="B55" s="17">
        <v>35694003</v>
      </c>
      <c r="J55" s="14" t="s">
        <v>34</v>
      </c>
      <c r="K55" s="17">
        <v>62302115</v>
      </c>
    </row>
    <row r="56" spans="1:11" x14ac:dyDescent="0.25">
      <c r="A56" s="14" t="s">
        <v>19</v>
      </c>
      <c r="B56" s="17">
        <v>50006339</v>
      </c>
      <c r="J56" s="14" t="s">
        <v>26</v>
      </c>
      <c r="K56" s="17">
        <v>12129045</v>
      </c>
    </row>
    <row r="57" spans="1:11" x14ac:dyDescent="0.25">
      <c r="A57" s="14" t="s">
        <v>17</v>
      </c>
      <c r="B57" s="17">
        <v>55014613</v>
      </c>
      <c r="J57" s="14" t="s">
        <v>25</v>
      </c>
      <c r="K57" s="17">
        <v>6791008</v>
      </c>
    </row>
    <row r="58" spans="1:11" x14ac:dyDescent="0.25">
      <c r="A58" s="14" t="s">
        <v>23</v>
      </c>
      <c r="B58" s="17">
        <v>52191046</v>
      </c>
      <c r="J58" s="14" t="s">
        <v>30</v>
      </c>
      <c r="K58" s="17">
        <v>137551280</v>
      </c>
    </row>
    <row r="59" spans="1:11" x14ac:dyDescent="0.25">
      <c r="A59" s="14" t="s">
        <v>21</v>
      </c>
      <c r="B59" s="17">
        <v>34517070</v>
      </c>
      <c r="J59" s="12" t="s">
        <v>161</v>
      </c>
      <c r="K59" s="17">
        <v>269943182</v>
      </c>
    </row>
    <row r="60" spans="1:11" x14ac:dyDescent="0.25">
      <c r="A60" s="14" t="s">
        <v>20</v>
      </c>
      <c r="B60" s="17">
        <v>42520111</v>
      </c>
    </row>
    <row r="61" spans="1:11" x14ac:dyDescent="0.25">
      <c r="A61" s="12" t="s">
        <v>136</v>
      </c>
      <c r="B61" s="17">
        <v>899902125</v>
      </c>
    </row>
  </sheetData>
  <pageMargins left="0.7" right="0.7" top="0.75" bottom="0.75" header="0.3" footer="0.3"/>
  <pageSetup orientation="portrait" horizontalDpi="4294967295" verticalDpi="4294967295"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selection activeCell="I21" sqref="I21"/>
    </sheetView>
  </sheetViews>
  <sheetFormatPr defaultRowHeight="15" x14ac:dyDescent="0.25"/>
  <cols>
    <col min="1" max="2" width="16.28515625" customWidth="1"/>
    <col min="3" max="3" width="16.42578125" hidden="1" customWidth="1"/>
    <col min="4" max="4" width="18.28515625" hidden="1" customWidth="1"/>
    <col min="5" max="5" width="17.28515625" customWidth="1"/>
    <col min="6" max="6" width="16.42578125" customWidth="1"/>
    <col min="7" max="7" width="26.140625" customWidth="1"/>
    <col min="8" max="8" width="16.28515625" customWidth="1"/>
    <col min="9" max="9" width="7.85546875" customWidth="1"/>
    <col min="10" max="10" width="11.28515625" bestFit="1" customWidth="1"/>
  </cols>
  <sheetData>
    <row r="1" spans="1:8" x14ac:dyDescent="0.25">
      <c r="B1" s="11" t="s">
        <v>153</v>
      </c>
    </row>
    <row r="2" spans="1:8" x14ac:dyDescent="0.25">
      <c r="B2" s="24" t="s">
        <v>138</v>
      </c>
      <c r="E2" s="24" t="s">
        <v>139</v>
      </c>
    </row>
    <row r="3" spans="1:8" x14ac:dyDescent="0.25">
      <c r="A3" s="11" t="s">
        <v>135</v>
      </c>
      <c r="B3" s="24" t="s">
        <v>137</v>
      </c>
      <c r="C3" s="24" t="s">
        <v>163</v>
      </c>
      <c r="D3" s="24" t="s">
        <v>154</v>
      </c>
      <c r="E3" s="24" t="s">
        <v>137</v>
      </c>
      <c r="F3" s="24" t="s">
        <v>163</v>
      </c>
      <c r="G3" s="24" t="s">
        <v>154</v>
      </c>
      <c r="H3" s="15" t="s">
        <v>164</v>
      </c>
    </row>
    <row r="4" spans="1:8" x14ac:dyDescent="0.25">
      <c r="A4" s="12" t="s">
        <v>22</v>
      </c>
      <c r="B4" s="17">
        <v>26216964</v>
      </c>
      <c r="C4" s="17"/>
      <c r="D4" s="16"/>
      <c r="E4" s="17">
        <v>97511668</v>
      </c>
      <c r="F4" s="17">
        <v>71294704</v>
      </c>
      <c r="G4" s="16">
        <v>2.7194111415799327</v>
      </c>
      <c r="H4" s="20">
        <f t="shared" ref="H4:H10" si="0">(G4 - 250%)</f>
        <v>0.21941114157993269</v>
      </c>
    </row>
    <row r="5" spans="1:8" x14ac:dyDescent="0.25">
      <c r="A5" s="12" t="s">
        <v>19</v>
      </c>
      <c r="B5" s="17">
        <v>31794462</v>
      </c>
      <c r="C5" s="17"/>
      <c r="D5" s="16"/>
      <c r="E5" s="17">
        <v>121879218</v>
      </c>
      <c r="F5" s="17">
        <v>90084756</v>
      </c>
      <c r="G5" s="16">
        <v>2.8333473923855039</v>
      </c>
      <c r="H5" s="20">
        <f t="shared" si="0"/>
        <v>0.33334739238550393</v>
      </c>
    </row>
    <row r="6" spans="1:8" x14ac:dyDescent="0.25">
      <c r="A6" s="12" t="s">
        <v>17</v>
      </c>
      <c r="B6" s="17">
        <v>37823020</v>
      </c>
      <c r="C6" s="17"/>
      <c r="D6" s="16"/>
      <c r="E6" s="17">
        <v>171003224</v>
      </c>
      <c r="F6" s="17">
        <v>133180204</v>
      </c>
      <c r="G6" s="16">
        <v>3.521141463584875</v>
      </c>
      <c r="H6" s="20">
        <f t="shared" si="0"/>
        <v>1.021141463584875</v>
      </c>
    </row>
    <row r="7" spans="1:8" x14ac:dyDescent="0.25">
      <c r="A7" s="12" t="s">
        <v>23</v>
      </c>
      <c r="B7" s="17">
        <v>35190332</v>
      </c>
      <c r="C7" s="17"/>
      <c r="D7" s="16"/>
      <c r="E7" s="17">
        <v>143848528</v>
      </c>
      <c r="F7" s="17">
        <v>108658196</v>
      </c>
      <c r="G7" s="16">
        <v>3.087728640923308</v>
      </c>
      <c r="H7" s="20">
        <f t="shared" si="0"/>
        <v>0.58772864092330801</v>
      </c>
    </row>
    <row r="8" spans="1:8" x14ac:dyDescent="0.25">
      <c r="A8" s="12" t="s">
        <v>21</v>
      </c>
      <c r="B8" s="17">
        <v>23629892</v>
      </c>
      <c r="C8" s="17"/>
      <c r="D8" s="16"/>
      <c r="E8" s="17">
        <v>83002004</v>
      </c>
      <c r="F8" s="17">
        <v>59372112</v>
      </c>
      <c r="G8" s="16">
        <v>2.5125849919246352</v>
      </c>
      <c r="H8" s="20">
        <f t="shared" si="0"/>
        <v>1.2584991924635247E-2</v>
      </c>
    </row>
    <row r="9" spans="1:8" x14ac:dyDescent="0.25">
      <c r="A9" s="12" t="s">
        <v>20</v>
      </c>
      <c r="B9" s="17">
        <v>27426005</v>
      </c>
      <c r="C9" s="17"/>
      <c r="D9" s="16"/>
      <c r="E9" s="17">
        <v>100576808</v>
      </c>
      <c r="F9" s="17">
        <v>73150803</v>
      </c>
      <c r="G9" s="16">
        <v>2.6672059237209358</v>
      </c>
      <c r="H9" s="20">
        <f t="shared" si="0"/>
        <v>0.16720592372093579</v>
      </c>
    </row>
    <row r="10" spans="1:8" x14ac:dyDescent="0.25">
      <c r="A10" s="12" t="s">
        <v>136</v>
      </c>
      <c r="B10" s="17">
        <v>182080675</v>
      </c>
      <c r="C10" s="17"/>
      <c r="D10" s="16"/>
      <c r="E10" s="17">
        <v>717821450</v>
      </c>
      <c r="F10" s="17">
        <v>535740775</v>
      </c>
      <c r="G10" s="16">
        <v>2.9423263891129579</v>
      </c>
      <c r="H10" s="20">
        <f t="shared" si="0"/>
        <v>0.44232638911295785</v>
      </c>
    </row>
    <row r="15" spans="1:8" x14ac:dyDescent="0.25">
      <c r="A15" s="26"/>
      <c r="B15" s="27"/>
      <c r="C15" s="28"/>
    </row>
    <row r="16" spans="1:8" x14ac:dyDescent="0.25">
      <c r="A16" s="29"/>
      <c r="B16" s="30"/>
      <c r="C16" s="31"/>
    </row>
    <row r="17" spans="1:10" x14ac:dyDescent="0.25">
      <c r="A17" s="29"/>
      <c r="B17" s="30"/>
      <c r="C17" s="31"/>
    </row>
    <row r="18" spans="1:10" x14ac:dyDescent="0.25">
      <c r="A18" s="29"/>
      <c r="B18" s="30"/>
      <c r="C18" s="31"/>
    </row>
    <row r="19" spans="1:10" x14ac:dyDescent="0.25">
      <c r="A19" s="29"/>
      <c r="B19" s="30"/>
      <c r="C19" s="31"/>
      <c r="G19" s="11" t="s">
        <v>137</v>
      </c>
      <c r="H19" s="11" t="s">
        <v>153</v>
      </c>
    </row>
    <row r="20" spans="1:10" x14ac:dyDescent="0.25">
      <c r="A20" s="29"/>
      <c r="B20" s="30"/>
      <c r="C20" s="31"/>
      <c r="G20" s="11" t="s">
        <v>135</v>
      </c>
      <c r="H20" s="25" t="s">
        <v>138</v>
      </c>
      <c r="I20" s="25" t="s">
        <v>139</v>
      </c>
      <c r="J20" s="25" t="s">
        <v>136</v>
      </c>
    </row>
    <row r="21" spans="1:10" x14ac:dyDescent="0.25">
      <c r="A21" s="29"/>
      <c r="B21" s="30"/>
      <c r="C21" s="31"/>
      <c r="G21" s="12" t="s">
        <v>22</v>
      </c>
      <c r="H21" s="16"/>
      <c r="I21" s="16"/>
      <c r="J21" s="16"/>
    </row>
    <row r="22" spans="1:10" x14ac:dyDescent="0.25">
      <c r="A22" s="29"/>
      <c r="B22" s="30"/>
      <c r="C22" s="31"/>
      <c r="G22" s="12" t="s">
        <v>19</v>
      </c>
      <c r="H22" s="16">
        <v>0.21274385546701746</v>
      </c>
      <c r="I22" s="16">
        <v>0.24989368451783636</v>
      </c>
      <c r="J22" s="16">
        <v>0.24202197596430228</v>
      </c>
    </row>
    <row r="23" spans="1:10" x14ac:dyDescent="0.25">
      <c r="A23" s="29"/>
      <c r="B23" s="30"/>
      <c r="C23" s="31"/>
      <c r="G23" s="12" t="s">
        <v>17</v>
      </c>
      <c r="H23" s="16">
        <v>0.44269260162999802</v>
      </c>
      <c r="I23" s="16">
        <v>0.75366935575340588</v>
      </c>
      <c r="J23" s="16">
        <v>0.68777622951492745</v>
      </c>
    </row>
    <row r="24" spans="1:10" x14ac:dyDescent="0.25">
      <c r="A24" s="29"/>
      <c r="B24" s="30"/>
      <c r="C24" s="31"/>
      <c r="G24" s="12" t="s">
        <v>23</v>
      </c>
      <c r="H24" s="16">
        <v>0.34227334637221912</v>
      </c>
      <c r="I24" s="16">
        <v>0.47519297895714385</v>
      </c>
      <c r="J24" s="16">
        <v>0.44702852610542076</v>
      </c>
    </row>
    <row r="25" spans="1:10" x14ac:dyDescent="0.25">
      <c r="A25" s="29"/>
      <c r="B25" s="30"/>
      <c r="C25" s="31"/>
      <c r="G25" s="12" t="s">
        <v>21</v>
      </c>
      <c r="H25" s="16">
        <v>-9.8679313134808433E-2</v>
      </c>
      <c r="I25" s="16">
        <v>-0.14879925959219567</v>
      </c>
      <c r="J25" s="16">
        <v>-0.13817930194201128</v>
      </c>
    </row>
    <row r="26" spans="1:10" x14ac:dyDescent="0.25">
      <c r="A26" s="29"/>
      <c r="B26" s="30"/>
      <c r="C26" s="31"/>
      <c r="G26" s="12" t="s">
        <v>20</v>
      </c>
      <c r="H26" s="16">
        <v>4.6116743342211552E-2</v>
      </c>
      <c r="I26" s="16">
        <v>3.1433571621398169E-2</v>
      </c>
      <c r="J26" s="16">
        <v>3.4544801238891899E-2</v>
      </c>
    </row>
    <row r="27" spans="1:10" x14ac:dyDescent="0.25">
      <c r="A27" s="29"/>
      <c r="B27" s="30"/>
      <c r="C27" s="31"/>
      <c r="G27" s="12" t="s">
        <v>136</v>
      </c>
      <c r="H27" s="16"/>
      <c r="I27" s="16"/>
      <c r="J27" s="16"/>
    </row>
    <row r="28" spans="1:10" x14ac:dyDescent="0.25">
      <c r="A28" s="29"/>
      <c r="B28" s="30"/>
      <c r="C28" s="31"/>
    </row>
    <row r="29" spans="1:10" x14ac:dyDescent="0.25">
      <c r="A29" s="29"/>
      <c r="B29" s="30"/>
      <c r="C29" s="31"/>
    </row>
    <row r="30" spans="1:10" x14ac:dyDescent="0.25">
      <c r="A30" s="29"/>
      <c r="B30" s="30"/>
      <c r="C30" s="31"/>
    </row>
    <row r="31" spans="1:10" x14ac:dyDescent="0.25">
      <c r="A31" s="29"/>
      <c r="B31" s="30"/>
      <c r="C31" s="31"/>
    </row>
    <row r="32" spans="1:10" x14ac:dyDescent="0.25">
      <c r="A32" s="32"/>
      <c r="B32" s="33"/>
      <c r="C32" s="34"/>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X15"/>
  <sheetViews>
    <sheetView showGridLines="0" tabSelected="1" topLeftCell="A9" zoomScale="98" zoomScaleNormal="98" workbookViewId="0">
      <selection activeCell="X32" sqref="X32"/>
    </sheetView>
  </sheetViews>
  <sheetFormatPr defaultRowHeight="15" x14ac:dyDescent="0.25"/>
  <sheetData>
    <row r="15" spans="24:24" x14ac:dyDescent="0.25">
      <c r="X15"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Sales Adidas</vt:lpstr>
      <vt:lpstr>Pivot Table Analyses</vt:lpstr>
      <vt:lpstr>Pivot Table Analyses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user</cp:lastModifiedBy>
  <dcterms:created xsi:type="dcterms:W3CDTF">2015-06-05T18:17:20Z</dcterms:created>
  <dcterms:modified xsi:type="dcterms:W3CDTF">2026-04-03T19:22:32Z</dcterms:modified>
</cp:coreProperties>
</file>